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9880" firstSheet="1" activeTab="5"/>
  </bookViews>
  <sheets>
    <sheet name="customers" sheetId="1" r:id="rId1"/>
    <sheet name="Products" sheetId="3" r:id="rId2"/>
    <sheet name="Sheet29" sheetId="31" r:id="rId3"/>
    <sheet name="Orders" sheetId="4" r:id="rId4"/>
    <sheet name="Pivot Table" sheetId="21" r:id="rId5"/>
    <sheet name="RFM Analysis" sheetId="23" r:id="rId6"/>
    <sheet name="Customer Segmentation" sheetId="24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<sst xmlns="http://schemas.openxmlformats.org/spreadsheetml/2006/main" count="4008" uniqueCount="1644">
  <si>
    <t>CustomerID</t>
  </si>
  <si>
    <t>Region</t>
  </si>
  <si>
    <t>CustomerJoinDate</t>
  </si>
  <si>
    <t>345e77bf-4a44-4a4c-9b4f-6f5e21e39e8b</t>
  </si>
  <si>
    <t>East</t>
  </si>
  <si>
    <t>c672d9cb-b74b-48ea-bff3-908ff9790632</t>
  </si>
  <si>
    <t>West</t>
  </si>
  <si>
    <t>19ebe822-7b55-4146-9fbf-7f30a95fcc27</t>
  </si>
  <si>
    <t>8553b15d-bab5-41e2-b9b1-3bd3e2a7c51e</t>
  </si>
  <si>
    <t>2de84462-b349-47ab-8700-7ac254586db9</t>
  </si>
  <si>
    <t>cc8645a3-a19b-4915-9cc6-2dce14049120</t>
  </si>
  <si>
    <t>96550947-3cf0-4e17-816e-b347b9a4b83a</t>
  </si>
  <si>
    <t>515d5080-8725-4a15-b600-a0b1c9761f39</t>
  </si>
  <si>
    <t>23781516-59fe-4b3b-af71-4d6cb8a012ad</t>
  </si>
  <si>
    <t>977445c9-8561-4c71-a03c-ddf327b5dfc2</t>
  </si>
  <si>
    <t>ebd558e7-7e80-4319-b5f2-1bbd43d443b7</t>
  </si>
  <si>
    <t>0a5d8031-b5a7-4be4-8d5d-63b70f2a67c7</t>
  </si>
  <si>
    <t>967b5e21-3557-4672-b9fa-1329548890df</t>
  </si>
  <si>
    <t>98aaf1ba-6661-4a2c-b7de-6279ddc742ec</t>
  </si>
  <si>
    <t>82df6f1e-6e7d-40cd-aec0-e796f8f27a63</t>
  </si>
  <si>
    <t>e5040015-0c1f-4b62-84e4-6278ebfb2842</t>
  </si>
  <si>
    <t>a1d952b9-ce77-46c9-a08b-f5e62486096f</t>
  </si>
  <si>
    <t>ac87ecf7-ef9d-4b6a-84c4-7c1aa07eab14</t>
  </si>
  <si>
    <t>fdfd6a26-e160-41ca-ba3d-6a74d52e433b</t>
  </si>
  <si>
    <t>a8baf97f-b8fe-4e51-bb9e-6f7782e358bb</t>
  </si>
  <si>
    <t>6484f72d-36e0-4b57-b749-fc901a112e94</t>
  </si>
  <si>
    <t>North</t>
  </si>
  <si>
    <t>29486f10-bb43-41fd-81d6-04068a069c06</t>
  </si>
  <si>
    <t>b35be8e1-a9c3-4905-9242-bcf0b3d07df3</t>
  </si>
  <si>
    <t>41a9aaff-9207-4a6c-81cc-76310bcf0d31</t>
  </si>
  <si>
    <t>80ff4978-481e-4e21-a861-b4000fe3f313</t>
  </si>
  <si>
    <t>65ab0594-c227-4bd9-816a-bd5336c91223</t>
  </si>
  <si>
    <t>f3e60614-ba5e-441d-8f9e-2cb6807bfc3d</t>
  </si>
  <si>
    <t>5aef6f06-ce0f-4b73-af6a-f098779ff3ec</t>
  </si>
  <si>
    <t>db3b8c62-9cf3-448b-8e67-f6f0ad9cc3a6</t>
  </si>
  <si>
    <t>706c67be-d537-4a97-a512-10ad15c1beab</t>
  </si>
  <si>
    <t>7eb4763b-0f54-4e8d-aadf-e151e3a76463</t>
  </si>
  <si>
    <t>d960ec46-3288-4c77-82ec-5c1304a160ee</t>
  </si>
  <si>
    <t>South</t>
  </si>
  <si>
    <t>d72c51fa-89a1-4147-99f4-2dcf892fdbcc</t>
  </si>
  <si>
    <t>19ffd59d-83b2-472d-9e3b-ccd79ee91948</t>
  </si>
  <si>
    <t>77b39e16-0010-44c1-a42e-e0de5a0cb50d</t>
  </si>
  <si>
    <t>ca3f398d-7265-4d2a-ab5c-1f388cbd8370</t>
  </si>
  <si>
    <t>ad067b85-adea-4786-937c-1a59ae64c758</t>
  </si>
  <si>
    <t>3027e6f9-f285-49fb-93a7-932583102f1b</t>
  </si>
  <si>
    <t>f77e8ca6-870a-4191-8a37-8f36802e1308</t>
  </si>
  <si>
    <t>ab8adb41-5ec5-456d-a160-a01affd920c4</t>
  </si>
  <si>
    <t>4661672e-252f-4297-8b05-ba339f296241</t>
  </si>
  <si>
    <t>eae2fd4d-7639-4f54-9b71-82d5e220e66d</t>
  </si>
  <si>
    <t>868ce574-ced2-49c2-a90a-6e89e6640934</t>
  </si>
  <si>
    <t>2839ee13-c4a8-495e-b522-7e1772610d15</t>
  </si>
  <si>
    <t>836d1925-ab48-4775-b129-86ba759b8998</t>
  </si>
  <si>
    <t>3b45412d-606b-4a6b-a950-cf1cd25d6753</t>
  </si>
  <si>
    <t>c3232819-ef1b-4fb8-b82c-17c22911890b</t>
  </si>
  <si>
    <t>9a8ec59b-2f40-4e75-8cd4-c3e0b5428bff</t>
  </si>
  <si>
    <t>b08475ba-c996-423d-9837-a8cde0c0e7ca</t>
  </si>
  <si>
    <t>1959deb4-14ea-44cb-b5a1-915e9485b006</t>
  </si>
  <si>
    <t>a569db7e-4e9f-449e-a108-c6eef0392bd1</t>
  </si>
  <si>
    <t>2ccc1c6a-36c7-484e-b583-fadb4cca5349</t>
  </si>
  <si>
    <t>843aafe5-e9e0-4c4e-88c3-15357434a75d</t>
  </si>
  <si>
    <t>6a60908f-c782-4a70-9760-68affc310ed5</t>
  </si>
  <si>
    <t>f088c821-8bcc-4b69-9b36-31b0edeb5653</t>
  </si>
  <si>
    <t>15d97f4e-fe02-4142-91c2-832282eaa6a0</t>
  </si>
  <si>
    <t>6584d2ab-048e-4111-a909-2b4fd3416e18</t>
  </si>
  <si>
    <t>944fb82a-0480-4a55-a4a2-abb2c61681a4</t>
  </si>
  <si>
    <t>019d6740-e346-47b9-b042-acab3646d400</t>
  </si>
  <si>
    <t>b8742a68-3c6f-4763-82e4-66e3505a12ce</t>
  </si>
  <si>
    <t>d84a5bc4-af44-4030-9e24-d893b6f6e966</t>
  </si>
  <si>
    <t>aff5b637-3d55-48c8-b9fc-194dfcb369ae</t>
  </si>
  <si>
    <t>b295e870-f1a9-461d-93fd-c2f7f686e10e</t>
  </si>
  <si>
    <t>980d0516-288c-4e8a-8672-b19b88808fed</t>
  </si>
  <si>
    <t>9893a9d5-0732-4f1a-acfc-0dac56457425</t>
  </si>
  <si>
    <t>b7fd8f42-7477-4c83-ba82-eee3bef2f366</t>
  </si>
  <si>
    <t>cbe5ec95-f2db-4399-a450-5e95b5f0f896</t>
  </si>
  <si>
    <t>bb5d5299-436f-4cea-91b1-ab3f2d3f9922</t>
  </si>
  <si>
    <t>582a03eb-4c34-43b2-a8d8-fe3086df23a6</t>
  </si>
  <si>
    <t>86883d26-3510-4b82-9fc7-da6d8a684b9c</t>
  </si>
  <si>
    <t>46b05e89-d7cb-4f00-b96e-d51b9a70ecce</t>
  </si>
  <si>
    <t>432f9bfc-4c2f-4748-850a-90f385eef86e</t>
  </si>
  <si>
    <t>55bc49dc-a542-49a5-ab7d-60463db9fb46</t>
  </si>
  <si>
    <t>0fd8caf3-b00a-4f52-89be-fcd2047e17af</t>
  </si>
  <si>
    <t>25d277dc-e796-4782-a7ef-3e1d2fb59188</t>
  </si>
  <si>
    <t>896da1ee-2b57-44ef-bb23-62191d934bc7</t>
  </si>
  <si>
    <t>8938c721-fa93-4969-8ada-be352999c69d</t>
  </si>
  <si>
    <t>cd62b435-4559-412b-9fab-4861a5e87475</t>
  </si>
  <si>
    <t>0dbeb864-49cc-4ff3-9ccc-3edec157aba2</t>
  </si>
  <si>
    <t>dc375298-2549-4d89-b752-d6e8f0a711af</t>
  </si>
  <si>
    <t>c13a8e8b-51e7-45ae-a58b-980416349ae2</t>
  </si>
  <si>
    <t>8052c4aa-8c4b-40e1-8d5a-42ba025adeab</t>
  </si>
  <si>
    <t>98c0cbd2-519c-4482-9c03-a77f16684ab1</t>
  </si>
  <si>
    <t>42b384aa-9070-4b83-bab4-3a016da0af40</t>
  </si>
  <si>
    <t>bf0d6160-338f-4cad-8123-0b5a6763b192</t>
  </si>
  <si>
    <t>5091fa4c-90c5-48d0-be59-79c47d280076</t>
  </si>
  <si>
    <t>3e698ca1-661f-444e-b442-838fa7c4206a</t>
  </si>
  <si>
    <t>f2c0e0eb-40eb-4222-8690-7ced016ccce6</t>
  </si>
  <si>
    <t>b03346eb-bbe7-454a-b978-171587166852</t>
  </si>
  <si>
    <t>31bd87f8-56a1-4ab6-9a7a-716e19ec8220</t>
  </si>
  <si>
    <t>0aca39d0-c1c9-450c-bf56-9026ed1420ff</t>
  </si>
  <si>
    <t>0f41c0a7-d3d2-4c8e-830b-125e778728d7</t>
  </si>
  <si>
    <t>e2aa2c64-4a88-4261-aa00-886749b824c4</t>
  </si>
  <si>
    <t>e148184e-9b3a-41eb-9b26-f33d7dfb4bb0</t>
  </si>
  <si>
    <t>8a5c8184-d7b1-44a1-bb80-2b709969932b</t>
  </si>
  <si>
    <t>51eea915-f3d3-4c3e-bd09-f158a0f182e6</t>
  </si>
  <si>
    <t>d8777a29-8b63-48a6-a4d9-c01a69272eec</t>
  </si>
  <si>
    <t>249d97d0-0ab8-4111-a9b9-484f09733111</t>
  </si>
  <si>
    <t>b9b2abc7-fc9a-47f2-9e81-8446b7db4fd8</t>
  </si>
  <si>
    <t>9db836e7-e5e0-4351-8a5a-37c082766fba</t>
  </si>
  <si>
    <t>3aea3b26-9c7a-481d-890c-b9ebb40358e0</t>
  </si>
  <si>
    <t>977f6e20-4148-4311-b44a-c4a652506525</t>
  </si>
  <si>
    <t>fcd08e95-2618-4bc4-9e53-a3a4cfe97e16</t>
  </si>
  <si>
    <t>889b8d90-6fd7-4dc5-b0d7-6fdce37da4c0</t>
  </si>
  <si>
    <t>9344a240-6a23-4dd8-8923-3e0b87c3c65e</t>
  </si>
  <si>
    <t>3331a694-770e-4359-8789-46845e585c39</t>
  </si>
  <si>
    <t>b774a7f6-a645-42e3-af7c-6068867968ca</t>
  </si>
  <si>
    <t>5a321a8f-6274-40e8-9713-8874fd99aead</t>
  </si>
  <si>
    <t>e1e645a3-467b-485b-95b6-3b55f072769c</t>
  </si>
  <si>
    <t>bbccecfa-0eaa-433d-81c9-1fddba3792d4</t>
  </si>
  <si>
    <t>f5d6f135-f651-402f-b38d-c5ec051c1e28</t>
  </si>
  <si>
    <t>3460476c-1d79-410d-a906-c55059d97e1a</t>
  </si>
  <si>
    <t>4869e96e-be25-4854-963b-23f56ab1a019</t>
  </si>
  <si>
    <t>39a1dc8b-c9b4-4377-adb6-8eeef78d8192</t>
  </si>
  <si>
    <t>72a4aaac-fd44-42a1-aaee-3e6c7cf309e2</t>
  </si>
  <si>
    <t>989bc40e-1776-4ea5-892f-d2df497c2608</t>
  </si>
  <si>
    <t>4566cff3-db65-43ab-ad22-32107433a602</t>
  </si>
  <si>
    <t>b6c1bc20-6980-4cbf-8df2-3a9ea48ff661</t>
  </si>
  <si>
    <t>192002f0-b438-4ddc-9119-098b9b10b9c6</t>
  </si>
  <si>
    <t>e5136dae-ecfe-4abb-b3a4-001763a5476d</t>
  </si>
  <si>
    <t>d4b53af0-6d06-4d0e-b2e1-b84de575e1c5</t>
  </si>
  <si>
    <t>38a0f956-bf9f-4066-9543-2f0922289e42</t>
  </si>
  <si>
    <t>01ab4a79-7c36-4fc3-93b9-758bf5edbd00</t>
  </si>
  <si>
    <t>f2a42f47-7f93-4bc5-b36d-c22c2119cfc8</t>
  </si>
  <si>
    <t>f30790df-5f33-4861-a894-388e81c8d350</t>
  </si>
  <si>
    <t>f8ab10b6-1108-4ae2-a2b8-7cbdfe993a9a</t>
  </si>
  <si>
    <t>4c618332-9d39-4e0c-8fbf-8175c6b0ada6</t>
  </si>
  <si>
    <t>67435b8b-3191-4bd1-a143-8adb5039c70e</t>
  </si>
  <si>
    <t>0e24031a-213b-4ac8-aba2-ca13e1134488</t>
  </si>
  <si>
    <t>5016da27-a92e-4a02-8c0d-ad1bc63a16c7</t>
  </si>
  <si>
    <t>18405ad5-5712-4ee4-84fd-9e682ad3d596</t>
  </si>
  <si>
    <t>d245da28-64dc-4d8d-9d1f-6f6cab7abb85</t>
  </si>
  <si>
    <t>5bc65488-8997-4f0b-9f7c-98bc3c2a66cd</t>
  </si>
  <si>
    <t>242bc6b4-f80a-4862-be57-8aaf71ffca12</t>
  </si>
  <si>
    <t>4cabc9cc-62ac-4315-b6e9-04f78686e8bc</t>
  </si>
  <si>
    <t>7f9f3881-a8b6-4a15-a3fb-4f4b7e75e1ef</t>
  </si>
  <si>
    <t>596febf3-9aa4-4c07-88ab-f7662388e50c</t>
  </si>
  <si>
    <t>ff2be8d4-a06b-4c87-aefa-1f4020ebc0e2</t>
  </si>
  <si>
    <t>3a268118-56c7-4394-b063-93cb08e65aa2</t>
  </si>
  <si>
    <t>d0a990c4-15fd-4ee7-88b1-26b69ecef9d4</t>
  </si>
  <si>
    <t>b622a6ab-2b36-4a67-852a-fde60311ee7a</t>
  </si>
  <si>
    <t>31922566-0f17-4f1d-85c9-a5e5fc1d87a1</t>
  </si>
  <si>
    <t>3c11da88-1574-43bc-aeeb-a3913d2c26e5</t>
  </si>
  <si>
    <t>08d68de0-766e-42e3-9145-4e030f805140</t>
  </si>
  <si>
    <t>de9fa385-96c7-41cd-abef-e3d99580386d</t>
  </si>
  <si>
    <t>006bc8ad-8e59-4d6f-ab38-475a02a0f952</t>
  </si>
  <si>
    <t>ab24814b-7040-40d8-aa14-9a6b0fb6eb74</t>
  </si>
  <si>
    <t>af9b8d24-2164-442d-b5dc-df1ed7d5e4a1</t>
  </si>
  <si>
    <t>d2424460-2668-4f1e-83e2-02a03ace9731</t>
  </si>
  <si>
    <t>b0b59c92-9d04-4619-8875-3a67285fa02f</t>
  </si>
  <si>
    <t>c773874c-adcd-4b21-9d8f-f72f3b3cb8eb</t>
  </si>
  <si>
    <t>9051e3a4-0947-48c0-8269-308d42f6e1b9</t>
  </si>
  <si>
    <t>5884e18b-6ffd-48ec-8569-4ff2a752247a</t>
  </si>
  <si>
    <t>0b59de48-4882-496e-98d7-a9053fe88877</t>
  </si>
  <si>
    <t>060e33b3-e9ae-4899-a3d3-d742591d183b</t>
  </si>
  <si>
    <t>46ee2157-1365-44f4-ae66-e5855c3779d7</t>
  </si>
  <si>
    <t>100acc5d-dde2-4723-b7eb-57390df1b151</t>
  </si>
  <si>
    <t>e5013d3a-8732-4ebf-b104-b964adc25f76</t>
  </si>
  <si>
    <t>0518f99d-8e5b-496f-9c0b-34f0c24ee49f</t>
  </si>
  <si>
    <t>a5b44644-9115-4b94-8d6d-8175d596d31b</t>
  </si>
  <si>
    <t>c8cf6935-9874-4470-8efb-2aaaa4ea9763</t>
  </si>
  <si>
    <t>398f59e7-8729-418f-842b-906d50b156af</t>
  </si>
  <si>
    <t>2415b3cd-cfae-45da-8003-dbdff47fd89a</t>
  </si>
  <si>
    <t>39712a14-9e71-446c-8e09-483790702516</t>
  </si>
  <si>
    <t>1fab239d-794b-447f-8caf-a58c43886f2d</t>
  </si>
  <si>
    <t>a43b80b4-8ec0-41bc-bca4-2f51dbf349b6</t>
  </si>
  <si>
    <t>e9525326-8155-4e1c-8bad-6dbc399bf3d5</t>
  </si>
  <si>
    <t>dcf6561b-99b3-4dac-b1dd-cd6551f6fa4a</t>
  </si>
  <si>
    <t>3d58bd4f-cc87-4a5d-a258-08c862b2ad2f</t>
  </si>
  <si>
    <t>b59d7d54-a0b9-4ba0-b2c4-b174c9f051a9</t>
  </si>
  <si>
    <t>76d8905a-bbc9-401c-84e7-fc20578996f0</t>
  </si>
  <si>
    <t>e1061800-f9c3-4349-8fb7-ecf4deea55b3</t>
  </si>
  <si>
    <t>8b37abf3-4486-4871-8768-982d137116f5</t>
  </si>
  <si>
    <t>40ced29c-f517-4a8f-acaf-959ed0f3b156</t>
  </si>
  <si>
    <t>c303e6ca-9244-46d6-ab9b-c32577f8bbf5</t>
  </si>
  <si>
    <t>20e6411f-80f4-4a23-96c8-2a3ed4fe55ea</t>
  </si>
  <si>
    <t>0e025dda-dcfd-4349-b45d-994ba4664cb3</t>
  </si>
  <si>
    <t>ac0e0eee-04eb-4dd6-bb52-3a2a532b62c0</t>
  </si>
  <si>
    <t>524e9631-7dc4-489e-94e2-7b12f7cbc615</t>
  </si>
  <si>
    <t>192ea761-a820-472a-9594-b3c2a01a1835</t>
  </si>
  <si>
    <t>4c71f46b-aec0-4b76-92c5-beda74b59e13</t>
  </si>
  <si>
    <t>9617f968-1a46-4d9a-bea3-fd528b32f34b</t>
  </si>
  <si>
    <t>8ee81a10-51c3-4f56-82b0-d43244ecdac5</t>
  </si>
  <si>
    <t>06ea8b50-0535-4c29-bc28-ff3c7c4ba7b8</t>
  </si>
  <si>
    <t>abfbe900-b23d-4716-a745-9bf24d0676da</t>
  </si>
  <si>
    <t>18bce6d7-de06-47c3-87dc-67dc5c8ffe62</t>
  </si>
  <si>
    <t>a639b900-853e-4471-8a0f-813641a7ce0d</t>
  </si>
  <si>
    <t>9f956bf5-3b88-4a3c-8cb4-d3f138bdf033</t>
  </si>
  <si>
    <t>b11cf2ec-3100-4d17-a509-d5ba99e147c6</t>
  </si>
  <si>
    <t>328bf3ea-9e06-4458-a2dc-3c2a20859be6</t>
  </si>
  <si>
    <t>6eb9203d-35ae-4742-bb1e-911b16965477</t>
  </si>
  <si>
    <t>ee0a4bac-514b-47e0-afb3-0643ed31e7c0</t>
  </si>
  <si>
    <t>66d3d64f-ce87-4119-bed2-2ca019d60c79</t>
  </si>
  <si>
    <t>be63b537-602b-468d-8f5b-44bec4d517db</t>
  </si>
  <si>
    <t>ProductID</t>
  </si>
  <si>
    <t>ProductName</t>
  </si>
  <si>
    <t>ProductCategory</t>
  </si>
  <si>
    <t>Price</t>
  </si>
  <si>
    <t>Base_Cost</t>
  </si>
  <si>
    <t>Single-Origin Ethiopian (250g)</t>
  </si>
  <si>
    <t>Consumables</t>
  </si>
  <si>
    <t>Seasonal Blend Light Roast</t>
  </si>
  <si>
    <t>Decaf Blend (1kg)</t>
  </si>
  <si>
    <t>Cold Brew Concentrate</t>
  </si>
  <si>
    <t>Espresso Bean Sampler Pack</t>
  </si>
  <si>
    <t>Precision Electric Grinder</t>
  </si>
  <si>
    <t>Grinders &amp; Brewers</t>
  </si>
  <si>
    <t>Hand Grinder (Travel Size)</t>
  </si>
  <si>
    <t>Automated Drip Brewer</t>
  </si>
  <si>
    <t>High-Capacity French Press</t>
  </si>
  <si>
    <t>Pour-Over Starter Kit</t>
  </si>
  <si>
    <t>Digital Coffee Scale</t>
  </si>
  <si>
    <t>Accessories</t>
  </si>
  <si>
    <t>Gooseneck Electric Kettle</t>
  </si>
  <si>
    <t>Airtight Storage Container</t>
  </si>
  <si>
    <t>Chemex Filters (100 pack)</t>
  </si>
  <si>
    <t>Refillable Coffee Pods</t>
  </si>
  <si>
    <t>Branded Ceramic Mug (Large)</t>
  </si>
  <si>
    <t>Merchandise</t>
  </si>
  <si>
    <t>Logo Hoodie (Black)</t>
  </si>
  <si>
    <t>Insulated Travel Tumbler</t>
  </si>
  <si>
    <t>Daily Grind T-Shirt</t>
  </si>
  <si>
    <t>Minimalist Keychain</t>
  </si>
  <si>
    <t>Monthly Dark Roast Subscription</t>
  </si>
  <si>
    <t>Subscriptions</t>
  </si>
  <si>
    <t>Bi-Weekly Sampler Box</t>
  </si>
  <si>
    <t>Three-Month Gift Subscription</t>
  </si>
  <si>
    <t>Espresso Lovers Quarterly Pack</t>
  </si>
  <si>
    <t>Subscription Renewal Service</t>
  </si>
  <si>
    <t>Sum of Revenue</t>
  </si>
  <si>
    <t>Grand Total</t>
  </si>
  <si>
    <t>Product category</t>
  </si>
  <si>
    <t>Sum of Profit</t>
  </si>
  <si>
    <t>OrderID</t>
  </si>
  <si>
    <t>OrderDate</t>
  </si>
  <si>
    <t>Quantity</t>
  </si>
  <si>
    <t>Revenue</t>
  </si>
  <si>
    <t>COGS</t>
  </si>
  <si>
    <t>UnitPrice</t>
  </si>
  <si>
    <t>Profit</t>
  </si>
  <si>
    <t>3685c29f-0492-450c-9a61-e93c633ba866</t>
  </si>
  <si>
    <t>f3c573df-56ce-4619-bc05-7c426de7f2ee</t>
  </si>
  <si>
    <t>59abfb23-1d32-4c33-a5b6-cddb1a61780f</t>
  </si>
  <si>
    <t>f85ca148-9dcc-4488-a3ce-48bb5fdb0ad6</t>
  </si>
  <si>
    <t>f333a8e1-66ba-46f3-a830-a154afc0e56a</t>
  </si>
  <si>
    <t>fb30b1dc-81f6-4030-9dee-516e42a134f6</t>
  </si>
  <si>
    <t>715973e8-381f-47ea-9ec0-9ef9a08920ff</t>
  </si>
  <si>
    <t>fcc2f521-d51e-4965-b29d-f772744667c7</t>
  </si>
  <si>
    <t>f3ab4a96-1727-4306-8d6b-98200dd31748</t>
  </si>
  <si>
    <t>f67fb8e7-373e-46aa-b512-84abfe710d15</t>
  </si>
  <si>
    <t>a16ee5e4-1df2-4760-8105-7a29fcc11299</t>
  </si>
  <si>
    <t>1477709f-5755-4892-9a77-fdb2550c0f4f</t>
  </si>
  <si>
    <t>b97225df-3122-47b1-9628-b21af69052f8</t>
  </si>
  <si>
    <t>2026cb84-0013-4e7a-b55d-ab7c1ce3c959</t>
  </si>
  <si>
    <t>6ac72edf-68b1-48b8-ad75-340fd36401c4</t>
  </si>
  <si>
    <t>08ad60ba-774a-4643-8466-4d34380a1f72</t>
  </si>
  <si>
    <t>305b39a2-172b-4162-be5b-e70e03b3a81a</t>
  </si>
  <si>
    <t>58e9c301-08b1-4506-87c0-88760828f42c</t>
  </si>
  <si>
    <t>7d8e7f9b-7d3c-43be-b970-e9dfcae2d0e3</t>
  </si>
  <si>
    <t>3b347f48-fd06-4dba-80fa-7a61be73ad55</t>
  </si>
  <si>
    <t>a84dd998-cecc-4b19-a5ca-fa0049a35061</t>
  </si>
  <si>
    <t>b46a3427-c6d2-42b7-8488-70dc447561d5</t>
  </si>
  <si>
    <t>2e109ff5-6492-4fed-a99e-43592b610d68</t>
  </si>
  <si>
    <t>3f2ea9dd-ca3f-4119-b4ea-c484867b8e3c</t>
  </si>
  <si>
    <t>5008b922-dc15-4fc6-969e-ec89fffbf9f2</t>
  </si>
  <si>
    <t>7e320fbb-da5c-40df-9504-61fa27d647b1</t>
  </si>
  <si>
    <t>cecea84b-cb80-4e3a-a7dd-f63d13449a1d</t>
  </si>
  <si>
    <t>554d5066-800b-4eb6-95c4-ca7d4490fb78</t>
  </si>
  <si>
    <t>a59f2051-f09c-4c07-b3d2-e689b1a526c3</t>
  </si>
  <si>
    <t>6430b62a-48bc-44c1-8cc1-4ac5dc74e00c</t>
  </si>
  <si>
    <t>65203477-13e2-4b8a-9447-b08d2d2a8a96</t>
  </si>
  <si>
    <t>69cfe3b8-e460-4599-bf70-979569f296fc</t>
  </si>
  <si>
    <t>ffafd16d-b2aa-4d2e-8454-4d4da7114006</t>
  </si>
  <si>
    <t>505f0b97-f22c-43ab-9a00-a3622efca95f</t>
  </si>
  <si>
    <t>a7ccc132-c9f1-4b54-bd29-9f81fb23b5e3</t>
  </si>
  <si>
    <t>1/13/2025</t>
  </si>
  <si>
    <t>caf0fb18-72e0-4c11-a3c3-9e7434528f44</t>
  </si>
  <si>
    <t>a521ec8a-381d-4739-a765-3ed244b3e9a7</t>
  </si>
  <si>
    <t>b850d516-7c7f-467c-9727-cbefdc6dc599</t>
  </si>
  <si>
    <t>c2ccc14b-7a3a-4d1e-8f41-ad5d4f96b4b8</t>
  </si>
  <si>
    <t>1/14/2025</t>
  </si>
  <si>
    <t>57db7af4-8ccf-4a99-873f-3e558361c69b</t>
  </si>
  <si>
    <t>7846b8ec-03de-4bac-96ce-64c03a9940c4</t>
  </si>
  <si>
    <t>1f1da2b2-469d-4733-a4ce-45a1e094adfc</t>
  </si>
  <si>
    <t>117d5477-ce3a-4229-807e-deb135b0eb6d</t>
  </si>
  <si>
    <t>1/15/2025</t>
  </si>
  <si>
    <t>ecf82f5d-fd6f-4458-9a8a-afe77914b9b3</t>
  </si>
  <si>
    <t>864c811c-b827-4e0f-8420-bc615a96c99d</t>
  </si>
  <si>
    <t>1/16/2025</t>
  </si>
  <si>
    <t>fbe8fb57-1729-479e-95c7-825a953dca20</t>
  </si>
  <si>
    <t>1/17/2025</t>
  </si>
  <si>
    <t>79f16b0b-f943-4d5f-8c04-853aa95973fc</t>
  </si>
  <si>
    <t>8c3d46c7-9529-41e2-b415-85449b57bb62</t>
  </si>
  <si>
    <t>cb1ceb27-0163-4790-bd87-4c4e3efa67db</t>
  </si>
  <si>
    <t>d44dbbce-44ab-4779-8c1f-4451c7c865b4</t>
  </si>
  <si>
    <t>8720ad5e-b5a1-4394-8012-bef286c040db</t>
  </si>
  <si>
    <t>d5a33ceb-28c2-48ee-9125-169ae802c4bf</t>
  </si>
  <si>
    <t>55f8dafd-666e-4c10-a5b4-ec2773ca65ec</t>
  </si>
  <si>
    <t>327d44d8-4ba8-4131-8cb3-53858fc18112</t>
  </si>
  <si>
    <t>7ae6703b-df07-46ab-ba3c-d3b7d53a2d79</t>
  </si>
  <si>
    <t>1/18/2025</t>
  </si>
  <si>
    <t>4be72a2b-ce92-4565-9f94-db444339c748</t>
  </si>
  <si>
    <t>1/20/2025</t>
  </si>
  <si>
    <t>ce0fa91e-1213-4c07-a433-eed6efcd20d6</t>
  </si>
  <si>
    <t>87ebd0bb-9c9d-4cbe-ae61-0781d29385a9</t>
  </si>
  <si>
    <t>81a862eb-c6df-49c6-833b-1fb92adc14e8</t>
  </si>
  <si>
    <t>1/21/2025</t>
  </si>
  <si>
    <t>5f7f623f-5a1c-454c-bf6e-232f790d5317</t>
  </si>
  <si>
    <t>d398181c-9c88-472a-8e2b-967a064775a2</t>
  </si>
  <si>
    <t>1d5a959e-49ab-4ff7-8eaa-de8aa9c65c4d</t>
  </si>
  <si>
    <t>1/22/2025</t>
  </si>
  <si>
    <t>18b2af2b-09ca-4d31-b3b5-ff9dbc263550</t>
  </si>
  <si>
    <t>1/23/2025</t>
  </si>
  <si>
    <t>e860b223-b472-43ce-aeef-4a0eaf770ff8</t>
  </si>
  <si>
    <t>ca789ada-e27f-42d0-acbd-3649551fdd3c</t>
  </si>
  <si>
    <t>4b2641df-bca5-4fba-a3a3-ac9946c5624c</t>
  </si>
  <si>
    <t>9f5d615e-9dc4-49b8-9415-067fb428a638</t>
  </si>
  <si>
    <t>1/24/2025</t>
  </si>
  <si>
    <t>cff1d337-3782-43eb-947a-b77e02a5b7c1</t>
  </si>
  <si>
    <t>3066bb70-b36c-408c-b635-494ea4dea703</t>
  </si>
  <si>
    <t>ad04eacb-e213-4ea8-b14c-8cdb94515053</t>
  </si>
  <si>
    <t>eda00736-ea2c-496f-9029-d51ba0b3cd76</t>
  </si>
  <si>
    <t>793f2c34-1801-4fba-bada-24e6cbd03c88</t>
  </si>
  <si>
    <t>1/27/2025</t>
  </si>
  <si>
    <t>095eb839-f8c8-4ed2-8bc4-4ccd5e889337</t>
  </si>
  <si>
    <t>a670f5e8-e9ef-4dd0-87ac-f7ee7727bdf5</t>
  </si>
  <si>
    <t>5181c615-42d2-4cd0-ba69-01fb785d05dd</t>
  </si>
  <si>
    <t>1/28/2025</t>
  </si>
  <si>
    <t>93d3159e-a769-4ac0-a8fe-4c3233a41e9f</t>
  </si>
  <si>
    <t>60881b7f-e9a7-40be-a9cd-c4fccc54363d</t>
  </si>
  <si>
    <t>eea9940f-72df-44ec-beab-e1b0dd4f2888</t>
  </si>
  <si>
    <t>f368046e-6e7b-4455-aaed-609e5a87c9b4</t>
  </si>
  <si>
    <t>1/29/2025</t>
  </si>
  <si>
    <t>e03bead0-55f0-4cc8-91ed-fbdc6a3567a2</t>
  </si>
  <si>
    <t>c8ba32ae-e3b5-483e-8ced-4c4236687fa0</t>
  </si>
  <si>
    <t>5be0c331-f387-4f6f-9016-adab630ccf64</t>
  </si>
  <si>
    <t>56933054-670d-459c-999c-9c78251e8820</t>
  </si>
  <si>
    <t>5374cfc1-6a97-4cf7-a59a-adfa9c1fccd3</t>
  </si>
  <si>
    <t>893edb97-800b-4cfb-ac3c-14c71cfb3405</t>
  </si>
  <si>
    <t>1/30/2025</t>
  </si>
  <si>
    <t>b6871d70-15e2-4b50-ae73-e5d13879d775</t>
  </si>
  <si>
    <t>6135b1ff-9204-4e49-ad91-2678d7e8c8d1</t>
  </si>
  <si>
    <t>b0107dfd-71ae-4228-ab49-0b38d0dfa016</t>
  </si>
  <si>
    <t>15c6d0c2-ca8e-4d95-a61c-e2bfd438b07e</t>
  </si>
  <si>
    <t>969cea24-b65f-4f57-8159-f3279047b277</t>
  </si>
  <si>
    <t>096b3ee9-9aab-4fb5-b77f-da59a44da964</t>
  </si>
  <si>
    <t>5c42f13b-cae6-4bc9-8847-02054b32e90d</t>
  </si>
  <si>
    <t>bbde17b9-d089-45cf-aa59-4217501aa7fc</t>
  </si>
  <si>
    <t>a629b818-1622-445b-a702-83287074f944</t>
  </si>
  <si>
    <t>688e8939-6612-4b88-b16a-6f5bc17859f5</t>
  </si>
  <si>
    <t>d19769c4-8d1f-4e01-a02f-abaaea593f36</t>
  </si>
  <si>
    <t>1e32daed-7a1e-4599-9eba-46ac10fb3b29</t>
  </si>
  <si>
    <t>0cec6677-5993-4be9-92ab-78bc1311280f</t>
  </si>
  <si>
    <t>22ca0d2b-1a18-4a1d-a918-86b847bb5612</t>
  </si>
  <si>
    <t>a01dbf1a-9ba0-4192-a08b-4282de1a15ac</t>
  </si>
  <si>
    <t>638a703e-cdbf-48b8-897f-8fc380991ad6</t>
  </si>
  <si>
    <t>1711f3c7-9629-48f8-820b-139ee7c19729</t>
  </si>
  <si>
    <t>0d5cf559-5e2c-4fac-ba32-ce859669182b</t>
  </si>
  <si>
    <t>9beb4bd1-ca21-484e-8fc2-923de164904b</t>
  </si>
  <si>
    <t>befcb3ac-3bd7-41bb-ac73-712fe7b94505</t>
  </si>
  <si>
    <t>5e41602d-0372-402c-ab9a-e0e4234bea5a</t>
  </si>
  <si>
    <t>f7f29fa1-7138-4de5-9d20-d40550b6acd0</t>
  </si>
  <si>
    <t>86a32c99-e028-46a7-a2ac-16a8c8f9da51</t>
  </si>
  <si>
    <t>f7f91467-19a8-45a6-acf1-2ef0bb884b7a</t>
  </si>
  <si>
    <t>42fe90f1-b58d-43f0-a8ac-e27f8e9becd6</t>
  </si>
  <si>
    <t>3354d541-e3aa-4cf4-9836-3da7d49c38a5</t>
  </si>
  <si>
    <t>fa8772c1-e5cb-44e8-99b3-f9f4936c321e</t>
  </si>
  <si>
    <t>c24e9db7-f7d2-4b91-a6a2-35f5b4a3bf8c</t>
  </si>
  <si>
    <t>ebfd86bd-e90b-4f45-8d18-aa9c9c051448</t>
  </si>
  <si>
    <t>ac33c205-d1fe-4a53-bc34-91ffd09da3ce</t>
  </si>
  <si>
    <t>6e99eb02-9a70-41fd-956f-6ecfb05a4ba4</t>
  </si>
  <si>
    <t>ebe4013b-b213-4486-8b3f-98730802e8a7</t>
  </si>
  <si>
    <t>4e5695c6-3ffe-4327-b613-bb77492103b2</t>
  </si>
  <si>
    <t>8e680d30-a681-4042-b7ad-239a2f703a3f</t>
  </si>
  <si>
    <t>4b01f9d2-43c8-44e3-8f2d-956070cb47ff</t>
  </si>
  <si>
    <t>addc98b6-8793-44a2-bb2d-dac81019a3aa</t>
  </si>
  <si>
    <t>4386a904-3c7a-4d32-86b6-9dec42ad5f3c</t>
  </si>
  <si>
    <t>7f6bd0f9-0ca8-4c32-bda1-9aed6e605e9d</t>
  </si>
  <si>
    <t>d8a940b6-e7c9-4033-81e0-880abdd12d09</t>
  </si>
  <si>
    <t>06b282a0-2f00-4285-a2fc-edf0fa75c7a3</t>
  </si>
  <si>
    <t>57a92646-c056-4ebe-be6f-df187d797ec6</t>
  </si>
  <si>
    <t>85430cf1-9809-4200-a30c-50e501727bd0</t>
  </si>
  <si>
    <t>6c676506-58b4-464d-ac1f-8fe1182a4ee8</t>
  </si>
  <si>
    <t>c7c55120-961e-4a21-a5cd-0daf2d89d19a</t>
  </si>
  <si>
    <t>b4839f50-269a-4ff2-b6ca-cdc26f781b0e</t>
  </si>
  <si>
    <t>2/13/2025</t>
  </si>
  <si>
    <t>8ccfddfe-8b96-4354-a8a6-4460aedb2d57</t>
  </si>
  <si>
    <t>f5fd8e3c-75cf-485b-aa13-71596d7a363f</t>
  </si>
  <si>
    <t>72e9358d-afc2-4e39-aff8-433db2175b00</t>
  </si>
  <si>
    <t>2/14/2025</t>
  </si>
  <si>
    <t>5558ea85-d76a-4447-b4c1-0dc8254b1fff</t>
  </si>
  <si>
    <t>63db0a94-4075-4754-9f69-03cb979474a5</t>
  </si>
  <si>
    <t>4957b29f-6bd3-4d3a-be73-7bd3d7352ddf</t>
  </si>
  <si>
    <t>2/15/2025</t>
  </si>
  <si>
    <t>21978a52-ae70-483e-a1b1-9a2165d145b0</t>
  </si>
  <si>
    <t>d23a795f-a8ee-479d-b7e7-8c39b3b787c8</t>
  </si>
  <si>
    <t>2/17/2025</t>
  </si>
  <si>
    <t>ac62a7ad-4f84-477d-bda3-a751e0e2717c</t>
  </si>
  <si>
    <t>bab7b353-c46b-41c5-8613-dcc52052684c</t>
  </si>
  <si>
    <t>58a12134-decf-4f28-a4a6-ff697c0373a4</t>
  </si>
  <si>
    <t>48767f3a-84cd-4ff6-b5cc-9756a37abafe</t>
  </si>
  <si>
    <t>24e28092-3d4e-4bd8-9f49-a8ef3b0859bf</t>
  </si>
  <si>
    <t>9c7348ec-7eb2-4d2d-a907-8a8dda33d549</t>
  </si>
  <si>
    <t>ce45c01e-ee6b-468a-a2ba-2e679c253aa1</t>
  </si>
  <si>
    <t>8e46836c-31f3-416f-aa07-217cdca45d34</t>
  </si>
  <si>
    <t>2/18/2025</t>
  </si>
  <si>
    <t>b8e4f8c6-09f4-4418-87eb-cc627f42e71b</t>
  </si>
  <si>
    <t>3f33ffb0-7ffb-49bd-a108-b0c3a1f9ca1b</t>
  </si>
  <si>
    <t>6c8a90a7-4a00-4dbd-affe-027d54303cd6</t>
  </si>
  <si>
    <t>88e36ac9-75c3-4d5f-9b05-b96dc9b64478</t>
  </si>
  <si>
    <t>6045d6fd-77af-4ded-94c8-578da7917e4e</t>
  </si>
  <si>
    <t>188ffae8-c4ba-4bfa-81f1-3c4570c60932</t>
  </si>
  <si>
    <t>50db9ea6-c2f0-4793-8763-05a1de82d02b</t>
  </si>
  <si>
    <t>89299a12-184d-46ef-8b54-60288e55d027</t>
  </si>
  <si>
    <t>2/19/2025</t>
  </si>
  <si>
    <t>1322f6f0-eee4-4233-856c-c3c177bf1951</t>
  </si>
  <si>
    <t>476741ba-97dc-41fd-9b4e-054b6e206357</t>
  </si>
  <si>
    <t>effdd2cd-408f-4673-a7c7-808148eff02a</t>
  </si>
  <si>
    <t>e47ea523-d50e-43f8-8bbf-810023a4db3a</t>
  </si>
  <si>
    <t>2/20/2025</t>
  </si>
  <si>
    <t>d6a15adb-425e-440d-8d85-8ff9d4669796</t>
  </si>
  <si>
    <t>f4d56432-3fa1-4249-b7dd-6f6ff8072e0e</t>
  </si>
  <si>
    <t>80075d4e-4655-462b-83bc-f94c4d6e36d6</t>
  </si>
  <si>
    <t>4ef5aac2-bc78-4c34-8f74-673a7032320a</t>
  </si>
  <si>
    <t>2/21/2025</t>
  </si>
  <si>
    <t>86020137-f74a-4b0d-b432-6318e89a8786</t>
  </si>
  <si>
    <t>4a2d93ae-f4b3-48bd-800b-b3f3e36416df</t>
  </si>
  <si>
    <t>45f54586-447a-4a4b-81f3-e5458039a368</t>
  </si>
  <si>
    <t>74955aa1-bd72-449f-a3de-ecaa8c828b2a</t>
  </si>
  <si>
    <t>2/26/2025</t>
  </si>
  <si>
    <t>6960f3f4-1ff9-453a-b7d7-966474cf9480</t>
  </si>
  <si>
    <t>1e205150-5a94-4284-9a0b-2fd154a32e12</t>
  </si>
  <si>
    <t>2/27/2025</t>
  </si>
  <si>
    <t>ea3d9c90-3964-4a47-aea6-0430222ffdef</t>
  </si>
  <si>
    <t>31642d48-ea72-4442-9f3e-e2ed9ae88d04</t>
  </si>
  <si>
    <t>31b4ba06-66ff-48a1-b340-17036a9ed549</t>
  </si>
  <si>
    <t>7e62dae2-e4ff-4640-8623-5ce91774c8cb</t>
  </si>
  <si>
    <t>d4cda8f7-03d0-4145-aead-58eef10e64bb</t>
  </si>
  <si>
    <t>2/28/2025</t>
  </si>
  <si>
    <t>9e6e0579-d35e-4619-800d-fbacd9f2859b</t>
  </si>
  <si>
    <t>18493f6a-8a03-43b2-bc19-aeb393a3c54c</t>
  </si>
  <si>
    <t>5435f42d-2452-4ab5-abe3-7f26dc1ba04b</t>
  </si>
  <si>
    <t>4d023d65-efd3-455a-a605-c02baae26334</t>
  </si>
  <si>
    <t>20ab3646-caa5-4606-8d0d-cb85874cf542</t>
  </si>
  <si>
    <t>d749ea8d-3b78-4ca1-82b8-8355be93b44d</t>
  </si>
  <si>
    <t>9d4563a2-78e8-461b-8b59-6e5d22aac38f</t>
  </si>
  <si>
    <t>4aa161f6-a747-43a0-bfb3-968c5a358b02</t>
  </si>
  <si>
    <t>1c7a08bd-ecfd-4af5-b61e-627d5b9dc018</t>
  </si>
  <si>
    <t>e4d330ed-049b-45bc-9b1a-215092d969f5</t>
  </si>
  <si>
    <t>f7af8f0d-57d6-4fb1-afdb-7adcb334ffe3</t>
  </si>
  <si>
    <t>dfdb0058-1b30-41df-88f1-a19aafe86f44</t>
  </si>
  <si>
    <t>8c468ce1-9190-44ff-b761-dc638e094c8a</t>
  </si>
  <si>
    <t>b2429686-79a2-4af8-8756-59b75b10da27</t>
  </si>
  <si>
    <t>f488efd8-2eaf-4852-b2e1-5022c02d090f</t>
  </si>
  <si>
    <t>cbd11115-612a-42f1-8ca1-ff7f3c61f95d</t>
  </si>
  <si>
    <t>00a091f1-36f9-4571-97b9-f875dfbe22bf</t>
  </si>
  <si>
    <t>8e01238e-7f59-4694-8d59-e78ea12ea630</t>
  </si>
  <si>
    <t>e8534aa6-7936-4ddc-9a8f-7d65da51b3b0</t>
  </si>
  <si>
    <t>b0c9583e-8f79-479c-9b9f-a7eabc5f69ae</t>
  </si>
  <si>
    <t>f409b004-7cce-4df8-bbf3-02c6f0bd9734</t>
  </si>
  <si>
    <t>4a55e3f9-f4c8-40b3-a766-e0cb4fd40845</t>
  </si>
  <si>
    <t>88ea0880-7a45-40e6-8e28-815015d3fd34</t>
  </si>
  <si>
    <t>aff1aae7-d643-4241-bb8f-b17d1a9467ff</t>
  </si>
  <si>
    <t>7b194161-f6a2-431f-9a43-f136d405ac2a</t>
  </si>
  <si>
    <t>b6fc82c6-37eb-4f3d-9053-183864af14ef</t>
  </si>
  <si>
    <t>47ff2867-d0d7-42fe-a689-966776ac8383</t>
  </si>
  <si>
    <t>3fb9f6d9-316a-489c-84d2-905db05b6edc</t>
  </si>
  <si>
    <t>3668bea6-a26e-4d8c-88df-dfb08cc5e42c</t>
  </si>
  <si>
    <t>6779fcae-fdc5-49db-8710-512acd1cd3d9</t>
  </si>
  <si>
    <t>769b6ce4-4311-4e5c-9869-28d03afa4916</t>
  </si>
  <si>
    <t>80fcc3be-6678-4789-b492-5e3fd73dd787</t>
  </si>
  <si>
    <t>65c83572-d26c-4307-b761-6f6bb0f7295b</t>
  </si>
  <si>
    <t>f2c7b9d1-e6c3-4ca7-8dbd-de94fe9aa99a</t>
  </si>
  <si>
    <t>423e6f19-aa56-431c-a26d-bb3ebecd7407</t>
  </si>
  <si>
    <t>bc575cb5-db1a-4e51-a066-69f6e0b14995</t>
  </si>
  <si>
    <t>3/13/2025</t>
  </si>
  <si>
    <t>a439bddb-d0e8-4e48-9a74-02df69469229</t>
  </si>
  <si>
    <t>3c88a9a2-9292-408b-9138-d9a6435c08e1</t>
  </si>
  <si>
    <t>7776fb61-e206-479a-a805-042f83d4e784</t>
  </si>
  <si>
    <t>7a347b2a-c8d1-417b-9896-6d35238ef4b6</t>
  </si>
  <si>
    <t>9687ae63-2ecc-4095-976c-d19cd16778f6</t>
  </si>
  <si>
    <t>3/14/2025</t>
  </si>
  <si>
    <t>58df74b5-bf2d-484e-a91c-3b07a69d02d3</t>
  </si>
  <si>
    <t>5f67ef35-bcf6-437b-a246-a81d864edcda</t>
  </si>
  <si>
    <t>3266f2c6-3900-4462-a018-cd86e58c58c6</t>
  </si>
  <si>
    <t>860991bc-0959-4846-85ef-77265f56feb5</t>
  </si>
  <si>
    <t>3/15/2025</t>
  </si>
  <si>
    <t>ac57232e-3dc9-4b06-97cc-3f7b94dd137b</t>
  </si>
  <si>
    <t>a39d2cfd-9043-4cf0-9a50-24f6e60328fe</t>
  </si>
  <si>
    <t>3/16/2025</t>
  </si>
  <si>
    <t>6ba6a06b-77da-4f6e-a08f-25ccf780bed5</t>
  </si>
  <si>
    <t>3/17/2025</t>
  </si>
  <si>
    <t>770fabc6-8d85-427b-a704-08d359f5a6d0</t>
  </si>
  <si>
    <t>fca39dec-96e1-469b-b340-84fe0a8b77f6</t>
  </si>
  <si>
    <t>f16629ef-2380-4b99-ae28-025d6702533b</t>
  </si>
  <si>
    <t>a0d7f48d-0eb8-4dcb-b655-5268f785c608</t>
  </si>
  <si>
    <t>38e19099-554c-4983-8e2a-b37ed3c4e7a0</t>
  </si>
  <si>
    <t>3/18/2025</t>
  </si>
  <si>
    <t>c2bea027-2e78-4404-8157-0e69e3f68a7e</t>
  </si>
  <si>
    <t>0a5f3e3a-8ea5-4027-a20a-650e39178c02</t>
  </si>
  <si>
    <t>bbf22564-625a-485f-9178-bfe70e4fe0c4</t>
  </si>
  <si>
    <t>017d378b-96a3-4f75-8fb2-a849d35931fd</t>
  </si>
  <si>
    <t>101a1eed-2707-45ab-ba47-8fcf13897f50</t>
  </si>
  <si>
    <t>3/19/2025</t>
  </si>
  <si>
    <t>7ad840eb-d704-4099-8145-bb5940446ec3</t>
  </si>
  <si>
    <t>251d75f6-b125-49e5-ad81-4865ef7c21d2</t>
  </si>
  <si>
    <t>3/20/2025</t>
  </si>
  <si>
    <t>e75c4864-436c-4912-9e21-9b77aa9a0d60</t>
  </si>
  <si>
    <t>c88a585a-8b45-4243-aac1-907b957ccf28</t>
  </si>
  <si>
    <t>f6214832-88c4-40a2-9996-130f14b6ba97</t>
  </si>
  <si>
    <t>8480dfa1-320a-4e5a-89c9-5b5b0727f5ae</t>
  </si>
  <si>
    <t>dead199d-5745-435f-80eb-ef0c6b8dac0f</t>
  </si>
  <si>
    <t>4f25a364-ae40-4179-8d1e-012015b270f2</t>
  </si>
  <si>
    <t>4b876e78-e502-4829-acc9-c5d183fb9f54</t>
  </si>
  <si>
    <t>67760ed6-2a9d-4392-9ba6-80b065a2a7ca</t>
  </si>
  <si>
    <t>03e4a34a-adb1-483f-9b2b-488009fd522f</t>
  </si>
  <si>
    <t>de541b95-b222-48cc-86a0-170ab7f244fc</t>
  </si>
  <si>
    <t>3/21/2025</t>
  </si>
  <si>
    <t>f128324a-e0aa-4898-bb49-123622d91b6c</t>
  </si>
  <si>
    <t>b5b93787-be35-4d36-bc07-83505f3f2417</t>
  </si>
  <si>
    <t>3/22/2025</t>
  </si>
  <si>
    <t>43856f5b-1de5-486c-b996-f72d7d2f2872</t>
  </si>
  <si>
    <t>a069465e-46fd-4ccc-a76f-1e0064a14897</t>
  </si>
  <si>
    <t>3/23/2025</t>
  </si>
  <si>
    <t>aa5c430d-8d3a-47ab-8def-71eaedcd7a28</t>
  </si>
  <si>
    <t>3/24/2025</t>
  </si>
  <si>
    <t>b9d74e39-a52b-45b7-96c2-501f3f0b45b1</t>
  </si>
  <si>
    <t>b9a410cc-8073-4858-8dc0-583b6a5d95b4</t>
  </si>
  <si>
    <t>a66b1374-d2a2-4ef2-8f5d-f9b58c64a24e</t>
  </si>
  <si>
    <t>23839453-8326-4e6f-87a6-d802772861cf</t>
  </si>
  <si>
    <t>3/25/2025</t>
  </si>
  <si>
    <t>07cac1c8-2145-4c0a-80a2-57a21c27739f</t>
  </si>
  <si>
    <t>fb32506a-b635-4805-b9ad-18bf1f43a14b</t>
  </si>
  <si>
    <t>da23ca57-22b3-43bb-8c59-0f4e4843efee</t>
  </si>
  <si>
    <t>3/26/2025</t>
  </si>
  <si>
    <t>38a6cdc9-856b-4e36-a278-4a90c5a59a90</t>
  </si>
  <si>
    <t>4c1ddb75-a154-4d77-a0cf-f9bcc65d1da7</t>
  </si>
  <si>
    <t>3c87db83-208c-42f8-83ea-71f736f08f66</t>
  </si>
  <si>
    <t>3/27/2025</t>
  </si>
  <si>
    <t>e7223c67-a70d-4ac1-bc94-cbe1b1e77993</t>
  </si>
  <si>
    <t>ac27451b-fbb6-4628-b02c-7f0aea75116c</t>
  </si>
  <si>
    <t>bbb71e30-d217-4007-b3c6-48bda436704d</t>
  </si>
  <si>
    <t>1eab32bd-3f6b-42ea-a583-40c1731d41ae</t>
  </si>
  <si>
    <t>3/28/2025</t>
  </si>
  <si>
    <t>c5641494-67c4-45b9-9ee3-24516aa16859</t>
  </si>
  <si>
    <t>1c4a118f-3203-4812-a51f-e9ae35b1cefb</t>
  </si>
  <si>
    <t>1dc623ac-15d4-47cc-8de3-27322a7d03dc</t>
  </si>
  <si>
    <t>c7cf5804-d7d6-4acc-ad39-fe1ee10e6439</t>
  </si>
  <si>
    <t>3/29/2025</t>
  </si>
  <si>
    <t>6310e3b8-658d-4241-988e-b617b9fced8a</t>
  </si>
  <si>
    <t>3/30/2025</t>
  </si>
  <si>
    <t>a3936a6f-020e-4c85-8503-bc90aaf8f3dd</t>
  </si>
  <si>
    <t>3/31/2025</t>
  </si>
  <si>
    <t>9a1098d5-0376-4dad-81be-12da389ed215</t>
  </si>
  <si>
    <t>b56a4435-e59e-4980-851e-33aac53cf190</t>
  </si>
  <si>
    <t>166c3f4e-fb0f-442f-a3f8-a9170351648a</t>
  </si>
  <si>
    <t>97a3d9ff-f6d0-41ed-aa43-baec450445e1</t>
  </si>
  <si>
    <t>4dd539c1-8e10-4ea2-98f9-78e36ec5410c</t>
  </si>
  <si>
    <t>9c0d17fb-731d-4d38-9c91-d990fb13ece7</t>
  </si>
  <si>
    <t>4ca1d9b4-1d1e-45e1-8054-09715838b9ef</t>
  </si>
  <si>
    <t>95e72111-7deb-4459-a208-28593c7e07da</t>
  </si>
  <si>
    <t>c321e333-0cc9-4166-9cbf-56a72336bada</t>
  </si>
  <si>
    <t>0e33b658-3488-4b20-a9d4-2c021a280b9e</t>
  </si>
  <si>
    <t>7e003ab9-d22f-49bd-8017-252fae3868d1</t>
  </si>
  <si>
    <t>b8f3e004-671a-4675-b239-e4dd30659b45</t>
  </si>
  <si>
    <t>367bc0dc-0fc1-4375-b59a-9d471bb0f545</t>
  </si>
  <si>
    <t>b2c42efa-5ad2-46d3-98bf-45eb5c0855bf</t>
  </si>
  <si>
    <t>4988511f-7180-4414-9344-ec6dfc7090be</t>
  </si>
  <si>
    <t>c17dd70e-2c24-4ec7-bc7b-2e03341bb58e</t>
  </si>
  <si>
    <t>aaa047ee-ae6c-48a3-baed-b5254d8f11ba</t>
  </si>
  <si>
    <t>21fdd3b0-a5ee-4211-a774-4b6d815892b6</t>
  </si>
  <si>
    <t>8e769ca9-2316-4647-8694-5d684a0cbccc</t>
  </si>
  <si>
    <t>3614feb4-5e77-4fa3-9bf8-4651b6954063</t>
  </si>
  <si>
    <t>5c6afe2f-ff7e-48e9-8842-5b259e19f943</t>
  </si>
  <si>
    <t>0c28d25f-9ce3-43ad-8a5b-b40663e3b520</t>
  </si>
  <si>
    <t>94677c92-5bec-4d49-b307-d1c089825c94</t>
  </si>
  <si>
    <t>251bb918-cd6f-4d23-b4d9-36b168cc96c3</t>
  </si>
  <si>
    <t>1912dc2a-b233-421f-a6ae-fee2298586b1</t>
  </si>
  <si>
    <t>aa1d8a9e-9561-4e35-abd9-7419f8c1eb65</t>
  </si>
  <si>
    <t>4f6cf287-b582-44f5-acf3-6b7b64099650</t>
  </si>
  <si>
    <t>5a8fca9e-7cce-49c4-9d55-e17eeaf70896</t>
  </si>
  <si>
    <t>5113e7ef-d15a-4f1a-b5d5-6dab6278dd41</t>
  </si>
  <si>
    <t>8e8f8842-4ab4-4a16-87cc-7af2c26189fa</t>
  </si>
  <si>
    <t>b86f413b-4b41-410f-a891-7780f85f9da9</t>
  </si>
  <si>
    <t>f8047d2d-b180-4f55-9194-9898d6863635</t>
  </si>
  <si>
    <t>b93e9262-be6b-4abd-98c6-c8fd16bbcb31</t>
  </si>
  <si>
    <t>e0b66c28-f30c-4078-854b-66b42489457a</t>
  </si>
  <si>
    <t>bfef14bd-711a-47d3-95d2-0f6365a7f7ba</t>
  </si>
  <si>
    <t>1e722a49-993d-4a71-9273-e1d30642b125</t>
  </si>
  <si>
    <t>11570796-8380-4041-b1d0-104d9574ae47</t>
  </si>
  <si>
    <t>3f0a3f1d-5f36-4be5-a015-8f3bd48fe6dd</t>
  </si>
  <si>
    <t>76d79a7d-d6eb-4592-9689-04afce909a8c</t>
  </si>
  <si>
    <t>c1e8c904-f220-4828-badf-2759b39fbbe4</t>
  </si>
  <si>
    <t>58493b08-0a3d-4d04-a261-99a0d02220e2</t>
  </si>
  <si>
    <t>2bfd8794-e084-4b98-905d-21eb91a8b0ba</t>
  </si>
  <si>
    <t>39fbd8be-2585-43a8-8f32-b19c79afce2c</t>
  </si>
  <si>
    <t>2af8f0c6-c543-44bb-a51e-4340220c35f8</t>
  </si>
  <si>
    <t>6582f587-1197-41aa-878d-a70746eecd14</t>
  </si>
  <si>
    <t>0ee5d42e-f634-4c33-9b74-607ce8e4356b</t>
  </si>
  <si>
    <t>a0ff32f1-2c92-4e13-ad3f-e7b1c39326d4</t>
  </si>
  <si>
    <t>abfdfea8-cfa2-4dd5-bab3-b563ae5391d1</t>
  </si>
  <si>
    <t>dcb22381-3d7e-4e13-8110-539d2af867c8</t>
  </si>
  <si>
    <t>f12848f5-5046-46e4-8a88-01368de751b5</t>
  </si>
  <si>
    <t>af592558-ec77-4f0a-9d70-81a475e142ea</t>
  </si>
  <si>
    <t>80efc451-2540-468b-a5b2-3f3b2e689912</t>
  </si>
  <si>
    <t>f518ccfb-e203-4ad0-9feb-8663e877744b</t>
  </si>
  <si>
    <t>72c5e20f-14c5-45f9-9745-269f491f6061</t>
  </si>
  <si>
    <t>cf72bdba-8978-426c-a914-fe8fb1f93a8b</t>
  </si>
  <si>
    <t>b092765d-9944-44f8-b292-dea14ea2ae7b</t>
  </si>
  <si>
    <t>4/14/2025</t>
  </si>
  <si>
    <t>a3fba6f5-ffa6-4186-b243-cf5f7caf1ca7</t>
  </si>
  <si>
    <t>f505cf59-f6b2-4e9b-b981-e335780b689e</t>
  </si>
  <si>
    <t>cb71e887-ccd9-47a7-8375-41233c64a18a</t>
  </si>
  <si>
    <t>a77c404c-8d51-446a-8a57-e21f674e2956</t>
  </si>
  <si>
    <t>7e7e7744-f086-4dbe-9e04-a4caac3a8035</t>
  </si>
  <si>
    <t>82ab7c43-c03a-45f9-86f0-12ce4d9a4c82</t>
  </si>
  <si>
    <t>591abc49-abd2-460f-8063-80cf9572de96</t>
  </si>
  <si>
    <t>4/15/2025</t>
  </si>
  <si>
    <t>c09acb87-1b4e-4082-9bc0-ca27a67a8aa6</t>
  </si>
  <si>
    <t>21d8b65f-5e6a-4a46-959b-cc5b3d441943</t>
  </si>
  <si>
    <t>3ec00711-0d6d-401c-9a53-eb635969bf01</t>
  </si>
  <si>
    <t>9baca35f-3bea-41cf-8484-7df63a2d0999</t>
  </si>
  <si>
    <t>4/16/2025</t>
  </si>
  <si>
    <t>1162b94a-847c-4eb0-bc98-9b5186058f3d</t>
  </si>
  <si>
    <t>6d31984c-27d7-4f47-a061-04e2872a4bd4</t>
  </si>
  <si>
    <t>824e1563-703d-4883-9db5-7881b5a827ed</t>
  </si>
  <si>
    <t>fc06efca-54a1-4363-a21b-604d3bddb99b</t>
  </si>
  <si>
    <t>5f46b948-f004-4693-8e3a-f224f35c4a91</t>
  </si>
  <si>
    <t>06810285-b929-42d1-8389-fbf04d3ee95a</t>
  </si>
  <si>
    <t>9458d4ae-7a96-4ef8-843f-413a5dd9c908</t>
  </si>
  <si>
    <t>4/17/2025</t>
  </si>
  <si>
    <t>e7febedb-583b-468a-ae2f-8d76fbfe9666</t>
  </si>
  <si>
    <t>9e091912-70e9-4676-b4e8-c2e67c549c0c</t>
  </si>
  <si>
    <t>1b0c07c9-5772-4465-bd72-c4a89e217a7e</t>
  </si>
  <si>
    <t>cc170f88-f0a0-4422-8bde-a0b88a6fdece</t>
  </si>
  <si>
    <t>0467af06-26ed-46b5-840d-d0820896f9df</t>
  </si>
  <si>
    <t>ddf7fba0-fa1e-44c7-ba4d-5c7b28a31e83</t>
  </si>
  <si>
    <t>4/18/2025</t>
  </si>
  <si>
    <t>968ccddd-beea-4529-9512-606024d44738</t>
  </si>
  <si>
    <t>5f577407-8aeb-4317-8023-15e268d736ca</t>
  </si>
  <si>
    <t>00317f02-e33e-4693-be1a-d0fe51dd7670</t>
  </si>
  <si>
    <t>2b04299b-c864-492e-bb3e-c2bc4d32db6a</t>
  </si>
  <si>
    <t>57e74ba9-f392-4e95-b8c2-51218993045f</t>
  </si>
  <si>
    <t>0f0ef090-36f2-402d-b3b3-eb52dc1b453f</t>
  </si>
  <si>
    <t>f6ae9d43-992e-4b2d-b5ec-e110cf8af324</t>
  </si>
  <si>
    <t>4/19/2025</t>
  </si>
  <si>
    <t>7bfa7e47-0153-4fdd-b145-86aa431218c9</t>
  </si>
  <si>
    <t>b69e2552-3cc2-4295-b31a-560ace702fd1</t>
  </si>
  <si>
    <t>0d3c9bdd-90bd-4f48-b2f6-e60caaa1dfbe</t>
  </si>
  <si>
    <t>4/20/2025</t>
  </si>
  <si>
    <t>c932f3d8-4a60-4507-ba82-3d556424c604</t>
  </si>
  <si>
    <t>32df670d-b834-41d9-bd33-8b2f82525a7e</t>
  </si>
  <si>
    <t>4/21/2025</t>
  </si>
  <si>
    <t>7d408093-006f-4ef3-bac6-8397b7017e37</t>
  </si>
  <si>
    <t>be93fdbf-fa29-41a0-a1d4-fcbd5ac26123</t>
  </si>
  <si>
    <t>8933c267-04ed-4d3f-9d83-dbc66bf68d28</t>
  </si>
  <si>
    <t>4/22/2025</t>
  </si>
  <si>
    <t>330e83d0-880f-41b1-a815-aa210176dcb5</t>
  </si>
  <si>
    <t>6d165d55-ecef-471f-b897-f4eafc032306</t>
  </si>
  <si>
    <t>a7a2582f-5c67-4e23-bfbd-6c216904897e</t>
  </si>
  <si>
    <t>1595effb-1601-4ca6-8b5e-4c4119815326</t>
  </si>
  <si>
    <t>778609f4-9c11-454c-9aa7-2690615a2296</t>
  </si>
  <si>
    <t>a74543f7-89ce-4d09-a11f-0bf15f55d09e</t>
  </si>
  <si>
    <t>4/23/2025</t>
  </si>
  <si>
    <t>b771a646-8c36-4441-ba7a-5963e0302c95</t>
  </si>
  <si>
    <t>53786fc8-9e0f-455b-b26b-4a9f7243f821</t>
  </si>
  <si>
    <t>24a68511-5b72-42d8-a389-f74d1476d318</t>
  </si>
  <si>
    <t>64749ff9-8452-4af8-800d-2c215851267a</t>
  </si>
  <si>
    <t>5b513f59-9924-4109-9044-40672f9f6e90</t>
  </si>
  <si>
    <t>14202725-292e-4634-9639-3bffe24e9d2a</t>
  </si>
  <si>
    <t>4/24/2025</t>
  </si>
  <si>
    <t>cd8b8955-6ac7-429d-8844-efcee296eee0</t>
  </si>
  <si>
    <t>cc136107-c924-4d3a-8e1f-7202ed92ae91</t>
  </si>
  <si>
    <t>564ad1cb-adf3-4820-8c5c-ef2b1a56ffa9</t>
  </si>
  <si>
    <t>410aaf09-0633-4a6f-a736-2d3f84f6a72b</t>
  </si>
  <si>
    <t>5427ae2a-7647-4192-adfc-96a391b9f39c</t>
  </si>
  <si>
    <t>796ef9f2-d6df-4d11-9c8b-02b265370f92</t>
  </si>
  <si>
    <t>3e00e003-6a06-4c1f-b485-d81cda0a60bb</t>
  </si>
  <si>
    <t>4/25/2025</t>
  </si>
  <si>
    <t>ceb87ddc-0381-4637-ac48-45afc26bcf29</t>
  </si>
  <si>
    <t>82312f21-b679-4fad-b28f-326d296e9009</t>
  </si>
  <si>
    <t>edbcc2c3-9912-42fd-8ca6-6bfe86d83c60</t>
  </si>
  <si>
    <t>cbf3bbf6-aa78-4351-abb2-f1112fdeb6b9</t>
  </si>
  <si>
    <t>d9f2e988-705a-4946-baaf-a40cbb2333f8</t>
  </si>
  <si>
    <t>2878ad70-dc29-4bc0-aed6-9d8b7464a0ce</t>
  </si>
  <si>
    <t>377294fd-d7b0-4ca5-896b-ad71e4e218d0</t>
  </si>
  <si>
    <t>d274fb7b-6888-4991-9ed1-bd73a67d475d</t>
  </si>
  <si>
    <t>4/27/2025</t>
  </si>
  <si>
    <t>3b8d2cf2-ce75-4349-96e1-077d054a2e49</t>
  </si>
  <si>
    <t>cd47458e-2b23-4d07-8668-9f46649097ba</t>
  </si>
  <si>
    <t>4/28/2025</t>
  </si>
  <si>
    <t>f2ec064a-c56c-4d3c-8fa0-d0ca8a77ed29</t>
  </si>
  <si>
    <t>e049f86c-b9b0-499d-8bbf-36b4406c912e</t>
  </si>
  <si>
    <t>0a9269dd-9dea-4976-9b12-c33016ff05e0</t>
  </si>
  <si>
    <t>b4f9dd05-e398-42a7-9381-3734fe892cdc</t>
  </si>
  <si>
    <t>9f8f8feb-911e-4188-9271-1b673e92d1e6</t>
  </si>
  <si>
    <t>557fce3d-a3ae-48f6-beeb-c74a77a25a53</t>
  </si>
  <si>
    <t>4/29/2025</t>
  </si>
  <si>
    <t>acb4472c-f752-4cba-af9b-fc1036dfca41</t>
  </si>
  <si>
    <t>e26c348a-e620-4b1b-9978-6c98c2d002cc</t>
  </si>
  <si>
    <t>83fca6f2-aae6-4b48-855b-d5206e9ab56f</t>
  </si>
  <si>
    <t>b74b08ef-0754-4083-8560-39fb23c8fd7d</t>
  </si>
  <si>
    <t>79a7edf1-0889-43d1-b04f-e0084c79cb6f</t>
  </si>
  <si>
    <t>4/30/2025</t>
  </si>
  <si>
    <t>460671d5-547c-484a-a1fd-1fcee12f8b69</t>
  </si>
  <si>
    <t>bfe64314-6229-48c4-9649-0a9b3162854a</t>
  </si>
  <si>
    <t>9707db7c-634b-4c06-83c5-9930ae17adf8</t>
  </si>
  <si>
    <t>c37a30f4-9bb5-4342-8139-6aafad2173d7</t>
  </si>
  <si>
    <t>28d13724-3aea-414f-b47a-382c258b386a</t>
  </si>
  <si>
    <t>a3bdc584-ae28-4be9-a1b8-4d7c6554a2b1</t>
  </si>
  <si>
    <t>8cb87337-4fbb-4e5e-a542-84cd242a69b3</t>
  </si>
  <si>
    <t>b7da1750-44a5-4aba-a9ac-a1397d483741</t>
  </si>
  <si>
    <t>ae5815c9-db81-49a9-8902-12bc77e4f3f0</t>
  </si>
  <si>
    <t>fe8d7137-4c20-4a57-95f5-5757543afde4</t>
  </si>
  <si>
    <t>7d91fc52-b008-420a-8f6f-6a929c85d1ac</t>
  </si>
  <si>
    <t>df7ecbf8-9419-4531-8638-0f3b18310911</t>
  </si>
  <si>
    <t>09c5b9de-22dd-4f9c-9517-f269145792e6</t>
  </si>
  <si>
    <t>3f92f29a-3bf2-4e81-9468-ebcc00bca0e1</t>
  </si>
  <si>
    <t>1e72ee2f-6342-41d4-a3ed-7973f4e384dd</t>
  </si>
  <si>
    <t>e0f90340-cb2b-4c24-a5ae-e05e599bd9f5</t>
  </si>
  <si>
    <t>1790e5b4-c03b-4ddb-878a-8c9484878cc2</t>
  </si>
  <si>
    <t>7023e166-fc73-46cc-a1b6-d33b2115631f</t>
  </si>
  <si>
    <t>b7464c17-40dc-4e92-ae15-db1267faf511</t>
  </si>
  <si>
    <t>f5b9bace-4303-4b73-a2e9-bda3600d5876</t>
  </si>
  <si>
    <t>4da609b2-fac9-4a66-a32b-c7da3d8b1983</t>
  </si>
  <si>
    <t>58593bed-667b-4883-a75c-2fdda43da428</t>
  </si>
  <si>
    <t>17502868-4e6b-4207-b882-e363102591d7</t>
  </si>
  <si>
    <t>75c10883-fceb-49de-bb22-abad29088a1e</t>
  </si>
  <si>
    <t>0859eb87-e570-4ae0-adff-b5b7da257d43</t>
  </si>
  <si>
    <t>5772fa38-7b76-42ad-9409-f332b6924d58</t>
  </si>
  <si>
    <t>c827365d-3e9e-477d-846d-2d41cafa7831</t>
  </si>
  <si>
    <t>eb5949de-6196-4aa0-8bcf-af387ace2c9f</t>
  </si>
  <si>
    <t>29cceb78-82d9-4c7a-9644-113d892259ed</t>
  </si>
  <si>
    <t>10b1872c-73d1-43ff-8003-5cb953240c3d</t>
  </si>
  <si>
    <t>a7244756-f27c-4246-a203-0cbdeb5aecaf</t>
  </si>
  <si>
    <t>1a095078-fd5c-48b9-af19-8ff2b4be3d0e</t>
  </si>
  <si>
    <t>711722ab-c8ba-44fd-9a54-cf178da1264c</t>
  </si>
  <si>
    <t>1e22c949-cbb1-47c3-982c-8248948a8472</t>
  </si>
  <si>
    <t>9773ffe6-0b4c-44b4-a2ba-53ee78fcd483</t>
  </si>
  <si>
    <t>b932a7a5-68ee-4cd7-9ccd-611a43155dfd</t>
  </si>
  <si>
    <t>7329ce63-0a4e-43ee-84fd-eff83e236f38</t>
  </si>
  <si>
    <t>61525cd3-cf72-405b-aff8-b750049db723</t>
  </si>
  <si>
    <t>128125cb-4414-46ab-afe1-67aedee05bc7</t>
  </si>
  <si>
    <t>519b08a8-4ff4-4ef1-955b-4df2d792b5ac</t>
  </si>
  <si>
    <t>WE</t>
  </si>
  <si>
    <t>3748be5b-efc1-4e28-829a-3dcc1358dbfd</t>
  </si>
  <si>
    <t>dafd5127-9d1b-406e-a9ef-6096caa054c7</t>
  </si>
  <si>
    <t>f4d41263-4bc2-4e2e-aafb-cbed56a458e3</t>
  </si>
  <si>
    <t>0d7a3cf0-3e29-4dac-a2ed-04c830e001e3</t>
  </si>
  <si>
    <t>495bd54a-c7c8-4f0c-ae38-0ae789c670dd</t>
  </si>
  <si>
    <t>59c1ff83-ec9f-4cf4-9e7d-53003b9a6fbb</t>
  </si>
  <si>
    <t>54de8821-c09d-4323-bfdd-15ed27a861e8</t>
  </si>
  <si>
    <t>cbeee821-5b4a-4c3a-a104-a1bd5ac19597</t>
  </si>
  <si>
    <t>5/13/2025</t>
  </si>
  <si>
    <t>4021c4c6-6117-42d4-ad4c-e96c2ee79582</t>
  </si>
  <si>
    <t>5451c013-4562-4cfb-b345-8294ef295d46</t>
  </si>
  <si>
    <t>5/14/2025</t>
  </si>
  <si>
    <t>739b1350-fe43-458b-937e-ea72bc6bff04</t>
  </si>
  <si>
    <t>03211096-a8b7-4163-a390-b2bbb97be681</t>
  </si>
  <si>
    <t>5/15/2025</t>
  </si>
  <si>
    <t>a03fe3d3-2b04-40fc-8795-4f2672ee2c1e</t>
  </si>
  <si>
    <t>b12324c9-1941-4383-9e4c-9a8683ad5fb4</t>
  </si>
  <si>
    <t>55760dba-53d3-482b-99b3-e17e0751fdc3</t>
  </si>
  <si>
    <t>08a809f0-ae15-486c-ac5e-a2d4640a23ec</t>
  </si>
  <si>
    <t>39757e66-328a-49fc-9464-08d5c337ddb2</t>
  </si>
  <si>
    <t>31e0e72d-c282-485f-86cc-fc8b0e5542a1</t>
  </si>
  <si>
    <t>663d44fc-6640-44fa-abf6-824d894644fd</t>
  </si>
  <si>
    <t>5/16/2025</t>
  </si>
  <si>
    <t>7d4b1695-6f1c-4f17-acf1-9f41c3154517</t>
  </si>
  <si>
    <t>e53e1abd-46c3-4047-acd2-d99f9b7e6055</t>
  </si>
  <si>
    <t>5/17/2025</t>
  </si>
  <si>
    <t>21f18ea0-568a-4358-8d1a-11fe7114c38b</t>
  </si>
  <si>
    <t>5/19/2025</t>
  </si>
  <si>
    <t>e9b6e489-c947-4441-851b-e7ffd63fc9d2</t>
  </si>
  <si>
    <t>d989fa53-2626-490a-b2f3-3a54eb250c56</t>
  </si>
  <si>
    <t>c4d3c47d-1f28-4b03-a2b6-3132324a9971</t>
  </si>
  <si>
    <t>a8ff270f-c362-4d42-9cc2-b1bbcf842e08</t>
  </si>
  <si>
    <t>916ed577-4cb6-41fd-bd60-956dd1d818ab</t>
  </si>
  <si>
    <t>5/20/2025</t>
  </si>
  <si>
    <t>e26fb9f1-9989-4862-8a2a-aed8db55c43e</t>
  </si>
  <si>
    <t>012a8888-6c49-4f5c-aeaf-f4c713018e5f</t>
  </si>
  <si>
    <t>01582535-26c7-41dc-979f-a19c285ae197</t>
  </si>
  <si>
    <t>bb13bd6a-3b8f-49a3-83d9-680ccae8ff7e</t>
  </si>
  <si>
    <t>5/21/2025</t>
  </si>
  <si>
    <t>e59b8307-2aa1-4a34-8a64-b612adfd4ced</t>
  </si>
  <si>
    <t>f60bc030-ee0a-4a30-991d-7814f8448800</t>
  </si>
  <si>
    <t>5/22/2025</t>
  </si>
  <si>
    <t>0e9c5280-1538-428d-85b6-2ee6c54ccc11</t>
  </si>
  <si>
    <t>b1ea3735-7b2c-40ab-bdcf-320dcca05b40</t>
  </si>
  <si>
    <t>117dd912-36cd-4258-8793-cbe45926d461</t>
  </si>
  <si>
    <t>a71ff010-eb12-4248-994c-e91dd5a73f3d</t>
  </si>
  <si>
    <t>14516beb-e63e-417f-b978-e175b6f588b9</t>
  </si>
  <si>
    <t>5/23/2025</t>
  </si>
  <si>
    <t>1b2b1d90-ad4a-422f-8bd2-fc59caa54632</t>
  </si>
  <si>
    <t>5/25/2025</t>
  </si>
  <si>
    <t>cc6928c4-d3ce-486a-bb90-45dfd2afb0d6</t>
  </si>
  <si>
    <t>b208038f-c287-4d66-9bd6-209dd80c113f</t>
  </si>
  <si>
    <t>5/26/2025</t>
  </si>
  <si>
    <t>08736c7d-d5ff-4848-afb3-3a2977ef5a26</t>
  </si>
  <si>
    <t>3d472bf4-07a3-4a12-8db9-72995bae8d1b</t>
  </si>
  <si>
    <t>5/27/2025</t>
  </si>
  <si>
    <t>7f673678-1a22-4e30-a329-0e7ec332144b</t>
  </si>
  <si>
    <t>9a67866a-fdcf-4b93-abbc-275c58dd7693</t>
  </si>
  <si>
    <t>b51cd6e3-9d9a-40b4-9681-1d1ebc4ee0d8</t>
  </si>
  <si>
    <t>a54ff67a-a68c-46ca-9451-a48a04dbd7ba</t>
  </si>
  <si>
    <t>1a702b06-354f-4e61-8c71-b9f2b48b486e</t>
  </si>
  <si>
    <t>f6b8aeb7-2143-41e9-85e9-f76d91035f69</t>
  </si>
  <si>
    <t>eadd4a01-fd61-480b-b15c-b83708996077</t>
  </si>
  <si>
    <t>daf703ec-b3b2-447d-8a0c-f55b4ec6265d</t>
  </si>
  <si>
    <t>5/28/2025</t>
  </si>
  <si>
    <t>7a75eb3a-ef88-4b07-9771-0b96e0e958ee</t>
  </si>
  <si>
    <t>7177b471-35ef-403f-a603-4565f13f8e3f</t>
  </si>
  <si>
    <t>bbdb5812-a9e9-496a-a7f8-636f78adafe0</t>
  </si>
  <si>
    <t>dec65b59-2bf6-407d-b68a-a730253b1e08</t>
  </si>
  <si>
    <t>5/29/2025</t>
  </si>
  <si>
    <t>3cc0084c-81b3-4269-8b7f-f2843481fa54</t>
  </si>
  <si>
    <t>9780beae-7db0-409f-aa03-46d566f422d4</t>
  </si>
  <si>
    <t>8ccab5d7-ca16-4f87-a6ee-1376beb3c7eb</t>
  </si>
  <si>
    <t>0e80a663-0859-475b-a024-a24051f75f48</t>
  </si>
  <si>
    <t>5/30/2025</t>
  </si>
  <si>
    <t>cc490f5e-38df-4a60-83c9-b244ace708d2</t>
  </si>
  <si>
    <t>7f590354-48e4-4cd4-ad5a-f1d3e6a3bdba</t>
  </si>
  <si>
    <t>39914df8-5761-4825-8094-a06781ec4fe5</t>
  </si>
  <si>
    <t>5/31/2025</t>
  </si>
  <si>
    <t>3b3315a9-e5f3-4d2e-8542-41ef95f74e49</t>
  </si>
  <si>
    <t>46005096-3840-4e29-8861-9518419f40b5</t>
  </si>
  <si>
    <t>b87f2cc7-91c2-4a8e-bfea-585a7b28c108</t>
  </si>
  <si>
    <t>d2cb3059-7cc0-4445-8dbb-3164da0d2bac</t>
  </si>
  <si>
    <t>4639eebe-fbb3-40a4-9c72-41c15b68e92a</t>
  </si>
  <si>
    <t>49836fe6-0db3-4127-b69d-76af730b0cae</t>
  </si>
  <si>
    <t>eb2d7d5a-a5b0-4f8c-a854-0527b79e8dbb</t>
  </si>
  <si>
    <t>ae5fe1a6-3277-4dd7-ac3f-366e8c022993</t>
  </si>
  <si>
    <t>8054a3db-d783-4927-93e6-5611ad32604b</t>
  </si>
  <si>
    <t>c2c2414c-ac3b-4abb-b5a8-ffdc7da2245e</t>
  </si>
  <si>
    <t>cce11a12-bdc9-47fe-b9ad-c46eaed613c1</t>
  </si>
  <si>
    <t>f47ba0cd-0ae9-4131-8a8c-27e6ca8aaff3</t>
  </si>
  <si>
    <t>8cad06e1-737f-4465-900f-ab398ff929df</t>
  </si>
  <si>
    <t>bb95d4b8-9090-4939-869c-ef8a37ba2682</t>
  </si>
  <si>
    <t>32096c03-438b-41dc-bce7-b2ad8d8165d8</t>
  </si>
  <si>
    <t>42dc5ea8-66fa-4eca-a2d1-d8674a5a05a2</t>
  </si>
  <si>
    <t>5dc81a17-995c-4b20-b17d-9311a0165221</t>
  </si>
  <si>
    <t>466dbf02-5138-4559-b124-bfa90ac92f9b</t>
  </si>
  <si>
    <t>3af00996-393f-40e7-bd40-43377812537e</t>
  </si>
  <si>
    <t>f7097f21-cc09-4f1b-b0e0-38aeb240b9f4</t>
  </si>
  <si>
    <t>f077917f-992e-41bf-b02b-ee8916ad5799</t>
  </si>
  <si>
    <t>61c4bb55-4505-4672-ac8d-b58723491b1d</t>
  </si>
  <si>
    <t>8efc8066-79bb-409a-afd5-f2922b27c737</t>
  </si>
  <si>
    <t>0eb8d709-8685-45ac-a241-4b0204aca02c</t>
  </si>
  <si>
    <t>40d1854d-99a0-4881-90d7-a4d7ee9d6698</t>
  </si>
  <si>
    <t>6f91b939-fd11-43ce-83f0-e1e7824209f9</t>
  </si>
  <si>
    <t>27128618-7d3c-4491-9606-b97aeb29e8cb</t>
  </si>
  <si>
    <t>5a3e4a5c-431d-4843-bb7c-67f0b99d3041</t>
  </si>
  <si>
    <t>6d7768cf-1925-48eb-904c-11727c28e320</t>
  </si>
  <si>
    <t>a93a6e0d-820c-461d-bb9e-fb81e6d986ed</t>
  </si>
  <si>
    <t>3d59d41d-4a00-4877-a9f9-3e62e49fbbc8</t>
  </si>
  <si>
    <t>5e9a6509-ec8c-4b4c-aaf2-aa46b351498f</t>
  </si>
  <si>
    <t>a1163b0d-b49c-4055-8219-6ae9a48298e8</t>
  </si>
  <si>
    <t>54435ec2-7921-4e8b-aeaa-24a849b584c8</t>
  </si>
  <si>
    <t>a00be581-d179-4a70-8526-f7ac85f04f8a</t>
  </si>
  <si>
    <t>b9dc702b-8616-4c45-8e45-b597b7b7215f</t>
  </si>
  <si>
    <t>a12deee0-5909-4de3-ab9d-bd11832f0fe0</t>
  </si>
  <si>
    <t>add31859-56b1-4c67-be18-de895aca6a72</t>
  </si>
  <si>
    <t>effbc452-2f52-47ea-acce-9ff7e34c3f54</t>
  </si>
  <si>
    <t>131d743b-e120-4f0d-adbd-d53f1d877d30</t>
  </si>
  <si>
    <t>628fd7d2-c7c1-4717-b197-0b41e109e854</t>
  </si>
  <si>
    <t>457eaab1-fac4-41d8-a986-b78f2e2e089b</t>
  </si>
  <si>
    <t>09f9bf7d-9789-4d31-bde6-4833ed3a44ff</t>
  </si>
  <si>
    <t>6/13/2025</t>
  </si>
  <si>
    <t>8b3f2f32-fbec-424f-8ad2-fa33157362c2</t>
  </si>
  <si>
    <t>e679e138-c394-4fd8-85ec-bebfbb5e8751</t>
  </si>
  <si>
    <t>76b3f4d7-cbf4-4bd5-ae91-5b63e44ad9fc</t>
  </si>
  <si>
    <t>070eca27-bd31-44fd-9915-eeb68152d084</t>
  </si>
  <si>
    <t>c116b581-e01a-4f74-b17f-c94f452efa01</t>
  </si>
  <si>
    <t>6/14/2025</t>
  </si>
  <si>
    <t>c15808c3-fb04-4154-9337-85d04b4c2b0e</t>
  </si>
  <si>
    <t>6d7645b5-3c7e-4d65-bef4-383f43ce89f7</t>
  </si>
  <si>
    <t>6/16/2025</t>
  </si>
  <si>
    <t>ab75da92-d4d7-45e3-9c42-10a3a6b5a89c</t>
  </si>
  <si>
    <t>6/17/2025</t>
  </si>
  <si>
    <t>0f1c6f09-42e7-461f-bd25-926980132c47</t>
  </si>
  <si>
    <t>1fb969ed-e346-4407-9ce9-55cf39753dfa</t>
  </si>
  <si>
    <t>fa800c21-63f7-45bd-b5ec-f05f26a8ce98</t>
  </si>
  <si>
    <t>adbf8d2c-2c95-439c-bf08-11007b9947c5</t>
  </si>
  <si>
    <t>6/18/2025</t>
  </si>
  <si>
    <t>bfcd298d-e1b6-4846-9a92-d92d8f568e43</t>
  </si>
  <si>
    <t>08368354-cf8b-4826-a35e-eaeca79ce6c9</t>
  </si>
  <si>
    <t>6/19/2025</t>
  </si>
  <si>
    <t>e79cc047-2fc6-499c-8ddb-ad0ce23cac9e</t>
  </si>
  <si>
    <t>fcf31c35-b81b-4e41-80bc-809c2592cc0d</t>
  </si>
  <si>
    <t>77680b2a-d07e-41eb-bc7a-44c386ad51a5</t>
  </si>
  <si>
    <t>6/20/2025</t>
  </si>
  <si>
    <t>152e3e1c-5e94-4e4b-aff9-fe4432a1f570</t>
  </si>
  <si>
    <t>0abad2b4-f254-4431-bd4f-e4acecc9da76</t>
  </si>
  <si>
    <t>06e3fc97-b121-45f6-8537-c4fe2ee35763</t>
  </si>
  <si>
    <t>e842d7a1-c009-4e5b-ac3b-142ed6a47483</t>
  </si>
  <si>
    <t>79ca13f7-f6d1-44f2-be52-3f400e2f4da2</t>
  </si>
  <si>
    <t>c0daf751-e61c-4325-81dc-e2b0ef658ea6</t>
  </si>
  <si>
    <t>6/21/2025</t>
  </si>
  <si>
    <t>799e55eb-ead4-4d7c-b984-14eb5c3189e5</t>
  </si>
  <si>
    <t>021b836c-2d97-4623-89f6-a2e3f0746b54</t>
  </si>
  <si>
    <t>65ebe84d-bbfc-4dc4-b402-3ec55b549b9d</t>
  </si>
  <si>
    <t>6/22/2025</t>
  </si>
  <si>
    <t>4cae128d-a472-45bc-b830-dbd5da8d8197</t>
  </si>
  <si>
    <t>b64a8d35-a90b-4294-b3d8-d83f05bede18</t>
  </si>
  <si>
    <t>6/23/2025</t>
  </si>
  <si>
    <t>9247cb1d-7678-4573-a87a-1d36213a046b</t>
  </si>
  <si>
    <t>61902a8f-2c24-419b-9771-6c2c34a7291b</t>
  </si>
  <si>
    <t>284e801c-02e1-49ff-867d-698c84b200f1</t>
  </si>
  <si>
    <t>85477674-7fd5-4141-b8c6-a92bb2c53ce9</t>
  </si>
  <si>
    <t>9192719a-bb3c-431a-b5dd-2cddc5113407</t>
  </si>
  <si>
    <t>21880434-3ec9-4585-8981-268dfc93afed</t>
  </si>
  <si>
    <t>6/24/2025</t>
  </si>
  <si>
    <t>4a496b1d-cec0-4303-9014-07f5db0c4efe</t>
  </si>
  <si>
    <t>7cfab955-3c61-4ff4-a96a-0f0a6c45bc44</t>
  </si>
  <si>
    <t>4a936dc3-6e09-464e-9cb6-18e6c356f205</t>
  </si>
  <si>
    <t>1cc79f4b-4f26-4d4a-8065-0be9176a4cf6</t>
  </si>
  <si>
    <t>166eabde-c84e-4097-b44e-f42eaf58701c</t>
  </si>
  <si>
    <t>6/25/2025</t>
  </si>
  <si>
    <t>52074f3e-f35a-4407-9dbb-29de05d8d076</t>
  </si>
  <si>
    <t>ef99560f-ed55-4509-afd3-857bdeaeacf0</t>
  </si>
  <si>
    <t>ac75474a-7ab9-4170-8fb7-e9e271e8b0ba</t>
  </si>
  <si>
    <t>0f0dc55b-d8a6-4fb3-b188-e02fda8a9f5c</t>
  </si>
  <si>
    <t>6/26/2025</t>
  </si>
  <si>
    <t>682e9771-e069-4147-867c-11e116b1b043</t>
  </si>
  <si>
    <t>7406932b-ba1b-40b9-8de9-9485aec1a962</t>
  </si>
  <si>
    <t>b244499f-6bf4-4c73-a910-76dc687468bf</t>
  </si>
  <si>
    <t>6/27/2025</t>
  </si>
  <si>
    <t>d8a79542-0b6c-44dc-afd2-056ee2d98c5c</t>
  </si>
  <si>
    <t>50c68752-8e09-4604-a1d9-e0cb2378daf1</t>
  </si>
  <si>
    <t>211eb315-859b-45e1-874b-409dcde1707c</t>
  </si>
  <si>
    <t>e608c568-9afc-4d4c-94d6-31a3d25c25b7</t>
  </si>
  <si>
    <t>803e7bc1-6bff-4ceb-b46b-bf1761483fa9</t>
  </si>
  <si>
    <t>4a030507-2c62-478a-b03f-eaa0543beef1</t>
  </si>
  <si>
    <t>6/28/2025</t>
  </si>
  <si>
    <t>bcbce44d-fcbf-4a36-b2fb-e6335c7f55d5</t>
  </si>
  <si>
    <t>6/30/2025</t>
  </si>
  <si>
    <t>4db78273-d0a8-4fdb-b8c1-07b5fe6a2ad5</t>
  </si>
  <si>
    <t>011dc483-98ec-4e64-a186-cd1f230762b5</t>
  </si>
  <si>
    <t>b2b3a8d0-d5dc-4b88-905c-2a36d414355e</t>
  </si>
  <si>
    <t>57f74ccd-f7e9-4c34-adcd-d242ab85d2fd</t>
  </si>
  <si>
    <t>3ff1ab86-d0f1-4ef5-adc6-a263b85bfee1</t>
  </si>
  <si>
    <t>904372b5-92a0-4b8f-8803-bafef3dd9708</t>
  </si>
  <si>
    <t>e4452cb0-b689-4b24-9248-4ffc5e79bc97</t>
  </si>
  <si>
    <t>87549c6b-d31a-417a-9d43-c933318c2807</t>
  </si>
  <si>
    <t>ac4c63c3-ba8c-4f9e-b9a8-35fc125600d4</t>
  </si>
  <si>
    <t>3fc7d8a3-f296-4f39-a1f9-c620c9384c76</t>
  </si>
  <si>
    <t>260d1608-b609-4239-bd47-d420bd78ec8a</t>
  </si>
  <si>
    <t>fad57114-1942-4e5e-9837-deaf7286c48d</t>
  </si>
  <si>
    <t>bc380211-88c6-4daf-90a7-5c5c71901f1d</t>
  </si>
  <si>
    <t>8a5992dc-9b3c-4863-a5a3-65cbf22c5f1c</t>
  </si>
  <si>
    <t>88507fa4-bf72-4bc8-9287-72cc374c4493</t>
  </si>
  <si>
    <t>95f5688a-778e-4373-b417-b2182156239b</t>
  </si>
  <si>
    <t>0a0b29da-7959-4e59-8c71-978f936be97f</t>
  </si>
  <si>
    <t>054035f4-df35-42f2-befa-df6d990aaa40</t>
  </si>
  <si>
    <t>11234322-cb93-4089-9b99-d777bc47a25e</t>
  </si>
  <si>
    <t>5b812590-af1c-425b-a97e-61de7e9234c1</t>
  </si>
  <si>
    <t>8795c337-8024-492a-8c5a-2771777e1ae9</t>
  </si>
  <si>
    <t>72665d8f-ce8d-4999-bec6-8823a2c0dbf8</t>
  </si>
  <si>
    <t>122574f3-d3f1-4efa-b7a7-5902a5e8c6d9</t>
  </si>
  <si>
    <t>3a2e8fa7-9e85-4611-a43b-5a1fe853fc1d</t>
  </si>
  <si>
    <t>deedc5a7-f771-43a4-b211-9d671707c46f</t>
  </si>
  <si>
    <t>0f86d4b0-8346-431f-b4c1-846c55a87ef7</t>
  </si>
  <si>
    <t>f697cf66-fa5d-4a6c-bdf5-4d6c15911e70</t>
  </si>
  <si>
    <t>eaf40269-a4a7-4662-9682-311277c7d17b</t>
  </si>
  <si>
    <t>8ffd5f69-5de6-4679-8a55-1f73dd59c232</t>
  </si>
  <si>
    <t>84d4f858-6338-42a7-a201-df3ff3db443c</t>
  </si>
  <si>
    <t>61faaa50-71d2-49b6-ad0e-2f58c2164afb</t>
  </si>
  <si>
    <t>e1048ea0-d983-4a71-aacc-edfbb0721afc</t>
  </si>
  <si>
    <t>7f4a0c1b-67e3-4fb3-bbcd-b5c7f5cc8d70</t>
  </si>
  <si>
    <t>66fa551e-ed6d-4f95-8145-724e012c3ea1</t>
  </si>
  <si>
    <t>13f7e0ab-d89e-4643-9265-af8f6a81ecb8</t>
  </si>
  <si>
    <t>ffb5c350-8c57-47d6-b08a-929790c21ce9</t>
  </si>
  <si>
    <t>d45fa4a5-ba09-43e5-adf7-300d73692cc3</t>
  </si>
  <si>
    <t>2d350bb5-9ac8-49d3-8d3e-cdad429390cb</t>
  </si>
  <si>
    <t>a85ca09d-fb20-4d72-9c27-bc5a0c46d292</t>
  </si>
  <si>
    <t>be7ad150-c671-4184-b474-862c86ffc2ac</t>
  </si>
  <si>
    <t>65e6f01c-8f47-4465-9c4c-abd147c549a1</t>
  </si>
  <si>
    <t>7/13/2025</t>
  </si>
  <si>
    <t>cafa3725-1d89-46a4-a976-4a8a73691b1b</t>
  </si>
  <si>
    <t>7/14/2025</t>
  </si>
  <si>
    <t>42f427ea-6e0f-4bee-8d7d-56a7ea4c24c5</t>
  </si>
  <si>
    <t>f65b068a-e88d-4173-b9c3-e6893cc24b13</t>
  </si>
  <si>
    <t>7d36efbd-e230-4099-9363-0c00e3d8dd9b</t>
  </si>
  <si>
    <t>e81dacfe-1715-4189-acda-22f25b8b604f</t>
  </si>
  <si>
    <t>7/15/2025</t>
  </si>
  <si>
    <t>13c06607-a523-406e-b5c4-69f051ca5cb5</t>
  </si>
  <si>
    <t>e0b762f7-ca74-43ff-8707-7e9b6bb144d9</t>
  </si>
  <si>
    <t>4bb079cb-70db-4b64-a032-f1190a35ae88</t>
  </si>
  <si>
    <t>ef58b3bb-06f9-4d1d-8d3b-5e4c91f9daee</t>
  </si>
  <si>
    <t>e71520d1-4e7f-4ce9-bfd3-8206746e5bf4</t>
  </si>
  <si>
    <t>7/16/2025</t>
  </si>
  <si>
    <t>5fbcf3ef-6c77-4b25-a99b-040e26e7ef93</t>
  </si>
  <si>
    <t>a93fe006-ef04-445b-b6c2-fb22b91f6eca</t>
  </si>
  <si>
    <t>7760c167-fb11-4261-87fe-f05a2976390e</t>
  </si>
  <si>
    <t>976c7c8b-11d4-4cd8-9bf4-eb4f5d3ccd07</t>
  </si>
  <si>
    <t>63d6ff12-6a87-4f16-b061-3acd4503c05c</t>
  </si>
  <si>
    <t>7/17/2025</t>
  </si>
  <si>
    <t>c20f8442-d0e3-4ca3-a8cc-8713d2d6837f</t>
  </si>
  <si>
    <t>7c27b424-3210-4c5b-a344-9a7f0827f68c</t>
  </si>
  <si>
    <t>7/18/2025</t>
  </si>
  <si>
    <t>1c3ee87a-e8fa-4e4b-962f-f29bde729a07</t>
  </si>
  <si>
    <t>d080f1da-9b89-4b42-aef9-5736899d54b9</t>
  </si>
  <si>
    <t>a893244e-025a-422c-99d8-324d7b199ef4</t>
  </si>
  <si>
    <t>7/19/2025</t>
  </si>
  <si>
    <t>ae1e8061-206b-4b79-a7ab-5199f89a2e26</t>
  </si>
  <si>
    <t>7/20/2025</t>
  </si>
  <si>
    <t>9581f626-d42e-477b-8f8a-e3c98ed0a516</t>
  </si>
  <si>
    <t>93af56e8-6ea1-4cd6-be54-78d135ac173d</t>
  </si>
  <si>
    <t>40391f9c-86da-4139-ab29-e6a258bfb72c</t>
  </si>
  <si>
    <t>abadf628-18a3-479a-87b6-019b033b6f25</t>
  </si>
  <si>
    <t>7/21/2025</t>
  </si>
  <si>
    <t>7e35be7d-f9f9-4e6f-867a-da75fb0d817e</t>
  </si>
  <si>
    <t>57521e7b-63e8-4a4e-ab5d-7dad9d41116a</t>
  </si>
  <si>
    <t>94da5734-de0e-45a2-b726-19a658ed9afa</t>
  </si>
  <si>
    <t>7/22/2025</t>
  </si>
  <si>
    <t>d5357428-1c72-4d4b-89b6-1301e3af64f8</t>
  </si>
  <si>
    <t>820daf6f-191b-42ce-b8ea-121c1f6f4c5e</t>
  </si>
  <si>
    <t>2e356bf0-9763-41d3-9317-6d126d27ee56</t>
  </si>
  <si>
    <t>7/23/2025</t>
  </si>
  <si>
    <t>74d487cd-ae46-48de-85b4-29b08806c273</t>
  </si>
  <si>
    <t>01742d94-9879-49a2-951d-f1f771b176e1</t>
  </si>
  <si>
    <t>8333d9b4-82ef-4013-84eb-df0e31a7a99e</t>
  </si>
  <si>
    <t>7/24/2025</t>
  </si>
  <si>
    <t>8e0e4155-c10a-435c-b873-81dc335fb92d</t>
  </si>
  <si>
    <t>d0051552-815f-463d-ada6-8400f7efe5e0</t>
  </si>
  <si>
    <t>9a494ed1-6201-46c5-8fe8-44e216b1d126</t>
  </si>
  <si>
    <t>a1b15c39-4434-45e0-8c30-26fb432bc882</t>
  </si>
  <si>
    <t>116ebed8-a35e-4dfe-874a-875b8ea51ba2</t>
  </si>
  <si>
    <t>7/25/2025</t>
  </si>
  <si>
    <t>7afa921a-5a72-4610-a353-bcb86eff78a7</t>
  </si>
  <si>
    <t>a2357d96-fdd3-4ffc-aad3-559cf8dac6e0</t>
  </si>
  <si>
    <t>7/27/2025</t>
  </si>
  <si>
    <t>ca1a65a6-8ac7-4ee1-9e7c-1d47cfb6744a</t>
  </si>
  <si>
    <t>7/28/2025</t>
  </si>
  <si>
    <t>9a0f0a0c-3fa1-40e7-8a52-bbb26ef07012</t>
  </si>
  <si>
    <t>ff0bf539-076d-483a-b0f8-0bbc7aa66268</t>
  </si>
  <si>
    <t>703f5595-0277-47c1-a5f7-cae8c90846c0</t>
  </si>
  <si>
    <t>aa97e3f9-808a-4b79-bcfd-4cb2b83df468</t>
  </si>
  <si>
    <t>98408884-4ee8-488f-a474-265ad2b96ab7</t>
  </si>
  <si>
    <t>1d833d69-5a67-46c1-8678-b65e3d2fc837</t>
  </si>
  <si>
    <t>7/29/2025</t>
  </si>
  <si>
    <t>08e22db9-1e16-454a-a103-be05b692a496</t>
  </si>
  <si>
    <t>0de12325-d47b-4d79-b2de-4d5ef29895cb</t>
  </si>
  <si>
    <t>10d54dff-2d36-4151-a90d-1aa07b1f75d6</t>
  </si>
  <si>
    <t>43bba1ba-f7e3-4049-86c7-68ee3561de46</t>
  </si>
  <si>
    <t>7/30/2025</t>
  </si>
  <si>
    <t>c1b51ea5-71de-449f-b980-e8c5e59b5e19</t>
  </si>
  <si>
    <t>9b39a494-bf94-4981-a4dc-3458a6b9e377</t>
  </si>
  <si>
    <t>7/31/2025</t>
  </si>
  <si>
    <t>6c1bdb66-dc74-4f9a-975e-2ccfb66eee5c</t>
  </si>
  <si>
    <t>b1d1769c-a0ee-42b4-94f9-bc8e5e56fd0b</t>
  </si>
  <si>
    <t>13586abe-bf05-4f26-ab7b-079262b6cd00</t>
  </si>
  <si>
    <t>279dd256-c271-4454-a3c1-398eba05baad</t>
  </si>
  <si>
    <t>17eadbac-d687-4fb0-90f1-056c8a02f67e</t>
  </si>
  <si>
    <t>b7abc643-182f-42a1-8687-449893700bc6</t>
  </si>
  <si>
    <t>ef666eed-26c7-4e1d-8138-27d4bd92e537</t>
  </si>
  <si>
    <t>9bd4af3c-6c30-477f-ac3d-0b7bac295761</t>
  </si>
  <si>
    <t>d8ee8d9b-43cd-4a7e-aef9-66daaa780b9b</t>
  </si>
  <si>
    <t>f2f11d7e-863d-490d-9ac6-bd25a8a9e4f6</t>
  </si>
  <si>
    <t>1e9d074c-31dc-4b92-a875-2fe9562e2bee</t>
  </si>
  <si>
    <t>bb7618b3-5c56-45af-a882-c8f1d0776f1e</t>
  </si>
  <si>
    <t>a698cfe1-8bdc-4502-8f35-a1673f64d8ad</t>
  </si>
  <si>
    <t>268159e9-b1ee-4b63-a3a2-a7ca6bc36603</t>
  </si>
  <si>
    <t>3768370d-119b-45ba-9c31-0d54c02e924c</t>
  </si>
  <si>
    <t>f43c8a09-ff77-43bf-835e-11728a3b4ded</t>
  </si>
  <si>
    <t>09ac9ebf-7382-445a-837f-9823d70ae5ad</t>
  </si>
  <si>
    <t>0266325d-35c7-448c-ad85-b86070627579</t>
  </si>
  <si>
    <t>52a6cb17-229c-487a-98bc-dae40cc8c68b</t>
  </si>
  <si>
    <t>7bb3948b-3880-4aaf-812e-f23e54623cdd</t>
  </si>
  <si>
    <t>97439d6d-a648-4e4a-bb5b-7f6986dc298c</t>
  </si>
  <si>
    <t>1c8f6302-53e5-4072-bfc1-8b94a485d230</t>
  </si>
  <si>
    <t>16e351ca-1249-439d-aabe-53a5c8c35175</t>
  </si>
  <si>
    <t>eec98a81-4b20-4d49-a5d5-9c76faf40c41</t>
  </si>
  <si>
    <t>c4c474b0-eb4a-45cc-a042-0570e7866fcb</t>
  </si>
  <si>
    <t>5520a98e-5c6e-446b-a48a-02f5a94c0162</t>
  </si>
  <si>
    <t>f8607940-26bc-4d7f-8aa8-00a52fe5424c</t>
  </si>
  <si>
    <t>b9389378-74a4-4d65-865b-39a9029bceac</t>
  </si>
  <si>
    <t>bb0b84f9-75f5-493a-bf4d-5dd8d9e7cd55</t>
  </si>
  <si>
    <t>b59f77e4-54e3-4f19-8fe7-9397ff0e80f1</t>
  </si>
  <si>
    <t>3f57eef6-f5f2-41b7-9d53-a8bfe347a47a</t>
  </si>
  <si>
    <t>6dedb7af-d8fa-4569-a15c-bcb8292ba524</t>
  </si>
  <si>
    <t>24cd8611-6a13-4c50-84f5-f098e047567c</t>
  </si>
  <si>
    <t>cb359e73-d830-44ce-b130-6edbf7816270</t>
  </si>
  <si>
    <t>f29f0591-1dd1-472d-a194-61493168c9a5</t>
  </si>
  <si>
    <t>2a96b8ba-95fd-46b9-9def-425cf15f5cc3</t>
  </si>
  <si>
    <t>d0f5fe6a-a609-443e-90f9-4c4665308b42</t>
  </si>
  <si>
    <t>8fc65695-899e-46bc-afaf-2eaae2b5d86d</t>
  </si>
  <si>
    <t>6783b116-f940-449f-b4dc-8190fc03ca65</t>
  </si>
  <si>
    <t>d44b2fd3-2e20-4932-bd3f-6742c96718ce</t>
  </si>
  <si>
    <t>8/13/2025</t>
  </si>
  <si>
    <t>a2ce2940-059a-4426-88d5-6db45f0fd864</t>
  </si>
  <si>
    <t>9bd04b0a-6d3a-4171-8b5b-bdcd52aa061e</t>
  </si>
  <si>
    <t>d5576b79-0aaa-437b-b07b-b2c718e46dd6</t>
  </si>
  <si>
    <t>cd147f8c-d679-40fe-bc05-8afd58dc070e</t>
  </si>
  <si>
    <t>8/14/2025</t>
  </si>
  <si>
    <t>d256961b-b873-41c3-904b-4f6cd1992f24</t>
  </si>
  <si>
    <t>c606d4ec-0d09-4db2-9b8f-5bf312d672ec</t>
  </si>
  <si>
    <t>237dccce-b0d1-4120-ba09-0b3906c3f29d</t>
  </si>
  <si>
    <t>8ebe74e0-1dcc-4393-99e4-999022c72270</t>
  </si>
  <si>
    <t>8be7a3af-a942-435b-bc26-2ce71acf2924</t>
  </si>
  <si>
    <t>8/15/2025</t>
  </si>
  <si>
    <t>01229c95-2032-4bc1-b3f9-5efe58f006bf</t>
  </si>
  <si>
    <t>7aea6053-908a-4ec9-80d8-c6615f79615f</t>
  </si>
  <si>
    <t>aff3c147-71c0-4c86-be51-a9f8c386e2a2</t>
  </si>
  <si>
    <t>fb726998-5954-47be-b0df-664da625806b</t>
  </si>
  <si>
    <t>7bfbeeb8-beed-4823-a094-4e9562420776</t>
  </si>
  <si>
    <t>94e48fc5-ec0f-4067-8d84-b0fce92e6429</t>
  </si>
  <si>
    <t>e3866b32-03f0-4345-b7f2-791c7515b68c</t>
  </si>
  <si>
    <t>8/16/2025</t>
  </si>
  <si>
    <t>a7707eac-b043-452c-b8c8-4a203dc1fff4</t>
  </si>
  <si>
    <t>8/17/2025</t>
  </si>
  <si>
    <t>bed2cb1b-83b8-44e4-999b-2e0e342d51b0</t>
  </si>
  <si>
    <t>49870cba-eead-4743-a6c7-66338de6e8cf</t>
  </si>
  <si>
    <t>8/18/2025</t>
  </si>
  <si>
    <t>0f36d41d-a7c6-477a-ae17-a75a2fa478a5</t>
  </si>
  <si>
    <t>529d775e-6c04-4727-bca7-afac23ba17fb</t>
  </si>
  <si>
    <t>8047d28a-61aa-4835-a72d-6ad096debbda</t>
  </si>
  <si>
    <t>7c3e76b3-98a2-4202-95f6-90613efe160f</t>
  </si>
  <si>
    <t>8/19/2025</t>
  </si>
  <si>
    <t>2ccc834f-67e8-47e6-a4f6-b180d8bd2e1a</t>
  </si>
  <si>
    <t>0dc2dc74-89e3-4d4d-a6b1-9549245ca81d</t>
  </si>
  <si>
    <t>e95970ca-757a-44ff-b258-9187d21998e3</t>
  </si>
  <si>
    <t>8/20/2025</t>
  </si>
  <si>
    <t>d5925ac5-6210-44a5-9dfa-1c5dbccf041e</t>
  </si>
  <si>
    <t>38913b33-880d-444c-821e-5dd21968573f</t>
  </si>
  <si>
    <t>8/21/2025</t>
  </si>
  <si>
    <t>fd66894a-e674-4ac7-9024-6bd65a7de147</t>
  </si>
  <si>
    <t>f6e4d3f2-2a73-4229-9bc2-3ca0f6d59e0d</t>
  </si>
  <si>
    <t>8173d12a-586a-48d2-b3ce-7a8a907d0990</t>
  </si>
  <si>
    <t>be2d611b-c921-4645-acbe-76f5d57c265a</t>
  </si>
  <si>
    <t>58989547-bf57-4806-a475-539cee38e1b3</t>
  </si>
  <si>
    <t>47876bba-e0f5-47eb-9d62-e890ae2f4def</t>
  </si>
  <si>
    <t>6c9d6aa3-e85a-4d8f-a3f6-5c641f3aa711</t>
  </si>
  <si>
    <t>56b0d688-5660-4754-b2d2-30438adc1768</t>
  </si>
  <si>
    <t>332fc0db-eb4a-4b0c-8cf3-04edb8b6acf6</t>
  </si>
  <si>
    <t>8/22/2025</t>
  </si>
  <si>
    <t>085aa66e-b44a-4559-be2e-d2b03c814413</t>
  </si>
  <si>
    <t>3e069b11-c2a8-48b6-96f4-590992134bde</t>
  </si>
  <si>
    <t>7e7a6e2a-0a8c-487f-99e7-91f17c5e8f70</t>
  </si>
  <si>
    <t>8/23/2025</t>
  </si>
  <si>
    <t>a15c0289-b91d-4aca-9292-718caa4805f8</t>
  </si>
  <si>
    <t>8/24/2025</t>
  </si>
  <si>
    <t>2e917b27-74c4-4c38-89ba-15ac12447525</t>
  </si>
  <si>
    <t>5f5c1a9d-bfd9-4ca6-a8f4-6f8819324269</t>
  </si>
  <si>
    <t>8/25/2025</t>
  </si>
  <si>
    <t>4bd26f33-9ab4-4ccc-8073-480c789f6578</t>
  </si>
  <si>
    <t>2861b998-4ae8-4887-a9b7-cb240deec38a</t>
  </si>
  <si>
    <t>bc6fdf27-c546-4e98-8240-81f261318e9e</t>
  </si>
  <si>
    <t>624ce4f8-2ec6-4f33-b3ad-ba3f6b781dd5</t>
  </si>
  <si>
    <t>4869d112-6ede-4b0f-833f-70da091fcfb6</t>
  </si>
  <si>
    <t>8/26/2025</t>
  </si>
  <si>
    <t>27ccd5c9-1b3b-4358-a5ec-966ed42754d5</t>
  </si>
  <si>
    <t>f51f3634-fcc6-43be-9afe-5c5479ba2f10</t>
  </si>
  <si>
    <t>c0882bcb-704d-4b35-8fc1-3e9ef00a1836</t>
  </si>
  <si>
    <t>5691e71e-decb-40c4-a805-3eefdf975361</t>
  </si>
  <si>
    <t>8/27/2025</t>
  </si>
  <si>
    <t>af85d1f8-b13d-4e07-8213-1b9eec54c8b9</t>
  </si>
  <si>
    <t>525764a9-20f3-4a1c-b476-336377d74b7e</t>
  </si>
  <si>
    <t>f4187492-4474-4e48-9567-5c23b929715b</t>
  </si>
  <si>
    <t>9de1db22-4c96-4111-b519-56e1ba9316b1</t>
  </si>
  <si>
    <t>59bb1a00-5ecc-4374-a11b-779c316eacbe</t>
  </si>
  <si>
    <t>8/28/2025</t>
  </si>
  <si>
    <t>ec1878fa-1be2-458c-9a84-18f6179b067c</t>
  </si>
  <si>
    <t>07b0fe1b-9d8d-46d8-a58d-741f3e9a6a0e</t>
  </si>
  <si>
    <t>fe212968-4d9a-4362-93c2-715227392e98</t>
  </si>
  <si>
    <t>0d244816-10a0-4a88-a1af-b70aa5f729b8</t>
  </si>
  <si>
    <t>8/29/2025</t>
  </si>
  <si>
    <t>186fba82-113e-4995-a7c2-a7891dfa5aef</t>
  </si>
  <si>
    <t>ce3474fb-d862-444c-b5dc-bfc9df049669</t>
  </si>
  <si>
    <t>d7edbd4c-c706-4ab0-934a-7acca735fb83</t>
  </si>
  <si>
    <t>7e260bc8-6a78-48fe-b675-38c095f4bd03</t>
  </si>
  <si>
    <t>562f5f0c-ef02-4fe3-807c-eadf3059b8df</t>
  </si>
  <si>
    <t>8/31/2025</t>
  </si>
  <si>
    <t>11274cac-19f8-4b39-b80a-3037bd172a15</t>
  </si>
  <si>
    <t>102fbf7e-6088-4c8d-a1f9-185c433e8c73</t>
  </si>
  <si>
    <t>40f8e8b0-ba86-468c-ad7c-fdba3613f06f</t>
  </si>
  <si>
    <t>028781bf-e37f-466f-af5e-76d686cd1ed7</t>
  </si>
  <si>
    <t>d18c6b45-39b4-4603-bc9c-097371735050</t>
  </si>
  <si>
    <t>8ec2848a-ed9a-4c1e-b270-8870add85cc2</t>
  </si>
  <si>
    <t>f265b363-66ba-408f-bc60-c25f53ff5b5c</t>
  </si>
  <si>
    <t>62828f22-e977-4d54-a363-d293fcec5f1e</t>
  </si>
  <si>
    <t>d11b5021-0ec4-4fba-b9fc-2a498914f0bb</t>
  </si>
  <si>
    <t>f7935411-0fd0-4ceb-9a63-bee02826825b</t>
  </si>
  <si>
    <t>d139d29a-0435-47c6-9e1b-9ebd57275cd7</t>
  </si>
  <si>
    <t>d7e1bdf6-a622-4b97-8d5b-daf128cf6bb3</t>
  </si>
  <si>
    <t>781c0654-9d26-4a7e-ac1f-59d35637ca46</t>
  </si>
  <si>
    <t>5f1183e9-9994-4439-bb36-abe0f158c827</t>
  </si>
  <si>
    <t>c63a924d-0d52-4aaa-83de-dc1fcdaf166a</t>
  </si>
  <si>
    <t>7114e8d0-2796-4d27-b518-e45fc29384b4</t>
  </si>
  <si>
    <t>d064a8f5-caa5-4680-b245-4baecae7dcac</t>
  </si>
  <si>
    <t>d993430e-e0d5-4edd-8a60-99a10f3779c3</t>
  </si>
  <si>
    <t>fa52d71f-3f05-4308-90f3-fc4e76780b69</t>
  </si>
  <si>
    <t>d9fceb49-9829-41e6-b371-b8aa95a63376</t>
  </si>
  <si>
    <t>88a22455-7fa5-4efb-9744-e07911937301</t>
  </si>
  <si>
    <t>0fed9169-0cec-46c3-9ccd-48260d67c23b</t>
  </si>
  <si>
    <t>e19113bc-6ec5-4329-bcb7-25017e06eef1</t>
  </si>
  <si>
    <t>46ff18b8-74cd-4b10-88c1-8498bbadd038</t>
  </si>
  <si>
    <t>9cca46fb-1e0c-415e-bb98-4190467ec1f4</t>
  </si>
  <si>
    <t>d445a9b9-5591-4d44-a448-1461ed85a86e</t>
  </si>
  <si>
    <t>4d54f59b-430c-4946-af0e-d5d1b5ede240</t>
  </si>
  <si>
    <t>e46b4798-4f17-4f81-a522-9953e23219d8</t>
  </si>
  <si>
    <t>7fc2993d-66ed-4f53-8897-5eb97ad7054a</t>
  </si>
  <si>
    <t>23de31bc-8077-4f18-9c80-1d82000b857a</t>
  </si>
  <si>
    <t>aabf448f-bade-4432-8f39-5e82df4fdcb0</t>
  </si>
  <si>
    <t>fd57d5ec-e372-4966-a230-5f1b094c8b0c</t>
  </si>
  <si>
    <t>7c082cd4-50b1-4dba-80f9-18ac93fb9c01</t>
  </si>
  <si>
    <t>8f24f715-54d4-496c-b51b-f2cbe1d89b4b</t>
  </si>
  <si>
    <t>421b3e2e-c4dc-4100-9614-8469a1ac283e</t>
  </si>
  <si>
    <t>ae21fc07-1e7b-4933-add8-dc688363ccc3</t>
  </si>
  <si>
    <t>f571bdc6-7eb1-441e-88c2-826fa13fd2f6</t>
  </si>
  <si>
    <t>ece65ebd-5fe8-4427-8da5-b5bbe45c577e</t>
  </si>
  <si>
    <t>b5e1cba6-31ae-4e56-8792-1310b8ad326c</t>
  </si>
  <si>
    <t>0b05849d-77e6-4ecf-a9f4-5d9fca551f13</t>
  </si>
  <si>
    <t>a51bc122-9221-4724-b8a1-a7c8531b026e</t>
  </si>
  <si>
    <t>3fc5897b-e096-4b04-9a7b-466f480ec69d</t>
  </si>
  <si>
    <t>a12373e6-6264-4253-aec6-2b4ea03df561</t>
  </si>
  <si>
    <t>1ffacbf8-9f92-4b96-841f-bdd959d7159d</t>
  </si>
  <si>
    <t>cf704d21-b0ad-4fa3-8b27-4537d4994afb</t>
  </si>
  <si>
    <t>4d60291a-4c82-4f0d-b7f6-c8fe7670ad52</t>
  </si>
  <si>
    <t>9cbe694a-0ed7-4f1d-95c0-f586aa067d8f</t>
  </si>
  <si>
    <t>5fee1ae5-aacc-4cac-9f28-98df6072ca3a</t>
  </si>
  <si>
    <t>516ad7fa-b711-4cdc-a6b0-3ea1f3a00700</t>
  </si>
  <si>
    <t>87453b91-df39-43ec-b185-3ad2941c9062</t>
  </si>
  <si>
    <t>9/14/2025</t>
  </si>
  <si>
    <t>80784c23-7209-43ed-bca0-b71f85e91ccf</t>
  </si>
  <si>
    <t>6bbc08db-b895-46a0-8116-9b8b08da2dd7</t>
  </si>
  <si>
    <t>9/15/2025</t>
  </si>
  <si>
    <t>a01ad39a-0fd3-46e5-bc03-d90799545cc8</t>
  </si>
  <si>
    <t>ba29df4e-b537-42fd-b4b7-6cb78cc125d7</t>
  </si>
  <si>
    <t>c4c74c57-1d35-4d72-a143-313d37e71b17</t>
  </si>
  <si>
    <t>2ed6934a-5670-4881-b85d-25d030ef8501</t>
  </si>
  <si>
    <t>b9d8274b-42a6-4870-b775-3e2cb95621eb</t>
  </si>
  <si>
    <t>9/16/2025</t>
  </si>
  <si>
    <t>f9fad74e-e8cc-4526-96cc-2faf835e9708</t>
  </si>
  <si>
    <t>63dc3c44-64c9-4143-9be0-f2243fe346de</t>
  </si>
  <si>
    <t>651d36c9-2e3c-4076-8a77-ee9789511a8e</t>
  </si>
  <si>
    <t>dd7bba6e-806b-414b-80eb-14b0f3863828</t>
  </si>
  <si>
    <t>bb568698-b725-48d7-8f04-a963eb2e6b51</t>
  </si>
  <si>
    <t>8c31081c-337c-4890-8ddc-57eec97c15ec</t>
  </si>
  <si>
    <t>9/17/2025</t>
  </si>
  <si>
    <t>c73f3d36-316d-4b4e-8242-380804c519b6</t>
  </si>
  <si>
    <t>63200145-e42a-477f-b5fe-cc201885a2e4</t>
  </si>
  <si>
    <t>417be5a0-33ad-4ca8-9b17-1d0aa919ece6</t>
  </si>
  <si>
    <t>9/18/2025</t>
  </si>
  <si>
    <t>84139a43-057d-4c62-8e8d-cd4e11cbbe6d</t>
  </si>
  <si>
    <t>55e15e5e-a9a8-4faa-9db9-6d6f76844166</t>
  </si>
  <si>
    <t>ec178b1e-2030-431d-9832-0e4fe5f97f71</t>
  </si>
  <si>
    <t>515ef68f-8d4b-4dcc-8166-2b98a5fdbb43</t>
  </si>
  <si>
    <t>8776f6f3-ba30-4985-8ead-6feb5688bc18</t>
  </si>
  <si>
    <t>9/19/2025</t>
  </si>
  <si>
    <t>db01cdbd-bf08-4d4f-9f54-3bcbf34ca586</t>
  </si>
  <si>
    <t>ff782a7c-c166-4052-ac2a-2f466ff4e795</t>
  </si>
  <si>
    <t>95d09145-f14a-464b-97b9-ac8a8f5dc71f</t>
  </si>
  <si>
    <t>6531ff79-ccfb-4cb4-9e8a-e6b4dc7fe22a</t>
  </si>
  <si>
    <t>0b73cf03-3bfa-41a3-a129-21478246b7dc</t>
  </si>
  <si>
    <t>9/20/2025</t>
  </si>
  <si>
    <t>2450881f-90f6-4ef8-8de4-b14c20600508</t>
  </si>
  <si>
    <t>9/22/2025</t>
  </si>
  <si>
    <t>0fb5532a-fb19-4313-93fa-e59dcda53dcf</t>
  </si>
  <si>
    <t>59333c22-26b6-4e2c-b7e7-89136a9208f8</t>
  </si>
  <si>
    <t>8f003990-7fa2-45e4-ae80-1affad0ee11d</t>
  </si>
  <si>
    <t>9/23/2025</t>
  </si>
  <si>
    <t>c457f1e8-231a-45d7-950d-82d31a8d00cd</t>
  </si>
  <si>
    <t>cb56f6ef-0473-4a0c-af37-654f77db5769</t>
  </si>
  <si>
    <t>15db5418-9b23-44f1-be25-34eeb43fd821</t>
  </si>
  <si>
    <t>a0b4c25e-d0f2-45da-97c0-6d5a97ce25cc</t>
  </si>
  <si>
    <t>9/24/2025</t>
  </si>
  <si>
    <t>0f0f349e-94b8-4571-b8bc-2218ecc5f5d9</t>
  </si>
  <si>
    <t>497a132d-fccf-4a28-8238-b31d1807c543</t>
  </si>
  <si>
    <t>9/25/2025</t>
  </si>
  <si>
    <t>44970269-1ed7-4f55-ae96-89b310f49f8d</t>
  </si>
  <si>
    <t>79794f8f-9342-41b1-9bf0-1ce1ce4a9be4</t>
  </si>
  <si>
    <t>0ddc4a1a-6eac-4485-bac9-35ef7429941f</t>
  </si>
  <si>
    <t>08e51e6c-4103-474f-bbcc-580bc6591d6f</t>
  </si>
  <si>
    <t>cf785588-bc68-46ee-aec7-92d341f786db</t>
  </si>
  <si>
    <t>bc442950-9646-41f4-8b02-36e0d8802a86</t>
  </si>
  <si>
    <t>9/26/2025</t>
  </si>
  <si>
    <t>2d046b57-25da-47ec-adc0-77e7763802e5</t>
  </si>
  <si>
    <t>692f0394-f49c-4675-944a-dc969815634f</t>
  </si>
  <si>
    <t>59ed2c25-e370-44d0-a27f-d54428246726</t>
  </si>
  <si>
    <t>9/29/2025</t>
  </si>
  <si>
    <t>07775358-fa9a-4947-b4bb-2e99e944f03d</t>
  </si>
  <si>
    <t>1b233bfd-232b-4576-9167-348ec5c1ad1c</t>
  </si>
  <si>
    <t>5e034128-bae4-4b9a-a72f-897b14f53330</t>
  </si>
  <si>
    <t>3332a12e-f9e2-44cf-a1b4-218b62688d1a</t>
  </si>
  <si>
    <t>82fbbbd6-16b5-4593-8aea-51c4679101ff</t>
  </si>
  <si>
    <t>9/30/2025</t>
  </si>
  <si>
    <t>94e91d72-9d7a-4216-8c19-58bea4cf4356</t>
  </si>
  <si>
    <t>a2589c2f-f2ef-47e8-a67a-335ba8a5ffc8</t>
  </si>
  <si>
    <t>db242f34-12cc-400a-942d-d38ed31ea5c7</t>
  </si>
  <si>
    <t>c6f4315e-d738-48eb-bb2e-e8143ce988e2</t>
  </si>
  <si>
    <t>0e64172a-5842-4abb-977d-dc1fd52fde9d</t>
  </si>
  <si>
    <t>e82e693b-27ee-47ce-ba81-1482fd91e66b</t>
  </si>
  <si>
    <t>8fcfa989-67a4-4e04-a4de-9997dc566fb5</t>
  </si>
  <si>
    <t>e66eabe5-746a-405f-bc85-be45303bddb0</t>
  </si>
  <si>
    <t>f6d4dad5-c9ed-43dd-a789-c5fd19cc2760</t>
  </si>
  <si>
    <t>a01bdea7-69c5-489f-895d-f7d3344ffa89</t>
  </si>
  <si>
    <t>436c8c86-2355-4548-b5d2-5823f6a5be33</t>
  </si>
  <si>
    <t>f2f3a4f5-c472-40e8-a879-171fb0290dc8</t>
  </si>
  <si>
    <t>6118b2dd-a18e-49bd-8acc-9dcfc3eebe66</t>
  </si>
  <si>
    <t>33e00bc6-f70e-4156-8c32-ad706f5c400c</t>
  </si>
  <si>
    <t>48213bcb-cbeb-4112-a55c-8710cb96d8c2</t>
  </si>
  <si>
    <t>0016dcad-2bb8-4d11-bc19-82aa285f4ddd</t>
  </si>
  <si>
    <t>d7acb131-5d68-4299-ade2-65024ebfb4d6</t>
  </si>
  <si>
    <t>060fcd74-239f-4ba6-8def-fd0214677060</t>
  </si>
  <si>
    <t>d6dc9366-8429-4619-b53a-603aa2470134</t>
  </si>
  <si>
    <t>140751c1-3ff4-4a73-adaa-a96b0cce7854</t>
  </si>
  <si>
    <t>bf1fbdc8-8400-47e4-a546-438b65c7cc9d</t>
  </si>
  <si>
    <t>f76e06ac-4098-42b6-a34a-3d035bbbff44</t>
  </si>
  <si>
    <t>df363abf-1384-41a0-bf2d-7d9a21e7eb62</t>
  </si>
  <si>
    <t>22445719-214f-4525-8e83-e09355b89525</t>
  </si>
  <si>
    <t>41df62f5-27cd-451e-a8c6-2c3d0f283937</t>
  </si>
  <si>
    <t>c25ffe9e-850d-432f-a0be-2c832941e5d4</t>
  </si>
  <si>
    <t>bea61084-27ae-4076-85f4-c66efe735764</t>
  </si>
  <si>
    <t>a7da8385-d951-4fca-bebe-8433d76c6d69</t>
  </si>
  <si>
    <t>d7373979-4959-46fd-b355-4082e25ecff7</t>
  </si>
  <si>
    <t>0716afd9-8e97-4a4a-9c07-6b3c447ed548</t>
  </si>
  <si>
    <t>359a7267-ba61-49e2-b1a5-20f1e28707fe</t>
  </si>
  <si>
    <t>f6aa6412-83b9-4ae6-a5cf-9d821f6ed6e6</t>
  </si>
  <si>
    <t>7adef0de-700e-4be9-a079-351abfc5bef6</t>
  </si>
  <si>
    <t>35d662c4-df3d-487b-9d93-6bb88817dd37</t>
  </si>
  <si>
    <t>3b5d73a7-91ee-4a41-ad6e-edc8e762ef40</t>
  </si>
  <si>
    <t>03174b5c-560b-4752-adce-728b0603b995</t>
  </si>
  <si>
    <t>64f12294-8cf7-4567-a1ce-4a9b4fa9cb37</t>
  </si>
  <si>
    <t>e3b816ea-cf77-475e-945e-832ca7699bea</t>
  </si>
  <si>
    <t>5f57942e-f215-4653-a14d-478159cc0184</t>
  </si>
  <si>
    <t>7826aa36-9d0b-475e-9dde-b36c01219fdf</t>
  </si>
  <si>
    <t>c1e9e137-cc92-403f-af85-c6f1de17eeba</t>
  </si>
  <si>
    <t>60e5dd3f-66bc-4a3e-b7e7-cb5a5427dc63</t>
  </si>
  <si>
    <t>1c21879d-cc4f-4162-98c2-df96c3b8b237</t>
  </si>
  <si>
    <t>721a50de-92a2-41ba-b1da-fbd769d99856</t>
  </si>
  <si>
    <t>f9ab90a6-6bc7-4fb7-bf1a-fd51770dce68</t>
  </si>
  <si>
    <t>10/13/2025</t>
  </si>
  <si>
    <t>f817a4bd-eefb-498b-8427-47d9f76697fc</t>
  </si>
  <si>
    <t>dbd627f3-477a-4f24-b915-a562d151f3a3</t>
  </si>
  <si>
    <t>da1adb72-36d1-4e1e-a991-fe0788227345</t>
  </si>
  <si>
    <t>a18768e3-b289-4d14-acc5-1ba33d9722ae</t>
  </si>
  <si>
    <t>ea248bf1-8380-46eb-a8d5-857f506c3644</t>
  </si>
  <si>
    <t>10/14/2025</t>
  </si>
  <si>
    <t>0a3700ef-3d0a-4be2-b152-e6412be07aba</t>
  </si>
  <si>
    <t>380e7477-0801-4e31-9cae-93380a8f1f78</t>
  </si>
  <si>
    <t>fa6244d4-7be8-4bc7-a7f3-07d4653676b5</t>
  </si>
  <si>
    <t>7e888de9-9ddd-466f-a65e-e3b8c7f4ea7e</t>
  </si>
  <si>
    <t>d70603e9-0947-4036-acf5-70dfffec580f</t>
  </si>
  <si>
    <t>dcde175a-ee58-4095-a3d8-f0588451d1b4</t>
  </si>
  <si>
    <t>10/15/2025</t>
  </si>
  <si>
    <t>29286c80-5d6b-4c3f-ab11-8afe0c46dcf3</t>
  </si>
  <si>
    <t>832623c1-ec3d-4001-9765-81eccd06e6ea</t>
  </si>
  <si>
    <t>c579e09c-065c-465a-aade-7097a11c403d</t>
  </si>
  <si>
    <t>10/16/2025</t>
  </si>
  <si>
    <t>5f92963d-a384-4fba-a73b-ffe07a137303</t>
  </si>
  <si>
    <t>a597564a-15bb-4ddc-b654-7cfd5547b60d</t>
  </si>
  <si>
    <t>209da2e4-26f0-4979-b682-aee719805673</t>
  </si>
  <si>
    <t>8da9e531-b95d-44c6-a232-51da8439d4d5</t>
  </si>
  <si>
    <t>43385e4f-049e-496a-91ba-11c061c6c28a</t>
  </si>
  <si>
    <t>10/17/2025</t>
  </si>
  <si>
    <t>037d7fd3-339e-427a-8e12-17698ff37b14</t>
  </si>
  <si>
    <t>dfe84d6e-e431-449f-91a7-8bc909b83e12</t>
  </si>
  <si>
    <t>aeb9943c-3051-4ef6-a5b0-a988e80f93d1</t>
  </si>
  <si>
    <t>6a475d4a-ffa6-4770-81a4-d8b7d12ec79f</t>
  </si>
  <si>
    <t>6c2c2f2f-6c91-4d4b-84f0-ffa888137022</t>
  </si>
  <si>
    <t>10/18/2025</t>
  </si>
  <si>
    <t>57c8a33d-b8ee-4ef8-b56d-a169575df6fa</t>
  </si>
  <si>
    <t>10/20/2025</t>
  </si>
  <si>
    <t>356357ff-75a5-43a7-b7bb-9e1e91c3364d</t>
  </si>
  <si>
    <t>799ff7be-7603-4d85-ba3d-fe4fa1542cd5</t>
  </si>
  <si>
    <t>10/21/2025</t>
  </si>
  <si>
    <t>6c7e4c81-f6fc-4462-9ef1-6a06f0052c9f</t>
  </si>
  <si>
    <t>8b99b317-bea0-47da-9e57-a94f7aa7cf7b</t>
  </si>
  <si>
    <t>55344165-95eb-4282-ba37-5d608364f61d</t>
  </si>
  <si>
    <t>9312489c-54eb-4cf8-82b2-22439bc763f4</t>
  </si>
  <si>
    <t>21f1f3d8-c2a0-4b2e-a46d-cf33332aa5db</t>
  </si>
  <si>
    <t>10/22/2025</t>
  </si>
  <si>
    <t>539a644a-32e2-438b-a646-9f4f7561038d</t>
  </si>
  <si>
    <t>9a6593da-f61a-4ecd-9e50-1753b484cb93</t>
  </si>
  <si>
    <t>0e3a09a9-c7f5-414e-bcf2-e24dc2d1c43a</t>
  </si>
  <si>
    <t>6c371944-107b-436a-aee2-16be7dcb9648</t>
  </si>
  <si>
    <t>ec60975c-3aa0-4247-86be-437e7bf0b6f7</t>
  </si>
  <si>
    <t>10/23/2025</t>
  </si>
  <si>
    <t>e1690f0c-0eef-4020-a3f1-34f56b413aae</t>
  </si>
  <si>
    <t>3ad7529b-3cb5-4940-bf17-de24affbb16c</t>
  </si>
  <si>
    <t>f51fd459-3300-4b3c-a657-57a71fb151e5</t>
  </si>
  <si>
    <t>10/24/2025</t>
  </si>
  <si>
    <t>98f65926-5584-4f18-9932-89cd67bf926a</t>
  </si>
  <si>
    <t>10/25/2025</t>
  </si>
  <si>
    <t>6ccb29dd-d20a-4cbb-83e5-836d6e2b957b</t>
  </si>
  <si>
    <t>5e754f6f-9d5d-4c72-99f1-4d1d3d6a5fd2</t>
  </si>
  <si>
    <t>10/27/2025</t>
  </si>
  <si>
    <t>930aa384-92e0-4afc-8571-2032e5179238</t>
  </si>
  <si>
    <t>2cca530d-38ab-495e-b448-11d2c4bbc39e</t>
  </si>
  <si>
    <t>8aa51b3b-6e83-4f11-b134-15183dec2e1d</t>
  </si>
  <si>
    <t>10/28/2025</t>
  </si>
  <si>
    <t>f121c8bb-b38c-4ae7-953a-aea4281eba0d</t>
  </si>
  <si>
    <t>608eb332-310b-4f17-a076-d949188acecb</t>
  </si>
  <si>
    <t>083b2ba9-ba9b-48bc-97d7-905da9c58622</t>
  </si>
  <si>
    <t>19ee750d-25fe-47f2-b2c7-72113ccfcc1c</t>
  </si>
  <si>
    <t>10/29/2025</t>
  </si>
  <si>
    <t>7a61f4e3-ec3f-4321-83bf-a4b2c6dddc15</t>
  </si>
  <si>
    <t>5b2b2728-12ae-47f5-8f08-1c1a879cbca1</t>
  </si>
  <si>
    <t>3068825d-0918-4473-8cc4-7b3b1e324461</t>
  </si>
  <si>
    <t>738b4434-3288-4253-9698-a3305f163b9d</t>
  </si>
  <si>
    <t>10/30/2025</t>
  </si>
  <si>
    <t>2a0ecec9-5818-43f0-b752-899c3e11f330</t>
  </si>
  <si>
    <t>d0bdcf42-c485-4d3c-b913-7feb77e73a67</t>
  </si>
  <si>
    <t>7f1886b6-745e-407c-b16d-706adc764d4e</t>
  </si>
  <si>
    <t>bc8d9949-519f-454a-ba33-d7598ca3e77b</t>
  </si>
  <si>
    <t>10/31/2025</t>
  </si>
  <si>
    <t>7de97763-4725-4666-a696-070e0d736bbe</t>
  </si>
  <si>
    <t>9e5779b7-afd6-4e89-98d9-c8f1e528ba56</t>
  </si>
  <si>
    <t>ad7da44b-c463-403b-b788-94d7589c7738</t>
  </si>
  <si>
    <t>387d7d35-6421-4a82-9680-b5f9a5f3fadc</t>
  </si>
  <si>
    <t>dd06d759-99ab-4e13-8be6-ef9ef2af57f2</t>
  </si>
  <si>
    <t>c2d839ed-e508-491e-89b3-0774e77485fd</t>
  </si>
  <si>
    <t>5dce53a5-75e7-4094-bde9-cc2d4644ecaf</t>
  </si>
  <si>
    <t>d3f5fa91-a9de-440f-9b3d-f8303a35c565</t>
  </si>
  <si>
    <t>addbcc56-afdd-4b09-a93b-9a4de7c63cb5</t>
  </si>
  <si>
    <t>0b183d1e-04f9-4bb5-be15-0b5677f37397</t>
  </si>
  <si>
    <t>6b1b1108-b067-439b-b5b9-1583819345eb</t>
  </si>
  <si>
    <t>7fe63cce-5d1b-4331-90b8-9f68d1c90555</t>
  </si>
  <si>
    <t>e4848a4c-80de-4e42-8e47-ad09f21cfab8</t>
  </si>
  <si>
    <t>03e14c52-583e-498c-8a49-18cefc484de5</t>
  </si>
  <si>
    <t>bc818545-fe6c-4adb-b4c0-80ba1de7e0d2</t>
  </si>
  <si>
    <t>0e619d25-2c75-4a65-bc96-d2fb27d125a1</t>
  </si>
  <si>
    <t>e6e9eeba-f3a8-4dd3-bc60-4f70dca1edf1</t>
  </si>
  <si>
    <t>9cfbcf1d-0088-4678-b3a9-a75bc727b07b</t>
  </si>
  <si>
    <t>23d99e8b-49c1-44f9-877f-737e8bc6bbfa</t>
  </si>
  <si>
    <t>4a5125dd-e646-4600-a6b6-1dfb25eaadf1</t>
  </si>
  <si>
    <t>7e5b5808-f267-409c-930b-c8bd7906c34d</t>
  </si>
  <si>
    <t>61d12b9b-771b-4d8b-9a96-c75e9b894ed7</t>
  </si>
  <si>
    <t>21ff5530-9927-4b1c-baa4-eadbb285eed3</t>
  </si>
  <si>
    <t>4e53fbdd-a5dc-4263-ba4a-eddfd91422b4</t>
  </si>
  <si>
    <t>9cd7cb7a-95c0-4f11-aae1-0d97eefad28e</t>
  </si>
  <si>
    <t>f059faee-3f04-4a57-aaa1-21eafd694541</t>
  </si>
  <si>
    <t>b99c599f-7b39-43d4-a979-76fe3e1e957a</t>
  </si>
  <si>
    <t>d212f04d-4491-4da6-b15e-137d45e2d31e</t>
  </si>
  <si>
    <t>e9da9d7d-c6aa-4d60-8806-e213c0305da7</t>
  </si>
  <si>
    <t>3ebd1318-9934-45c3-8184-806aab49b1a0</t>
  </si>
  <si>
    <t>1e0fc3df-fbfa-4aa9-a4b0-e8f142094f86</t>
  </si>
  <si>
    <t>6ace62d2-8b61-4691-8528-75a1f3d0538d</t>
  </si>
  <si>
    <t>1bd31bfb-c793-4b7b-ae2d-60e109916751</t>
  </si>
  <si>
    <t>d63ef771-a36a-49ed-b924-a543e28793d6</t>
  </si>
  <si>
    <t>70077ee7-3e42-4cb5-b29d-bf3110858f15</t>
  </si>
  <si>
    <t>dd35b979-86e2-4eaa-a88f-fb4c99d711f9</t>
  </si>
  <si>
    <t>223a9bf0-ae50-493a-ac59-91ea47e57344</t>
  </si>
  <si>
    <t>d3fd3164-8874-4d3e-8a91-1e3050690a88</t>
  </si>
  <si>
    <t>1122f667-1912-4f3d-b056-d8c6a7e760d0</t>
  </si>
  <si>
    <t>3c9d32f9-4985-4a50-9bc4-27c0e8c7c0e1</t>
  </si>
  <si>
    <t>86a2d7f5-5432-41a2-b46d-87e8611f8a53</t>
  </si>
  <si>
    <t>11/13/2025</t>
  </si>
  <si>
    <t>1a08711a-07fe-4591-90df-236802c206f6</t>
  </si>
  <si>
    <t>83141b32-bed0-4d50-879d-4b7dedc82de1</t>
  </si>
  <si>
    <t>11/14/2025</t>
  </si>
  <si>
    <t>f8cffc4e-cb70-47c0-933f-02002329b5fc</t>
  </si>
  <si>
    <t>76858aa3-10ab-49f6-93e5-c0cff7ec0eb0</t>
  </si>
  <si>
    <t>5ec0c6be-0769-4c29-a8a7-d28046ec0f98</t>
  </si>
  <si>
    <t>11/15/2025</t>
  </si>
  <si>
    <t>850a5742-4f2b-46d3-8900-9e79fdf2bcc7</t>
  </si>
  <si>
    <t>11/16/2025</t>
  </si>
  <si>
    <t>22282359-3a37-4275-9195-4f21478e46cb</t>
  </si>
  <si>
    <t>11/17/2025</t>
  </si>
  <si>
    <t>e0897923-b6f7-4145-a5f7-2e61fab09d3e</t>
  </si>
  <si>
    <t>1af7b5db-830c-4140-a491-2a21193a828f</t>
  </si>
  <si>
    <t>2fb46893-1cc1-47b4-af32-eb7a94280e87</t>
  </si>
  <si>
    <t>8255ce54-e586-4c7a-9e7e-52547a97fbfa</t>
  </si>
  <si>
    <t>11/18/2025</t>
  </si>
  <si>
    <t>663bcc75-794d-44d4-b4cd-e70be72b373a</t>
  </si>
  <si>
    <t>11/19/2025</t>
  </si>
  <si>
    <t>1ec59f4d-47d6-40a2-8dd7-fa68e92f9f65</t>
  </si>
  <si>
    <t>c6645a59-89b5-4013-bafb-61b794731b13</t>
  </si>
  <si>
    <t>11/20/2025</t>
  </si>
  <si>
    <t>719acdec-761b-4670-861e-0aaa1be78525</t>
  </si>
  <si>
    <t>a63e0cbe-a2be-4b1f-8b30-4a7f9927e997</t>
  </si>
  <si>
    <t>e5b7d994-4a39-403c-9467-a4839acb4744</t>
  </si>
  <si>
    <t>bb0732f7-c3c2-4b92-8a62-a9eea2ef5bb7</t>
  </si>
  <si>
    <t>09d6b048-8978-463d-8453-053bfd7a6b90</t>
  </si>
  <si>
    <t>e3024918-cf1d-4167-b6bd-59846688600a</t>
  </si>
  <si>
    <t>3ce5e52d-4488-4ab8-a418-117b1d6dd082</t>
  </si>
  <si>
    <t>8a4c9492-a0af-4e09-a722-5b3bc954e167</t>
  </si>
  <si>
    <t>d5acc3af-ac9d-4244-a199-5fcf393d7ae0</t>
  </si>
  <si>
    <t>07953513-eecd-461c-a3c3-93e3e2b02583</t>
  </si>
  <si>
    <t>34d54c14-b692-4edb-946e-8ce376e1eea6</t>
  </si>
  <si>
    <t>11/21/2025</t>
  </si>
  <si>
    <t>aa0b81e7-9b5f-4c10-baf5-c1af75eed473</t>
  </si>
  <si>
    <t>a59c73c5-803a-4f99-8911-633c8fef35fd</t>
  </si>
  <si>
    <t>47498460-7c69-4c88-869a-03904afb66b3</t>
  </si>
  <si>
    <t>2b58cfcc-e58b-4032-8329-621ceb911297</t>
  </si>
  <si>
    <t>fdd6238e-ad67-4691-8279-e1ff0a6c5e0c</t>
  </si>
  <si>
    <t>7df68ccd-9969-455b-b4d8-bd18ea9a280f</t>
  </si>
  <si>
    <t>f58ea27a-e69b-47ff-be1d-8ed87e235698</t>
  </si>
  <si>
    <t>3ec80cc0-8ee5-4c61-ab9f-fd83698fb7f7</t>
  </si>
  <si>
    <t>8ea8d269-c055-4c14-bb3c-90374432e771</t>
  </si>
  <si>
    <t>64881d1e-79cf-4c34-b5a2-d11afdb54cd5</t>
  </si>
  <si>
    <t>46d0493a-795b-46cc-a514-cfd2062b7b0c</t>
  </si>
  <si>
    <t>baf3d562-2c37-434f-8c9a-493499a8c649</t>
  </si>
  <si>
    <t>2c9a564c-7995-4224-a4d9-d7e87f1865b4</t>
  </si>
  <si>
    <t>11/22/2025</t>
  </si>
  <si>
    <t>c0f06bd7-6f82-4e35-9027-e00750c330f7</t>
  </si>
  <si>
    <t>11/23/2025</t>
  </si>
  <si>
    <t>2e061d62-1c63-48f6-a3ac-dc1bfb7122f6</t>
  </si>
  <si>
    <t>0805772c-5adc-4a7c-ba83-70515d6021a7</t>
  </si>
  <si>
    <t>11/24/2025</t>
  </si>
  <si>
    <t>6ccc6b5e-dae5-4bbe-8a07-653e5aba9c1b</t>
  </si>
  <si>
    <t>c192d7e1-6fb0-4d36-a874-204fcca96590</t>
  </si>
  <si>
    <t>a2127e1a-1cca-4859-bcf1-8dfde78aa52e</t>
  </si>
  <si>
    <t>b55241e6-3d3f-4aa7-8dd7-34999ffe64b3</t>
  </si>
  <si>
    <t>76c20294-d01d-4a91-ae58-dfb2744d77f4</t>
  </si>
  <si>
    <t>f4931861-52d5-43cb-8930-d732fec76067</t>
  </si>
  <si>
    <t>d0278644-6fdf-4a9d-a98e-cb2d8c5e59e2</t>
  </si>
  <si>
    <t>540b10dc-1c9e-4987-ab98-6d819e8893d9</t>
  </si>
  <si>
    <t>298cc2a4-9982-4a9d-bebe-83103f1afe7b</t>
  </si>
  <si>
    <t>8e9e718f-596d-4c02-b397-ddc1f184ee11</t>
  </si>
  <si>
    <t>a347626d-a29b-4967-afd2-28b4d669071f</t>
  </si>
  <si>
    <t>11/25/2025</t>
  </si>
  <si>
    <t>62b568c4-d516-4426-9fb6-ed640be111e9</t>
  </si>
  <si>
    <t>0207c743-674c-4cab-98d0-d1226a8437df</t>
  </si>
  <si>
    <t>96b6ae51-dfb8-48cb-9784-2e3d1b3e55a1</t>
  </si>
  <si>
    <t>6516f5f9-ff20-4f2c-8673-87cbaef87756</t>
  </si>
  <si>
    <t>62ffc63f-aa31-4333-badc-b773a820fe60</t>
  </si>
  <si>
    <t>77f26f14-3b98-4d58-a8e9-99982507d6a4</t>
  </si>
  <si>
    <t>21d3f56a-5f0e-4b3e-9976-c624de4309d6</t>
  </si>
  <si>
    <t>17a09c64-1de7-4527-9937-bfc14d3cd9ee</t>
  </si>
  <si>
    <t>fb447094-ebee-4d91-92c1-2db71c5e639c</t>
  </si>
  <si>
    <t>a28bb57e-a17c-4e5a-8e6b-b46bf1e743bf</t>
  </si>
  <si>
    <t>46c803c4-f20d-4183-984e-442e99a76c85</t>
  </si>
  <si>
    <t>defca104-922f-4137-9104-be67f86fb983</t>
  </si>
  <si>
    <t>7d558e99-f560-4460-99a5-b7c88c417fdc</t>
  </si>
  <si>
    <t>ebf06d1f-5708-4611-ab03-e81e056e1b6a</t>
  </si>
  <si>
    <t>229b205f-c099-4bff-81d3-e9230222592b</t>
  </si>
  <si>
    <t>11/26/2025</t>
  </si>
  <si>
    <t>5294178c-841b-44d4-8a88-906ab4b94f40</t>
  </si>
  <si>
    <t>e420d9d3-2dc8-4744-8799-1d36a0e9285f</t>
  </si>
  <si>
    <t>d19dc7cc-cad8-464b-8dcc-d323f11dac53</t>
  </si>
  <si>
    <t>f1dffc33-ab53-4bee-90e9-625a701aa20f</t>
  </si>
  <si>
    <t>8523d50c-2651-4456-a9a6-6a25803c0628</t>
  </si>
  <si>
    <t>2ab8b4e0-a44a-46e8-93e7-f5f8c3dbc3af</t>
  </si>
  <si>
    <t>d3fe713d-d091-4949-a739-07e4ccbe9994</t>
  </si>
  <si>
    <t>3bd661df-4fd6-4ff3-a757-69e4afb34004</t>
  </si>
  <si>
    <t>269874d1-1918-4352-8dff-abc9c3895304</t>
  </si>
  <si>
    <t>4915cb79-7e9f-47c4-bdcc-f452f73840af</t>
  </si>
  <si>
    <t>0e6f9365-7f5a-4e17-a8fd-296accbdbc2c</t>
  </si>
  <si>
    <t>0027ce24-4b3c-4a25-b8f7-ceb05391b444</t>
  </si>
  <si>
    <t>5e279ce4-af09-4af5-bd55-7555e703dd90</t>
  </si>
  <si>
    <t>a0b75a09-11c6-4b5c-96a5-3ccce858f191</t>
  </si>
  <si>
    <t>179dcc0b-7320-4426-9ab3-820ca7d9ae8e</t>
  </si>
  <si>
    <t>11/27/2025</t>
  </si>
  <si>
    <t>1e2505a4-6b43-433d-b99b-09406acd3a80</t>
  </si>
  <si>
    <t>08d75037-7586-4a76-84b7-903511cb2005</t>
  </si>
  <si>
    <t>8e69bd61-b0d4-45e7-860e-1598491762c6</t>
  </si>
  <si>
    <t>2a12c5fc-f160-4ecb-9170-ff24774a3a33</t>
  </si>
  <si>
    <t>a0870d54-c8e2-4def-8153-1d1ba11dbd0d</t>
  </si>
  <si>
    <t>9343281d-efa7-41d0-91b9-3ae8200d6cd1</t>
  </si>
  <si>
    <t>6dd83856-b41d-48d3-9ea8-d1e210791e54</t>
  </si>
  <si>
    <t>1ea68ef9-11c1-490c-8305-f12d0226cab9</t>
  </si>
  <si>
    <t>21a0da77-7240-403e-93ff-5a502783292c</t>
  </si>
  <si>
    <t>cfaa4bc4-c7e8-45e7-8522-2a9511c12607</t>
  </si>
  <si>
    <t>e4788628-c457-4245-8432-cd417fcbd252</t>
  </si>
  <si>
    <t>1c226125-cfd2-4e3f-b994-0f4ee72a5e62</t>
  </si>
  <si>
    <t>e61d6ffc-0ff3-434d-9a46-b8085f6f4429</t>
  </si>
  <si>
    <t>1cfee198-c538-44ff-8615-cc284158da6f</t>
  </si>
  <si>
    <t>cbd9460f-ace8-42a3-8903-3543e10e31d2</t>
  </si>
  <si>
    <t>541de33b-62aa-4b61-b21a-f8050ab51f69</t>
  </si>
  <si>
    <t>e6d7e668-9d68-418f-bfed-85b08a21dcfb</t>
  </si>
  <si>
    <t>106f4613-ccee-493c-b8e0-6d39018bd6ac</t>
  </si>
  <si>
    <t>4d3c0d32-9479-4b7b-a3aa-c7182e28d193</t>
  </si>
  <si>
    <t>ddf7b713-9cb9-450e-bd21-bb7ea4d0c85f</t>
  </si>
  <si>
    <t>e1e7c9f0-7535-406a-97ba-af02846a414a</t>
  </si>
  <si>
    <t>11/28/2025</t>
  </si>
  <si>
    <t>0f05f297-73ea-44c4-beac-f4c8f33b87b4</t>
  </si>
  <si>
    <t>eb9b5916-83ef-46ec-a8a5-462b6809dfc8</t>
  </si>
  <si>
    <t>3b3f72ca-d527-443c-887b-abbd3b14a001</t>
  </si>
  <si>
    <t>0aa432db-d71c-4ced-93c6-b54f59cb8ed2</t>
  </si>
  <si>
    <t>9415ee2c-b54f-4faf-b45b-c3b9978f106a</t>
  </si>
  <si>
    <t>bee9b9f9-d980-4b9f-8c16-b8607cdc29dd</t>
  </si>
  <si>
    <t>11/29/2025</t>
  </si>
  <si>
    <t>7765a98e-365f-47a8-8873-15ee4d967a0b</t>
  </si>
  <si>
    <t>8faeefe8-d2d7-4d67-9637-2c6387ce70ac</t>
  </si>
  <si>
    <t>321224bc-6a05-48fa-a332-1c66d8d9da80</t>
  </si>
  <si>
    <t>11/30/2025</t>
  </si>
  <si>
    <t>e7e2d1db-a980-46c8-b3c8-48fff8014951</t>
  </si>
  <si>
    <t>Max of OrderDate</t>
  </si>
  <si>
    <t>Distinct Count of OrderID</t>
  </si>
  <si>
    <t>Max Date</t>
  </si>
  <si>
    <t>Last Date of Purchase</t>
  </si>
  <si>
    <t>Recency</t>
  </si>
  <si>
    <t>Frequency</t>
  </si>
  <si>
    <t>Monetary</t>
  </si>
  <si>
    <t>R Score</t>
  </si>
  <si>
    <t>F Score</t>
  </si>
  <si>
    <t>M Score</t>
  </si>
  <si>
    <t>RFM Score</t>
  </si>
  <si>
    <t>RFM Segment</t>
  </si>
  <si>
    <t>Segment</t>
  </si>
  <si>
    <t>Customer Count</t>
  </si>
  <si>
    <t>Other</t>
  </si>
  <si>
    <t>Need Attention</t>
  </si>
  <si>
    <t>Hibernating</t>
  </si>
  <si>
    <t>Promising</t>
  </si>
  <si>
    <t>Loyal Customer</t>
  </si>
  <si>
    <t>Potential Loyalist</t>
  </si>
  <si>
    <t>New Customers</t>
  </si>
  <si>
    <t>Champion</t>
  </si>
  <si>
    <t>At Risk</t>
  </si>
  <si>
    <t>Segments</t>
  </si>
  <si>
    <t>Definition Of Segments</t>
  </si>
  <si>
    <t>Strategy</t>
  </si>
  <si>
    <t>Cant lose them</t>
  </si>
  <si>
    <t>Former regular customers who have stopped buying</t>
  </si>
  <si>
    <t>Offer exclusive reactivation campaigns and get feedback</t>
  </si>
  <si>
    <t>Your best customers who recently purchased, buy</t>
  </si>
  <si>
    <t>Give exclusive offers and early access to new products</t>
  </si>
  <si>
    <t>frequently and spend the most</t>
  </si>
  <si>
    <t>Haven't purchased in a long time and were once active</t>
  </si>
  <si>
    <t>Offer small, target promotions to wake them up without</t>
  </si>
  <si>
    <t>significant expenditure</t>
  </si>
  <si>
    <t>Loyal</t>
  </si>
  <si>
    <t>They are frequent purchasers</t>
  </si>
  <si>
    <t>Offer loyalty programs, complementary products and</t>
  </si>
  <si>
    <t>encourage higher spending through bundle deals.</t>
  </si>
  <si>
    <t>Need attention</t>
  </si>
  <si>
    <t>Haven't bought for a long time and are not big spenders</t>
  </si>
  <si>
    <t>Win them back with re-engagement campaigns or deals</t>
  </si>
  <si>
    <t>New Customer</t>
  </si>
  <si>
    <t>Just made their first or early purchase</t>
  </si>
  <si>
    <t>Build trust by post-purchase communication and offer</t>
  </si>
  <si>
    <t>discount for second purchase</t>
  </si>
  <si>
    <t>Potential loyalists</t>
  </si>
  <si>
    <t>Recent customers with average frequency but good</t>
  </si>
  <si>
    <t>Send follow-up offers, welcome series emails and value</t>
  </si>
  <si>
    <t>spending</t>
  </si>
  <si>
    <t>propositions</t>
  </si>
  <si>
    <t>Recent customers who have potential but haven't</t>
  </si>
  <si>
    <t>Focus on building loyalty and encouraging repeat purchase</t>
  </si>
  <si>
    <t>bought much yet</t>
  </si>
  <si>
    <t>Customers who purchase frequently and are big</t>
  </si>
  <si>
    <t>Use win back campaigns with strong incentives, share informative</t>
  </si>
  <si>
    <t>spenders but haven't made a purchase recently</t>
  </si>
  <si>
    <t>and entertaining content via social media platforms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</si>
</sst>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  <numFmt numFmtId="177" formatCode="d/m/yyyy"/>
    <numFmt numFmtId="178" formatCode="m/d/yyyy"/>
  </numFmts>
  <fonts count="25">
    <font>
      <sz val="11"/>
      <color theme="1"/>
      <name val="Calibri"/>
      <charset val="134"/>
      <scheme val="minor"/>
    </font>
    <font>
      <b/>
      <sz val="11"/>
      <color theme="7"/>
      <name val="Calibri"/>
      <charset val="134"/>
      <scheme val="minor"/>
    </font>
    <font>
      <sz val="11"/>
      <color theme="7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NumberFormat="1" applyFont="1" applyFill="1">
      <alignment vertical="center"/>
    </xf>
    <xf numFmtId="0" fontId="4" fillId="2" borderId="0" xfId="0" applyFont="1" applyFill="1">
      <alignment vertical="center"/>
    </xf>
    <xf numFmtId="58" fontId="0" fillId="0" borderId="0" xfId="0" applyNumberForma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numFmt numFmtId="176" formatCode="dd/mm/yyyy;@"/>
    </dxf>
    <dxf>
      <numFmt numFmtId="176" formatCode="dd/mm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1"/>
        <color theme="0"/>
      </font>
      <fill>
        <patternFill patternType="solid">
          <bgColor theme="4" tint="-0.25"/>
        </patternFill>
      </fill>
    </dxf>
    <dxf>
      <font>
        <b val="1"/>
        <color theme="0"/>
      </font>
      <fill>
        <patternFill patternType="solid">
          <bgColor theme="4" tint="-0.25"/>
        </patternFill>
      </fill>
    </dxf>
    <dxf>
      <font>
        <color theme="0"/>
      </font>
      <fill>
        <patternFill patternType="solid">
          <bgColor theme="4" tint="-0.25"/>
        </patternFill>
      </fill>
    </dxf>
    <dxf>
      <font>
        <color theme="0"/>
      </font>
      <fill>
        <patternFill patternType="solid">
          <bgColor theme="4" tint="-0.25"/>
        </patternFill>
      </fill>
    </dxf>
    <dxf>
      <font>
        <color theme="0"/>
      </font>
      <fill>
        <patternFill patternType="solid">
          <bgColor theme="4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Segmentation'!$B$12</c:f>
              <c:strCache>
                <c:ptCount val="1"/>
                <c:pt idx="0">
                  <c:v>Customer Count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'Customer Segmentation'!$A$13:$A$21</c:f>
              <c:strCache>
                <c:ptCount val="9"/>
                <c:pt idx="0">
                  <c:v>Other</c:v>
                </c:pt>
                <c:pt idx="1">
                  <c:v>Need Attention</c:v>
                </c:pt>
                <c:pt idx="2">
                  <c:v>Hibernating</c:v>
                </c:pt>
                <c:pt idx="3">
                  <c:v>Promising</c:v>
                </c:pt>
                <c:pt idx="4">
                  <c:v>Loyal Customer</c:v>
                </c:pt>
                <c:pt idx="5">
                  <c:v>Potential Loyalist</c:v>
                </c:pt>
                <c:pt idx="6">
                  <c:v>New Customers</c:v>
                </c:pt>
                <c:pt idx="7">
                  <c:v>Champion</c:v>
                </c:pt>
                <c:pt idx="8">
                  <c:v>At Risk</c:v>
                </c:pt>
              </c:strCache>
            </c:strRef>
          </c:cat>
          <c:val>
            <c:numRef>
              <c:f>'Customer Segmentation'!$B$13:$B$21</c:f>
              <c:numCache>
                <c:formatCode>General</c:formatCode>
                <c:ptCount val="9"/>
                <c:pt idx="0">
                  <c:v>63</c:v>
                </c:pt>
                <c:pt idx="1">
                  <c:v>32</c:v>
                </c:pt>
                <c:pt idx="2">
                  <c:v>30</c:v>
                </c:pt>
                <c:pt idx="3">
                  <c:v>18</c:v>
                </c:pt>
                <c:pt idx="4">
                  <c:v>13</c:v>
                </c:pt>
                <c:pt idx="5">
                  <c:v>11</c:v>
                </c:pt>
                <c:pt idx="6">
                  <c:v>6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68274602"/>
        <c:axId val="335675888"/>
      </c:barChart>
      <c:catAx>
        <c:axId val="1682746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675888"/>
        <c:crosses val="autoZero"/>
        <c:auto val="1"/>
        <c:lblAlgn val="ctr"/>
        <c:lblOffset val="100"/>
        <c:noMultiLvlLbl val="0"/>
      </c:catAx>
      <c:valAx>
        <c:axId val="33567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27460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19856e-ea72-44e1-bdfa-ca013c64ea5a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9236762181434"/>
          <c:y val="0.0556730091613813"/>
          <c:w val="0.909467846296052"/>
          <c:h val="0.61508104298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Segmentation'!$B$12</c:f>
              <c:strCache>
                <c:ptCount val="1"/>
                <c:pt idx="0">
                  <c:v>Customer Count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'Customer Segmentation'!$A$13:$A$21</c:f>
              <c:strCache>
                <c:ptCount val="9"/>
                <c:pt idx="0">
                  <c:v>Other</c:v>
                </c:pt>
                <c:pt idx="1">
                  <c:v>Need Attention</c:v>
                </c:pt>
                <c:pt idx="2">
                  <c:v>Hibernating</c:v>
                </c:pt>
                <c:pt idx="3">
                  <c:v>Promising</c:v>
                </c:pt>
                <c:pt idx="4">
                  <c:v>Loyal Customer</c:v>
                </c:pt>
                <c:pt idx="5">
                  <c:v>Potential Loyalist</c:v>
                </c:pt>
                <c:pt idx="6">
                  <c:v>New Customers</c:v>
                </c:pt>
                <c:pt idx="7">
                  <c:v>Champion</c:v>
                </c:pt>
                <c:pt idx="8">
                  <c:v>At Risk</c:v>
                </c:pt>
              </c:strCache>
            </c:strRef>
          </c:cat>
          <c:val>
            <c:numRef>
              <c:f>'Customer Segmentation'!$B$13:$B$21</c:f>
              <c:numCache>
                <c:formatCode>General</c:formatCode>
                <c:ptCount val="9"/>
                <c:pt idx="0">
                  <c:v>63</c:v>
                </c:pt>
                <c:pt idx="1">
                  <c:v>32</c:v>
                </c:pt>
                <c:pt idx="2">
                  <c:v>30</c:v>
                </c:pt>
                <c:pt idx="3">
                  <c:v>18</c:v>
                </c:pt>
                <c:pt idx="4">
                  <c:v>13</c:v>
                </c:pt>
                <c:pt idx="5">
                  <c:v>11</c:v>
                </c:pt>
                <c:pt idx="6">
                  <c:v>6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68274602"/>
        <c:axId val="335675888"/>
      </c:barChart>
      <c:catAx>
        <c:axId val="1682746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35675888"/>
        <c:crosses val="autoZero"/>
        <c:auto val="1"/>
        <c:lblAlgn val="ctr"/>
        <c:lblOffset val="100"/>
        <c:noMultiLvlLbl val="0"/>
      </c:catAx>
      <c:valAx>
        <c:axId val="33567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68274602"/>
        <c:crosses val="autoZero"/>
        <c:crossBetween val="between"/>
      </c:valAx>
      <c:spPr>
        <a:solidFill>
          <a:schemeClr val="accent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65b7ef-c5b7-4f4c-9a15-9e10d62f3e11}"/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329565</xdr:colOff>
      <xdr:row>18</xdr:row>
      <xdr:rowOff>193040</xdr:rowOff>
    </xdr:from>
    <xdr:to>
      <xdr:col>15</xdr:col>
      <xdr:colOff>307340</xdr:colOff>
      <xdr:row>32</xdr:row>
      <xdr:rowOff>81280</xdr:rowOff>
    </xdr:to>
    <xdr:graphicFrame>
      <xdr:nvGraphicFramePr>
        <xdr:cNvPr id="2" name="Chart 1"/>
        <xdr:cNvGraphicFramePr/>
      </xdr:nvGraphicFramePr>
      <xdr:xfrm>
        <a:off x="13769340" y="4033520"/>
        <a:ext cx="4817745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488950</xdr:colOff>
      <xdr:row>1</xdr:row>
      <xdr:rowOff>97155</xdr:rowOff>
    </xdr:from>
    <xdr:ext cx="311150" cy="286385"/>
    <xdr:sp>
      <xdr:nvSpPr>
        <xdr:cNvPr id="2" name="Text Box 1"/>
        <xdr:cNvSpPr txBox="1"/>
      </xdr:nvSpPr>
      <xdr:spPr>
        <a:xfrm>
          <a:off x="5483860" y="310515"/>
          <a:ext cx="311150" cy="2863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0</xdr:col>
      <xdr:colOff>22860</xdr:colOff>
      <xdr:row>0</xdr:row>
      <xdr:rowOff>22860</xdr:rowOff>
    </xdr:from>
    <xdr:to>
      <xdr:col>2</xdr:col>
      <xdr:colOff>4408805</xdr:colOff>
      <xdr:row>4</xdr:row>
      <xdr:rowOff>162560</xdr:rowOff>
    </xdr:to>
    <xdr:sp>
      <xdr:nvSpPr>
        <xdr:cNvPr id="3" name="Rectangles 2"/>
        <xdr:cNvSpPr/>
      </xdr:nvSpPr>
      <xdr:spPr>
        <a:xfrm>
          <a:off x="22860" y="22860"/>
          <a:ext cx="9380855" cy="99314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0</xdr:col>
      <xdr:colOff>298450</xdr:colOff>
      <xdr:row>0</xdr:row>
      <xdr:rowOff>66040</xdr:rowOff>
    </xdr:from>
    <xdr:ext cx="8761730" cy="638175"/>
    <xdr:sp>
      <xdr:nvSpPr>
        <xdr:cNvPr id="4" name="Text Box 3"/>
        <xdr:cNvSpPr txBox="1"/>
      </xdr:nvSpPr>
      <xdr:spPr>
        <a:xfrm>
          <a:off x="298450" y="66040"/>
          <a:ext cx="8761730" cy="638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US" sz="2600" b="1">
              <a:solidFill>
                <a:schemeClr val="bg1"/>
              </a:solidFill>
            </a:rPr>
            <a:t>Coffee Grind Customer Segmentation and Strategy</a:t>
          </a:r>
          <a:endParaRPr lang="en-US" sz="2600" b="1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44450</xdr:colOff>
      <xdr:row>4</xdr:row>
      <xdr:rowOff>207010</xdr:rowOff>
    </xdr:from>
    <xdr:to>
      <xdr:col>3</xdr:col>
      <xdr:colOff>5080</xdr:colOff>
      <xdr:row>9</xdr:row>
      <xdr:rowOff>201295</xdr:rowOff>
    </xdr:to>
    <xdr:sp>
      <xdr:nvSpPr>
        <xdr:cNvPr id="6" name="Rectangles 5"/>
        <xdr:cNvSpPr/>
      </xdr:nvSpPr>
      <xdr:spPr>
        <a:xfrm>
          <a:off x="44450" y="1060450"/>
          <a:ext cx="9368790" cy="106108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0</xdr:col>
      <xdr:colOff>722630</xdr:colOff>
      <xdr:row>5</xdr:row>
      <xdr:rowOff>40005</xdr:rowOff>
    </xdr:from>
    <xdr:ext cx="8132445" cy="1086485"/>
    <xdr:sp>
      <xdr:nvSpPr>
        <xdr:cNvPr id="7" name="Text Box 6"/>
        <xdr:cNvSpPr txBox="1"/>
      </xdr:nvSpPr>
      <xdr:spPr>
        <a:xfrm>
          <a:off x="722630" y="1106805"/>
          <a:ext cx="8132445" cy="10864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US" sz="1100" b="1">
              <a:solidFill>
                <a:schemeClr val="bg1"/>
              </a:solidFill>
            </a:rPr>
            <a:t>RFM Analysis</a:t>
          </a:r>
          <a:endParaRPr lang="en-US" sz="1100" b="1">
            <a:solidFill>
              <a:schemeClr val="bg1"/>
            </a:solidFill>
          </a:endParaRPr>
        </a:p>
        <a:p>
          <a:pPr algn="l"/>
          <a:r>
            <a:rPr lang="en-US" sz="1100" b="1">
              <a:solidFill>
                <a:schemeClr val="bg1"/>
              </a:solidFill>
            </a:rPr>
            <a:t>RFM is a method used to identify, analyse and segment customers based on their purchasing history.</a:t>
          </a:r>
          <a:endParaRPr lang="en-US" sz="1100" b="1">
            <a:solidFill>
              <a:schemeClr val="bg1"/>
            </a:solidFill>
          </a:endParaRPr>
        </a:p>
        <a:p>
          <a:pPr algn="l"/>
          <a:r>
            <a:rPr lang="en-US" sz="1100" b="1">
              <a:solidFill>
                <a:schemeClr val="accent2"/>
              </a:solidFill>
            </a:rPr>
            <a:t>Recency </a:t>
          </a:r>
          <a:r>
            <a:rPr lang="en-US" sz="1100" b="1">
              <a:solidFill>
                <a:schemeClr val="bg1"/>
              </a:solidFill>
            </a:rPr>
            <a:t>means how recent was the last purchase by a customer.</a:t>
          </a:r>
          <a:endParaRPr lang="en-US" sz="1100" b="1">
            <a:solidFill>
              <a:schemeClr val="bg1"/>
            </a:solidFill>
          </a:endParaRPr>
        </a:p>
        <a:p>
          <a:pPr algn="l"/>
          <a:r>
            <a:rPr lang="en-US" sz="1100" b="1">
              <a:solidFill>
                <a:schemeClr val="accent6"/>
              </a:solidFill>
            </a:rPr>
            <a:t>Frequency </a:t>
          </a:r>
          <a:r>
            <a:rPr lang="en-US" sz="1100" b="1">
              <a:solidFill>
                <a:schemeClr val="bg1"/>
              </a:solidFill>
            </a:rPr>
            <a:t>means the number of transactions a customer made.</a:t>
          </a:r>
          <a:endParaRPr lang="en-US" sz="1100" b="1">
            <a:solidFill>
              <a:schemeClr val="bg1"/>
            </a:solidFill>
          </a:endParaRPr>
        </a:p>
        <a:p>
          <a:pPr algn="l"/>
          <a:r>
            <a:rPr lang="en-US" sz="1100" b="1">
              <a:solidFill>
                <a:schemeClr val="accent4">
                  <a:lumMod val="40000"/>
                  <a:lumOff val="60000"/>
                </a:schemeClr>
              </a:solidFill>
            </a:rPr>
            <a:t>Monetary </a:t>
          </a:r>
          <a:r>
            <a:rPr lang="en-US" sz="1100" b="1">
              <a:solidFill>
                <a:schemeClr val="bg1"/>
              </a:solidFill>
            </a:rPr>
            <a:t>means the sum of all revenue generated by a customer.</a:t>
          </a:r>
          <a:endParaRPr lang="en-US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41910</xdr:colOff>
      <xdr:row>11</xdr:row>
      <xdr:rowOff>0</xdr:rowOff>
    </xdr:from>
    <xdr:to>
      <xdr:col>3</xdr:col>
      <xdr:colOff>16510</xdr:colOff>
      <xdr:row>20</xdr:row>
      <xdr:rowOff>400050</xdr:rowOff>
    </xdr:to>
    <xdr:graphicFrame>
      <xdr:nvGraphicFramePr>
        <xdr:cNvPr id="8" name="Chart 7"/>
        <xdr:cNvGraphicFramePr/>
      </xdr:nvGraphicFramePr>
      <xdr:xfrm>
        <a:off x="5036820" y="2171700"/>
        <a:ext cx="4387850" cy="2320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1905</xdr:colOff>
      <xdr:row>21</xdr:row>
      <xdr:rowOff>107950</xdr:rowOff>
    </xdr:from>
    <xdr:ext cx="309880" cy="286385"/>
    <xdr:sp>
      <xdr:nvSpPr>
        <xdr:cNvPr id="14" name="Text Box 13"/>
        <xdr:cNvSpPr txBox="1"/>
      </xdr:nvSpPr>
      <xdr:spPr>
        <a:xfrm>
          <a:off x="4996815" y="4606290"/>
          <a:ext cx="309880" cy="2863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0.689525463" refreshedBy="mac" recordCount="1159">
  <cacheSource type="worksheet">
    <worksheetSource ref="A1:L1048576" sheet="Orders"/>
  </cacheSource>
  <cacheFields count="12">
    <cacheField name="OrderID" numFmtId="0">
      <sharedItems containsBlank="1" count="1159">
        <s v="3685c29f-0492-450c-9a61-e93c633ba866"/>
        <s v="f3c573df-56ce-4619-bc05-7c426de7f2ee"/>
        <s v="59abfb23-1d32-4c33-a5b6-cddb1a61780f"/>
        <s v="f85ca148-9dcc-4488-a3ce-48bb5fdb0ad6"/>
        <s v="f333a8e1-66ba-46f3-a830-a154afc0e56a"/>
        <s v="fb30b1dc-81f6-4030-9dee-516e42a134f6"/>
        <s v="715973e8-381f-47ea-9ec0-9ef9a08920ff"/>
        <s v="fcc2f521-d51e-4965-b29d-f772744667c7"/>
        <s v="f3ab4a96-1727-4306-8d6b-98200dd31748"/>
        <s v="f67fb8e7-373e-46aa-b512-84abfe710d15"/>
        <s v="a16ee5e4-1df2-4760-8105-7a29fcc11299"/>
        <s v="1477709f-5755-4892-9a77-fdb2550c0f4f"/>
        <s v="b97225df-3122-47b1-9628-b21af69052f8"/>
        <s v="2026cb84-0013-4e7a-b55d-ab7c1ce3c959"/>
        <s v="6ac72edf-68b1-48b8-ad75-340fd36401c4"/>
        <s v="08ad60ba-774a-4643-8466-4d34380a1f72"/>
        <s v="305b39a2-172b-4162-be5b-e70e03b3a81a"/>
        <s v="58e9c301-08b1-4506-87c0-88760828f42c"/>
        <s v="7d8e7f9b-7d3c-43be-b970-e9dfcae2d0e3"/>
        <s v="3b347f48-fd06-4dba-80fa-7a61be73ad55"/>
        <s v="a84dd998-cecc-4b19-a5ca-fa0049a35061"/>
        <s v="b46a3427-c6d2-42b7-8488-70dc447561d5"/>
        <s v="2e109ff5-6492-4fed-a99e-43592b610d68"/>
        <s v="3f2ea9dd-ca3f-4119-b4ea-c484867b8e3c"/>
        <s v="5008b922-dc15-4fc6-969e-ec89fffbf9f2"/>
        <s v="7e320fbb-da5c-40df-9504-61fa27d647b1"/>
        <s v="cecea84b-cb80-4e3a-a7dd-f63d13449a1d"/>
        <s v="554d5066-800b-4eb6-95c4-ca7d4490fb78"/>
        <s v="a59f2051-f09c-4c07-b3d2-e689b1a526c3"/>
        <s v="6430b62a-48bc-44c1-8cc1-4ac5dc74e00c"/>
        <s v="65203477-13e2-4b8a-9447-b08d2d2a8a96"/>
        <s v="69cfe3b8-e460-4599-bf70-979569f296fc"/>
        <s v="ffafd16d-b2aa-4d2e-8454-4d4da7114006"/>
        <s v="505f0b97-f22c-43ab-9a00-a3622efca95f"/>
        <s v="a7ccc132-c9f1-4b54-bd29-9f81fb23b5e3"/>
        <s v="caf0fb18-72e0-4c11-a3c3-9e7434528f44"/>
        <s v="a521ec8a-381d-4739-a765-3ed244b3e9a7"/>
        <s v="b850d516-7c7f-467c-9727-cbefdc6dc599"/>
        <s v="c2ccc14b-7a3a-4d1e-8f41-ad5d4f96b4b8"/>
        <s v="57db7af4-8ccf-4a99-873f-3e558361c69b"/>
        <s v="7846b8ec-03de-4bac-96ce-64c03a9940c4"/>
        <s v="1f1da2b2-469d-4733-a4ce-45a1e094adfc"/>
        <s v="117d5477-ce3a-4229-807e-deb135b0eb6d"/>
        <s v="ecf82f5d-fd6f-4458-9a8a-afe77914b9b3"/>
        <s v="864c811c-b827-4e0f-8420-bc615a96c99d"/>
        <s v="fbe8fb57-1729-479e-95c7-825a953dca20"/>
        <s v="79f16b0b-f943-4d5f-8c04-853aa95973fc"/>
        <s v="8c3d46c7-9529-41e2-b415-85449b57bb62"/>
        <s v="cb1ceb27-0163-4790-bd87-4c4e3efa67db"/>
        <s v="d44dbbce-44ab-4779-8c1f-4451c7c865b4"/>
        <s v="8720ad5e-b5a1-4394-8012-bef286c040db"/>
        <s v="d5a33ceb-28c2-48ee-9125-169ae802c4bf"/>
        <s v="55f8dafd-666e-4c10-a5b4-ec2773ca65ec"/>
        <s v="327d44d8-4ba8-4131-8cb3-53858fc18112"/>
        <s v="7ae6703b-df07-46ab-ba3c-d3b7d53a2d79"/>
        <s v="4be72a2b-ce92-4565-9f94-db444339c748"/>
        <s v="ce0fa91e-1213-4c07-a433-eed6efcd20d6"/>
        <s v="87ebd0bb-9c9d-4cbe-ae61-0781d29385a9"/>
        <s v="81a862eb-c6df-49c6-833b-1fb92adc14e8"/>
        <s v="5f7f623f-5a1c-454c-bf6e-232f790d5317"/>
        <s v="d398181c-9c88-472a-8e2b-967a064775a2"/>
        <s v="1d5a959e-49ab-4ff7-8eaa-de8aa9c65c4d"/>
        <s v="18b2af2b-09ca-4d31-b3b5-ff9dbc263550"/>
        <s v="e860b223-b472-43ce-aeef-4a0eaf770ff8"/>
        <s v="ca789ada-e27f-42d0-acbd-3649551fdd3c"/>
        <s v="4b2641df-bca5-4fba-a3a3-ac9946c5624c"/>
        <s v="9f5d615e-9dc4-49b8-9415-067fb428a638"/>
        <s v="cff1d337-3782-43eb-947a-b77e02a5b7c1"/>
        <s v="3066bb70-b36c-408c-b635-494ea4dea703"/>
        <s v="ad04eacb-e213-4ea8-b14c-8cdb94515053"/>
        <s v="eda00736-ea2c-496f-9029-d51ba0b3cd76"/>
        <s v="793f2c34-1801-4fba-bada-24e6cbd03c88"/>
        <s v="095eb839-f8c8-4ed2-8bc4-4ccd5e889337"/>
        <s v="a670f5e8-e9ef-4dd0-87ac-f7ee7727bdf5"/>
        <s v="5181c615-42d2-4cd0-ba69-01fb785d05dd"/>
        <s v="93d3159e-a769-4ac0-a8fe-4c3233a41e9f"/>
        <s v="60881b7f-e9a7-40be-a9cd-c4fccc54363d"/>
        <s v="eea9940f-72df-44ec-beab-e1b0dd4f2888"/>
        <s v="f368046e-6e7b-4455-aaed-609e5a87c9b4"/>
        <s v="e03bead0-55f0-4cc8-91ed-fbdc6a3567a2"/>
        <s v="c8ba32ae-e3b5-483e-8ced-4c4236687fa0"/>
        <s v="5be0c331-f387-4f6f-9016-adab630ccf64"/>
        <s v="56933054-670d-459c-999c-9c78251e8820"/>
        <s v="5374cfc1-6a97-4cf7-a59a-adfa9c1fccd3"/>
        <s v="893edb97-800b-4cfb-ac3c-14c71cfb3405"/>
        <s v="b6871d70-15e2-4b50-ae73-e5d13879d775"/>
        <s v="6135b1ff-9204-4e49-ad91-2678d7e8c8d1"/>
        <s v="b0107dfd-71ae-4228-ab49-0b38d0dfa016"/>
        <s v="15c6d0c2-ca8e-4d95-a61c-e2bfd438b07e"/>
        <s v="969cea24-b65f-4f57-8159-f3279047b277"/>
        <s v="096b3ee9-9aab-4fb5-b77f-da59a44da964"/>
        <s v="5c42f13b-cae6-4bc9-8847-02054b32e90d"/>
        <s v="bbde17b9-d089-45cf-aa59-4217501aa7fc"/>
        <s v="a629b818-1622-445b-a702-83287074f944"/>
        <s v="688e8939-6612-4b88-b16a-6f5bc17859f5"/>
        <s v="d19769c4-8d1f-4e01-a02f-abaaea593f36"/>
        <s v="1e32daed-7a1e-4599-9eba-46ac10fb3b29"/>
        <s v="0cec6677-5993-4be9-92ab-78bc1311280f"/>
        <s v="22ca0d2b-1a18-4a1d-a918-86b847bb5612"/>
        <s v="a01dbf1a-9ba0-4192-a08b-4282de1a15ac"/>
        <s v="638a703e-cdbf-48b8-897f-8fc380991ad6"/>
        <s v="1711f3c7-9629-48f8-820b-139ee7c19729"/>
        <s v="0d5cf559-5e2c-4fac-ba32-ce859669182b"/>
        <s v="9beb4bd1-ca21-484e-8fc2-923de164904b"/>
        <s v="befcb3ac-3bd7-41bb-ac73-712fe7b94505"/>
        <s v="5e41602d-0372-402c-ab9a-e0e4234bea5a"/>
        <s v="f7f29fa1-7138-4de5-9d20-d40550b6acd0"/>
        <s v="86a32c99-e028-46a7-a2ac-16a8c8f9da51"/>
        <s v="f7f91467-19a8-45a6-acf1-2ef0bb884b7a"/>
        <s v="42fe90f1-b58d-43f0-a8ac-e27f8e9becd6"/>
        <s v="3354d541-e3aa-4cf4-9836-3da7d49c38a5"/>
        <s v="fa8772c1-e5cb-44e8-99b3-f9f4936c321e"/>
        <s v="c24e9db7-f7d2-4b91-a6a2-35f5b4a3bf8c"/>
        <s v="ebfd86bd-e90b-4f45-8d18-aa9c9c051448"/>
        <s v="ac33c205-d1fe-4a53-bc34-91ffd09da3ce"/>
        <s v="6e99eb02-9a70-41fd-956f-6ecfb05a4ba4"/>
        <s v="ebe4013b-b213-4486-8b3f-98730802e8a7"/>
        <s v="4e5695c6-3ffe-4327-b613-bb77492103b2"/>
        <s v="8e680d30-a681-4042-b7ad-239a2f703a3f"/>
        <s v="4b01f9d2-43c8-44e3-8f2d-956070cb47ff"/>
        <s v="addc98b6-8793-44a2-bb2d-dac81019a3aa"/>
        <s v="4386a904-3c7a-4d32-86b6-9dec42ad5f3c"/>
        <s v="7f6bd0f9-0ca8-4c32-bda1-9aed6e605e9d"/>
        <s v="d8a940b6-e7c9-4033-81e0-880abdd12d09"/>
        <s v="06b282a0-2f00-4285-a2fc-edf0fa75c7a3"/>
        <s v="57a92646-c056-4ebe-be6f-df187d797ec6"/>
        <s v="85430cf1-9809-4200-a30c-50e501727bd0"/>
        <s v="6c676506-58b4-464d-ac1f-8fe1182a4ee8"/>
        <s v="c7c55120-961e-4a21-a5cd-0daf2d89d19a"/>
        <s v="b4839f50-269a-4ff2-b6ca-cdc26f781b0e"/>
        <s v="8ccfddfe-8b96-4354-a8a6-4460aedb2d57"/>
        <s v="f5fd8e3c-75cf-485b-aa13-71596d7a363f"/>
        <s v="72e9358d-afc2-4e39-aff8-433db2175b00"/>
        <s v="5558ea85-d76a-4447-b4c1-0dc8254b1fff"/>
        <s v="63db0a94-4075-4754-9f69-03cb979474a5"/>
        <s v="4957b29f-6bd3-4d3a-be73-7bd3d7352ddf"/>
        <s v="21978a52-ae70-483e-a1b1-9a2165d145b0"/>
        <s v="d23a795f-a8ee-479d-b7e7-8c39b3b787c8"/>
        <s v="ac62a7ad-4f84-477d-bda3-a751e0e2717c"/>
        <s v="bab7b353-c46b-41c5-8613-dcc52052684c"/>
        <s v="58a12134-decf-4f28-a4a6-ff697c0373a4"/>
        <s v="48767f3a-84cd-4ff6-b5cc-9756a37abafe"/>
        <s v="24e28092-3d4e-4bd8-9f49-a8ef3b0859bf"/>
        <s v="9c7348ec-7eb2-4d2d-a907-8a8dda33d549"/>
        <s v="ce45c01e-ee6b-468a-a2ba-2e679c253aa1"/>
        <s v="8e46836c-31f3-416f-aa07-217cdca45d34"/>
        <s v="b8e4f8c6-09f4-4418-87eb-cc627f42e71b"/>
        <s v="3f33ffb0-7ffb-49bd-a108-b0c3a1f9ca1b"/>
        <s v="6c8a90a7-4a00-4dbd-affe-027d54303cd6"/>
        <s v="88e36ac9-75c3-4d5f-9b05-b96dc9b64478"/>
        <s v="6045d6fd-77af-4ded-94c8-578da7917e4e"/>
        <s v="188ffae8-c4ba-4bfa-81f1-3c4570c60932"/>
        <s v="50db9ea6-c2f0-4793-8763-05a1de82d02b"/>
        <s v="89299a12-184d-46ef-8b54-60288e55d027"/>
        <s v="1322f6f0-eee4-4233-856c-c3c177bf1951"/>
        <s v="476741ba-97dc-41fd-9b4e-054b6e206357"/>
        <s v="effdd2cd-408f-4673-a7c7-808148eff02a"/>
        <s v="e47ea523-d50e-43f8-8bbf-810023a4db3a"/>
        <s v="d6a15adb-425e-440d-8d85-8ff9d4669796"/>
        <s v="f4d56432-3fa1-4249-b7dd-6f6ff8072e0e"/>
        <s v="80075d4e-4655-462b-83bc-f94c4d6e36d6"/>
        <s v="4ef5aac2-bc78-4c34-8f74-673a7032320a"/>
        <s v="86020137-f74a-4b0d-b432-6318e89a8786"/>
        <s v="4a2d93ae-f4b3-48bd-800b-b3f3e36416df"/>
        <s v="45f54586-447a-4a4b-81f3-e5458039a368"/>
        <s v="74955aa1-bd72-449f-a3de-ecaa8c828b2a"/>
        <s v="6960f3f4-1ff9-453a-b7d7-966474cf9480"/>
        <s v="1e205150-5a94-4284-9a0b-2fd154a32e12"/>
        <s v="ea3d9c90-3964-4a47-aea6-0430222ffdef"/>
        <s v="31642d48-ea72-4442-9f3e-e2ed9ae88d04"/>
        <s v="31b4ba06-66ff-48a1-b340-17036a9ed549"/>
        <s v="7e62dae2-e4ff-4640-8623-5ce91774c8cb"/>
        <s v="d4cda8f7-03d0-4145-aead-58eef10e64bb"/>
        <s v="9e6e0579-d35e-4619-800d-fbacd9f2859b"/>
        <s v="18493f6a-8a03-43b2-bc19-aeb393a3c54c"/>
        <s v="5435f42d-2452-4ab5-abe3-7f26dc1ba04b"/>
        <s v="4d023d65-efd3-455a-a605-c02baae26334"/>
        <s v="20ab3646-caa5-4606-8d0d-cb85874cf542"/>
        <s v="d749ea8d-3b78-4ca1-82b8-8355be93b44d"/>
        <s v="9d4563a2-78e8-461b-8b59-6e5d22aac38f"/>
        <s v="4aa161f6-a747-43a0-bfb3-968c5a358b02"/>
        <s v="1c7a08bd-ecfd-4af5-b61e-627d5b9dc018"/>
        <s v="e4d330ed-049b-45bc-9b1a-215092d969f5"/>
        <s v="f7af8f0d-57d6-4fb1-afdb-7adcb334ffe3"/>
        <s v="dfdb0058-1b30-41df-88f1-a19aafe86f44"/>
        <s v="8c468ce1-9190-44ff-b761-dc638e094c8a"/>
        <s v="b2429686-79a2-4af8-8756-59b75b10da27"/>
        <s v="f488efd8-2eaf-4852-b2e1-5022c02d090f"/>
        <s v="cbd11115-612a-42f1-8ca1-ff7f3c61f95d"/>
        <s v="00a091f1-36f9-4571-97b9-f875dfbe22bf"/>
        <s v="8e01238e-7f59-4694-8d59-e78ea12ea630"/>
        <s v="e8534aa6-7936-4ddc-9a8f-7d65da51b3b0"/>
        <s v="b0c9583e-8f79-479c-9b9f-a7eabc5f69ae"/>
        <s v="f409b004-7cce-4df8-bbf3-02c6f0bd9734"/>
        <s v="4a55e3f9-f4c8-40b3-a766-e0cb4fd40845"/>
        <s v="88ea0880-7a45-40e6-8e28-815015d3fd34"/>
        <s v="aff1aae7-d643-4241-bb8f-b17d1a9467ff"/>
        <s v="7b194161-f6a2-431f-9a43-f136d405ac2a"/>
        <s v="b6fc82c6-37eb-4f3d-9053-183864af14ef"/>
        <s v="47ff2867-d0d7-42fe-a689-966776ac8383"/>
        <s v="3fb9f6d9-316a-489c-84d2-905db05b6edc"/>
        <s v="3668bea6-a26e-4d8c-88df-dfb08cc5e42c"/>
        <s v="6779fcae-fdc5-49db-8710-512acd1cd3d9"/>
        <s v="769b6ce4-4311-4e5c-9869-28d03afa4916"/>
        <s v="80fcc3be-6678-4789-b492-5e3fd73dd787"/>
        <s v="65c83572-d26c-4307-b761-6f6bb0f7295b"/>
        <s v="f2c7b9d1-e6c3-4ca7-8dbd-de94fe9aa99a"/>
        <s v="423e6f19-aa56-431c-a26d-bb3ebecd7407"/>
        <s v="bc575cb5-db1a-4e51-a066-69f6e0b14995"/>
        <s v="a439bddb-d0e8-4e48-9a74-02df69469229"/>
        <s v="3c88a9a2-9292-408b-9138-d9a6435c08e1"/>
        <s v="7776fb61-e206-479a-a805-042f83d4e784"/>
        <s v="7a347b2a-c8d1-417b-9896-6d35238ef4b6"/>
        <s v="9687ae63-2ecc-4095-976c-d19cd16778f6"/>
        <s v="58df74b5-bf2d-484e-a91c-3b07a69d02d3"/>
        <s v="5f67ef35-bcf6-437b-a246-a81d864edcda"/>
        <s v="3266f2c6-3900-4462-a018-cd86e58c58c6"/>
        <s v="860991bc-0959-4846-85ef-77265f56feb5"/>
        <s v="ac57232e-3dc9-4b06-97cc-3f7b94dd137b"/>
        <s v="a39d2cfd-9043-4cf0-9a50-24f6e60328fe"/>
        <s v="6ba6a06b-77da-4f6e-a08f-25ccf780bed5"/>
        <s v="770fabc6-8d85-427b-a704-08d359f5a6d0"/>
        <s v="fca39dec-96e1-469b-b340-84fe0a8b77f6"/>
        <s v="f16629ef-2380-4b99-ae28-025d6702533b"/>
        <s v="a0d7f48d-0eb8-4dcb-b655-5268f785c608"/>
        <s v="38e19099-554c-4983-8e2a-b37ed3c4e7a0"/>
        <s v="c2bea027-2e78-4404-8157-0e69e3f68a7e"/>
        <s v="0a5f3e3a-8ea5-4027-a20a-650e39178c02"/>
        <s v="bbf22564-625a-485f-9178-bfe70e4fe0c4"/>
        <s v="017d378b-96a3-4f75-8fb2-a849d35931fd"/>
        <s v="101a1eed-2707-45ab-ba47-8fcf13897f50"/>
        <s v="7ad840eb-d704-4099-8145-bb5940446ec3"/>
        <s v="251d75f6-b125-49e5-ad81-4865ef7c21d2"/>
        <s v="e75c4864-436c-4912-9e21-9b77aa9a0d60"/>
        <s v="c88a585a-8b45-4243-aac1-907b957ccf28"/>
        <s v="f6214832-88c4-40a2-9996-130f14b6ba97"/>
        <s v="8480dfa1-320a-4e5a-89c9-5b5b0727f5ae"/>
        <s v="dead199d-5745-435f-80eb-ef0c6b8dac0f"/>
        <s v="4f25a364-ae40-4179-8d1e-012015b270f2"/>
        <s v="4b876e78-e502-4829-acc9-c5d183fb9f54"/>
        <s v="67760ed6-2a9d-4392-9ba6-80b065a2a7ca"/>
        <s v="03e4a34a-adb1-483f-9b2b-488009fd522f"/>
        <s v="de541b95-b222-48cc-86a0-170ab7f244fc"/>
        <s v="f128324a-e0aa-4898-bb49-123622d91b6c"/>
        <s v="b5b93787-be35-4d36-bc07-83505f3f2417"/>
        <s v="43856f5b-1de5-486c-b996-f72d7d2f2872"/>
        <s v="a069465e-46fd-4ccc-a76f-1e0064a14897"/>
        <s v="aa5c430d-8d3a-47ab-8def-71eaedcd7a28"/>
        <s v="b9d74e39-a52b-45b7-96c2-501f3f0b45b1"/>
        <s v="b9a410cc-8073-4858-8dc0-583b6a5d95b4"/>
        <s v="a66b1374-d2a2-4ef2-8f5d-f9b58c64a24e"/>
        <s v="23839453-8326-4e6f-87a6-d802772861cf"/>
        <s v="07cac1c8-2145-4c0a-80a2-57a21c27739f"/>
        <s v="fb32506a-b635-4805-b9ad-18bf1f43a14b"/>
        <s v="da23ca57-22b3-43bb-8c59-0f4e4843efee"/>
        <s v="38a6cdc9-856b-4e36-a278-4a90c5a59a90"/>
        <s v="4c1ddb75-a154-4d77-a0cf-f9bcc65d1da7"/>
        <s v="3c87db83-208c-42f8-83ea-71f736f08f66"/>
        <s v="e7223c67-a70d-4ac1-bc94-cbe1b1e77993"/>
        <s v="bbb71e30-d217-4007-b3c6-48bda436704d"/>
        <s v="1eab32bd-3f6b-42ea-a583-40c1731d41ae"/>
        <s v="c5641494-67c4-45b9-9ee3-24516aa16859"/>
        <s v="1c4a118f-3203-4812-a51f-e9ae35b1cefb"/>
        <s v="1dc623ac-15d4-47cc-8de3-27322a7d03dc"/>
        <s v="c7cf5804-d7d6-4acc-ad39-fe1ee10e6439"/>
        <s v="6310e3b8-658d-4241-988e-b617b9fced8a"/>
        <s v="a3936a6f-020e-4c85-8503-bc90aaf8f3dd"/>
        <s v="9a1098d5-0376-4dad-81be-12da389ed215"/>
        <s v="b56a4435-e59e-4980-851e-33aac53cf190"/>
        <s v="166c3f4e-fb0f-442f-a3f8-a9170351648a"/>
        <s v="97a3d9ff-f6d0-41ed-aa43-baec450445e1"/>
        <s v="4dd539c1-8e10-4ea2-98f9-78e36ec5410c"/>
        <s v="9c0d17fb-731d-4d38-9c91-d990fb13ece7"/>
        <s v="4ca1d9b4-1d1e-45e1-8054-09715838b9ef"/>
        <s v="95e72111-7deb-4459-a208-28593c7e07da"/>
        <s v="c321e333-0cc9-4166-9cbf-56a72336bada"/>
        <s v="0e33b658-3488-4b20-a9d4-2c021a280b9e"/>
        <s v="7e003ab9-d22f-49bd-8017-252fae3868d1"/>
        <s v="b8f3e004-671a-4675-b239-e4dd30659b45"/>
        <s v="367bc0dc-0fc1-4375-b59a-9d471bb0f545"/>
        <s v="b2c42efa-5ad2-46d3-98bf-45eb5c0855bf"/>
        <s v="4988511f-7180-4414-9344-ec6dfc7090be"/>
        <s v="c17dd70e-2c24-4ec7-bc7b-2e03341bb58e"/>
        <s v="aaa047ee-ae6c-48a3-baed-b5254d8f11ba"/>
        <s v="21fdd3b0-a5ee-4211-a774-4b6d815892b6"/>
        <s v="8e769ca9-2316-4647-8694-5d684a0cbccc"/>
        <s v="3614feb4-5e77-4fa3-9bf8-4651b6954063"/>
        <s v="5c6afe2f-ff7e-48e9-8842-5b259e19f943"/>
        <s v="0c28d25f-9ce3-43ad-8a5b-b40663e3b520"/>
        <s v="94677c92-5bec-4d49-b307-d1c089825c94"/>
        <s v="251bb918-cd6f-4d23-b4d9-36b168cc96c3"/>
        <s v="1912dc2a-b233-421f-a6ae-fee2298586b1"/>
        <s v="aa1d8a9e-9561-4e35-abd9-7419f8c1eb65"/>
        <s v="4f6cf287-b582-44f5-acf3-6b7b64099650"/>
        <s v="5a8fca9e-7cce-49c4-9d55-e17eeaf70896"/>
        <s v="5113e7ef-d15a-4f1a-b5d5-6dab6278dd41"/>
        <s v="8e8f8842-4ab4-4a16-87cc-7af2c26189fa"/>
        <s v="b86f413b-4b41-410f-a891-7780f85f9da9"/>
        <s v="f8047d2d-b180-4f55-9194-9898d6863635"/>
        <s v="b93e9262-be6b-4abd-98c6-c8fd16bbcb31"/>
        <s v="e0b66c28-f30c-4078-854b-66b42489457a"/>
        <s v="bfef14bd-711a-47d3-95d2-0f6365a7f7ba"/>
        <s v="1e722a49-993d-4a71-9273-e1d30642b125"/>
        <s v="11570796-8380-4041-b1d0-104d9574ae47"/>
        <s v="3f0a3f1d-5f36-4be5-a015-8f3bd48fe6dd"/>
        <s v="76d79a7d-d6eb-4592-9689-04afce909a8c"/>
        <s v="c1e8c904-f220-4828-badf-2759b39fbbe4"/>
        <s v="58493b08-0a3d-4d04-a261-99a0d02220e2"/>
        <s v="2bfd8794-e084-4b98-905d-21eb91a8b0ba"/>
        <s v="39fbd8be-2585-43a8-8f32-b19c79afce2c"/>
        <s v="2af8f0c6-c543-44bb-a51e-4340220c35f8"/>
        <s v="6582f587-1197-41aa-878d-a70746eecd14"/>
        <s v="0ee5d42e-f634-4c33-9b74-607ce8e4356b"/>
        <s v="a0ff32f1-2c92-4e13-ad3f-e7b1c39326d4"/>
        <s v="abfdfea8-cfa2-4dd5-bab3-b563ae5391d1"/>
        <s v="dcb22381-3d7e-4e13-8110-539d2af867c8"/>
        <s v="f12848f5-5046-46e4-8a88-01368de751b5"/>
        <s v="af592558-ec77-4f0a-9d70-81a475e142ea"/>
        <s v="80efc451-2540-468b-a5b2-3f3b2e689912"/>
        <s v="f518ccfb-e203-4ad0-9feb-8663e877744b"/>
        <s v="72c5e20f-14c5-45f9-9745-269f491f6061"/>
        <s v="cf72bdba-8978-426c-a914-fe8fb1f93a8b"/>
        <s v="b092765d-9944-44f8-b292-dea14ea2ae7b"/>
        <s v="a3fba6f5-ffa6-4186-b243-cf5f7caf1ca7"/>
        <s v="f505cf59-f6b2-4e9b-b981-e335780b689e"/>
        <s v="cb71e887-ccd9-47a7-8375-41233c64a18a"/>
        <s v="a77c404c-8d51-446a-8a57-e21f674e2956"/>
        <s v="7e7e7744-f086-4dbe-9e04-a4caac3a8035"/>
        <s v="82ab7c43-c03a-45f9-86f0-12ce4d9a4c82"/>
        <s v="591abc49-abd2-460f-8063-80cf9572de96"/>
        <s v="c09acb87-1b4e-4082-9bc0-ca27a67a8aa6"/>
        <s v="21d8b65f-5e6a-4a46-959b-cc5b3d441943"/>
        <s v="3ec00711-0d6d-401c-9a53-eb635969bf01"/>
        <s v="9baca35f-3bea-41cf-8484-7df63a2d0999"/>
        <s v="1162b94a-847c-4eb0-bc98-9b5186058f3d"/>
        <s v="6d31984c-27d7-4f47-a061-04e2872a4bd4"/>
        <s v="824e1563-703d-4883-9db5-7881b5a827ed"/>
        <s v="fc06efca-54a1-4363-a21b-604d3bddb99b"/>
        <s v="5f46b948-f004-4693-8e3a-f224f35c4a91"/>
        <s v="06810285-b929-42d1-8389-fbf04d3ee95a"/>
        <s v="9458d4ae-7a96-4ef8-843f-413a5dd9c908"/>
        <s v="e7febedb-583b-468a-ae2f-8d76fbfe9666"/>
        <s v="9e091912-70e9-4676-b4e8-c2e67c549c0c"/>
        <s v="1b0c07c9-5772-4465-bd72-c4a89e217a7e"/>
        <s v="cc170f88-f0a0-4422-8bde-a0b88a6fdece"/>
        <s v="0467af06-26ed-46b5-840d-d0820896f9df"/>
        <s v="ddf7fba0-fa1e-44c7-ba4d-5c7b28a31e83"/>
        <s v="968ccddd-beea-4529-9512-606024d44738"/>
        <s v="5f577407-8aeb-4317-8023-15e268d736ca"/>
        <s v="00317f02-e33e-4693-be1a-d0fe51dd7670"/>
        <s v="2b04299b-c864-492e-bb3e-c2bc4d32db6a"/>
        <s v="57e74ba9-f392-4e95-b8c2-51218993045f"/>
        <s v="0f0ef090-36f2-402d-b3b3-eb52dc1b453f"/>
        <s v="f6ae9d43-992e-4b2d-b5ec-e110cf8af324"/>
        <s v="7bfa7e47-0153-4fdd-b145-86aa431218c9"/>
        <s v="b69e2552-3cc2-4295-b31a-560ace702fd1"/>
        <s v="0d3c9bdd-90bd-4f48-b2f6-e60caaa1dfbe"/>
        <s v="c932f3d8-4a60-4507-ba82-3d556424c604"/>
        <s v="32df670d-b834-41d9-bd33-8b2f82525a7e"/>
        <s v="7d408093-006f-4ef3-bac6-8397b7017e37"/>
        <s v="be93fdbf-fa29-41a0-a1d4-fcbd5ac26123"/>
        <s v="8933c267-04ed-4d3f-9d83-dbc66bf68d28"/>
        <s v="330e83d0-880f-41b1-a815-aa210176dcb5"/>
        <s v="6d165d55-ecef-471f-b897-f4eafc032306"/>
        <s v="a7a2582f-5c67-4e23-bfbd-6c216904897e"/>
        <s v="1595effb-1601-4ca6-8b5e-4c4119815326"/>
        <s v="778609f4-9c11-454c-9aa7-2690615a2296"/>
        <s v="a74543f7-89ce-4d09-a11f-0bf15f55d09e"/>
        <s v="b771a646-8c36-4441-ba7a-5963e0302c95"/>
        <s v="53786fc8-9e0f-455b-b26b-4a9f7243f821"/>
        <s v="24a68511-5b72-42d8-a389-f74d1476d318"/>
        <s v="64749ff9-8452-4af8-800d-2c215851267a"/>
        <s v="5b513f59-9924-4109-9044-40672f9f6e90"/>
        <s v="14202725-292e-4634-9639-3bffe24e9d2a"/>
        <s v="cd8b8955-6ac7-429d-8844-efcee296eee0"/>
        <s v="cc136107-c924-4d3a-8e1f-7202ed92ae91"/>
        <s v="564ad1cb-adf3-4820-8c5c-ef2b1a56ffa9"/>
        <s v="410aaf09-0633-4a6f-a736-2d3f84f6a72b"/>
        <s v="5427ae2a-7647-4192-adfc-96a391b9f39c"/>
        <s v="796ef9f2-d6df-4d11-9c8b-02b265370f92"/>
        <s v="3e00e003-6a06-4c1f-b485-d81cda0a60bb"/>
        <s v="ceb87ddc-0381-4637-ac48-45afc26bcf29"/>
        <s v="82312f21-b679-4fad-b28f-326d296e9009"/>
        <s v="edbcc2c3-9912-42fd-8ca6-6bfe86d83c60"/>
        <s v="cbf3bbf6-aa78-4351-abb2-f1112fdeb6b9"/>
        <s v="d9f2e988-705a-4946-baaf-a40cbb2333f8"/>
        <s v="2878ad70-dc29-4bc0-aed6-9d8b7464a0ce"/>
        <s v="377294fd-d7b0-4ca5-896b-ad71e4e218d0"/>
        <s v="d274fb7b-6888-4991-9ed1-bd73a67d475d"/>
        <s v="3b8d2cf2-ce75-4349-96e1-077d054a2e49"/>
        <s v="cd47458e-2b23-4d07-8668-9f46649097ba"/>
        <s v="f2ec064a-c56c-4d3c-8fa0-d0ca8a77ed29"/>
        <s v="e049f86c-b9b0-499d-8bbf-36b4406c912e"/>
        <s v="0a9269dd-9dea-4976-9b12-c33016ff05e0"/>
        <s v="b4f9dd05-e398-42a7-9381-3734fe892cdc"/>
        <s v="9f8f8feb-911e-4188-9271-1b673e92d1e6"/>
        <s v="557fce3d-a3ae-48f6-beeb-c74a77a25a53"/>
        <s v="acb4472c-f752-4cba-af9b-fc1036dfca41"/>
        <s v="e26c348a-e620-4b1b-9978-6c98c2d002cc"/>
        <s v="83fca6f2-aae6-4b48-855b-d5206e9ab56f"/>
        <s v="b74b08ef-0754-4083-8560-39fb23c8fd7d"/>
        <s v="79a7edf1-0889-43d1-b04f-e0084c79cb6f"/>
        <s v="460671d5-547c-484a-a1fd-1fcee12f8b69"/>
        <s v="bfe64314-6229-48c4-9649-0a9b3162854a"/>
        <s v="9707db7c-634b-4c06-83c5-9930ae17adf8"/>
        <s v="c37a30f4-9bb5-4342-8139-6aafad2173d7"/>
        <s v="28d13724-3aea-414f-b47a-382c258b386a"/>
        <s v="a3bdc584-ae28-4be9-a1b8-4d7c6554a2b1"/>
        <s v="8cb87337-4fbb-4e5e-a542-84cd242a69b3"/>
        <s v="b7da1750-44a5-4aba-a9ac-a1397d483741"/>
        <s v="ae5815c9-db81-49a9-8902-12bc77e4f3f0"/>
        <s v="fe8d7137-4c20-4a57-95f5-5757543afde4"/>
        <s v="7d91fc52-b008-420a-8f6f-6a929c85d1ac"/>
        <s v="df7ecbf8-9419-4531-8638-0f3b18310911"/>
        <s v="09c5b9de-22dd-4f9c-9517-f269145792e6"/>
        <s v="3f92f29a-3bf2-4e81-9468-ebcc00bca0e1"/>
        <s v="1e72ee2f-6342-41d4-a3ed-7973f4e384dd"/>
        <s v="e0f90340-cb2b-4c24-a5ae-e05e599bd9f5"/>
        <s v="1790e5b4-c03b-4ddb-878a-8c9484878cc2"/>
        <s v="7023e166-fc73-46cc-a1b6-d33b2115631f"/>
        <s v="b7464c17-40dc-4e92-ae15-db1267faf511"/>
        <s v="f5b9bace-4303-4b73-a2e9-bda3600d5876"/>
        <s v="4da609b2-fac9-4a66-a32b-c7da3d8b1983"/>
        <s v="58593bed-667b-4883-a75c-2fdda43da428"/>
        <s v="17502868-4e6b-4207-b882-e363102591d7"/>
        <s v="75c10883-fceb-49de-bb22-abad29088a1e"/>
        <s v="0859eb87-e570-4ae0-adff-b5b7da257d43"/>
        <s v="5772fa38-7b76-42ad-9409-f332b6924d58"/>
        <s v="c827365d-3e9e-477d-846d-2d41cafa7831"/>
        <s v="eb5949de-6196-4aa0-8bcf-af387ace2c9f"/>
        <s v="29cceb78-82d9-4c7a-9644-113d892259ed"/>
        <s v="10b1872c-73d1-43ff-8003-5cb953240c3d"/>
        <s v="a7244756-f27c-4246-a203-0cbdeb5aecaf"/>
        <s v="1a095078-fd5c-48b9-af19-8ff2b4be3d0e"/>
        <s v="711722ab-c8ba-44fd-9a54-cf178da1264c"/>
        <s v="1e22c949-cbb1-47c3-982c-8248948a8472"/>
        <s v="9773ffe6-0b4c-44b4-a2ba-53ee78fcd483"/>
        <s v="b932a7a5-68ee-4cd7-9ccd-611a43155dfd"/>
        <s v="7329ce63-0a4e-43ee-84fd-eff83e236f38"/>
        <s v="61525cd3-cf72-405b-aff8-b750049db723"/>
        <s v="128125cb-4414-46ab-afe1-67aedee05bc7"/>
        <s v="519b08a8-4ff4-4ef1-955b-4df2d792b5ac"/>
        <s v="3748be5b-efc1-4e28-829a-3dcc1358dbfd"/>
        <s v="dafd5127-9d1b-406e-a9ef-6096caa054c7"/>
        <s v="f4d41263-4bc2-4e2e-aafb-cbed56a458e3"/>
        <s v="0d7a3cf0-3e29-4dac-a2ed-04c830e001e3"/>
        <s v="495bd54a-c7c8-4f0c-ae38-0ae789c670dd"/>
        <s v="59c1ff83-ec9f-4cf4-9e7d-53003b9a6fbb"/>
        <s v="54de8821-c09d-4323-bfdd-15ed27a861e8"/>
        <s v="cbeee821-5b4a-4c3a-a104-a1bd5ac19597"/>
        <s v="4021c4c6-6117-42d4-ad4c-e96c2ee79582"/>
        <s v="5451c013-4562-4cfb-b345-8294ef295d46"/>
        <s v="739b1350-fe43-458b-937e-ea72bc6bff04"/>
        <s v="03211096-a8b7-4163-a390-b2bbb97be681"/>
        <s v="a03fe3d3-2b04-40fc-8795-4f2672ee2c1e"/>
        <s v="b12324c9-1941-4383-9e4c-9a8683ad5fb4"/>
        <s v="55760dba-53d3-482b-99b3-e17e0751fdc3"/>
        <s v="08a809f0-ae15-486c-ac5e-a2d4640a23ec"/>
        <s v="39757e66-328a-49fc-9464-08d5c337ddb2"/>
        <s v="31e0e72d-c282-485f-86cc-fc8b0e5542a1"/>
        <s v="663d44fc-6640-44fa-abf6-824d894644fd"/>
        <s v="7d4b1695-6f1c-4f17-acf1-9f41c3154517"/>
        <s v="e53e1abd-46c3-4047-acd2-d99f9b7e6055"/>
        <s v="21f18ea0-568a-4358-8d1a-11fe7114c38b"/>
        <s v="e9b6e489-c947-4441-851b-e7ffd63fc9d2"/>
        <s v="d989fa53-2626-490a-b2f3-3a54eb250c56"/>
        <s v="c4d3c47d-1f28-4b03-a2b6-3132324a9971"/>
        <s v="a8ff270f-c362-4d42-9cc2-b1bbcf842e08"/>
        <s v="916ed577-4cb6-41fd-bd60-956dd1d818ab"/>
        <s v="e26fb9f1-9989-4862-8a2a-aed8db55c43e"/>
        <s v="012a8888-6c49-4f5c-aeaf-f4c713018e5f"/>
        <s v="01582535-26c7-41dc-979f-a19c285ae197"/>
        <s v="bb13bd6a-3b8f-49a3-83d9-680ccae8ff7e"/>
        <s v="e59b8307-2aa1-4a34-8a64-b612adfd4ced"/>
        <s v="f60bc030-ee0a-4a30-991d-7814f8448800"/>
        <s v="0e9c5280-1538-428d-85b6-2ee6c54ccc11"/>
        <s v="b1ea3735-7b2c-40ab-bdcf-320dcca05b40"/>
        <s v="117dd912-36cd-4258-8793-cbe45926d461"/>
        <s v="a71ff010-eb12-4248-994c-e91dd5a73f3d"/>
        <s v="14516beb-e63e-417f-b978-e175b6f588b9"/>
        <s v="1b2b1d90-ad4a-422f-8bd2-fc59caa54632"/>
        <s v="cc6928c4-d3ce-486a-bb90-45dfd2afb0d6"/>
        <s v="b208038f-c287-4d66-9bd6-209dd80c113f"/>
        <s v="08736c7d-d5ff-4848-afb3-3a2977ef5a26"/>
        <s v="3d472bf4-07a3-4a12-8db9-72995bae8d1b"/>
        <s v="7f673678-1a22-4e30-a329-0e7ec332144b"/>
        <s v="9a67866a-fdcf-4b93-abbc-275c58dd7693"/>
        <s v="b51cd6e3-9d9a-40b4-9681-1d1ebc4ee0d8"/>
        <s v="a54ff67a-a68c-46ca-9451-a48a04dbd7ba"/>
        <s v="1a702b06-354f-4e61-8c71-b9f2b48b486e"/>
        <s v="f6b8aeb7-2143-41e9-85e9-f76d91035f69"/>
        <s v="eadd4a01-fd61-480b-b15c-b83708996077"/>
        <s v="daf703ec-b3b2-447d-8a0c-f55b4ec6265d"/>
        <s v="7a75eb3a-ef88-4b07-9771-0b96e0e958ee"/>
        <s v="7177b471-35ef-403f-a603-4565f13f8e3f"/>
        <s v="bbdb5812-a9e9-496a-a7f8-636f78adafe0"/>
        <s v="dec65b59-2bf6-407d-b68a-a730253b1e08"/>
        <s v="3cc0084c-81b3-4269-8b7f-f2843481fa54"/>
        <s v="9780beae-7db0-409f-aa03-46d566f422d4"/>
        <s v="8ccab5d7-ca16-4f87-a6ee-1376beb3c7eb"/>
        <s v="0e80a663-0859-475b-a024-a24051f75f48"/>
        <s v="cc490f5e-38df-4a60-83c9-b244ace708d2"/>
        <s v="7f590354-48e4-4cd4-ad5a-f1d3e6a3bdba"/>
        <s v="39914df8-5761-4825-8094-a06781ec4fe5"/>
        <s v="3b3315a9-e5f3-4d2e-8542-41ef95f74e49"/>
        <s v="46005096-3840-4e29-8861-9518419f40b5"/>
        <s v="b87f2cc7-91c2-4a8e-bfea-585a7b28c108"/>
        <s v="d2cb3059-7cc0-4445-8dbb-3164da0d2bac"/>
        <s v="4639eebe-fbb3-40a4-9c72-41c15b68e92a"/>
        <s v="49836fe6-0db3-4127-b69d-76af730b0cae"/>
        <s v="eb2d7d5a-a5b0-4f8c-a854-0527b79e8dbb"/>
        <s v="ae5fe1a6-3277-4dd7-ac3f-366e8c022993"/>
        <s v="8054a3db-d783-4927-93e6-5611ad32604b"/>
        <s v="c2c2414c-ac3b-4abb-b5a8-ffdc7da2245e"/>
        <s v="cce11a12-bdc9-47fe-b9ad-c46eaed613c1"/>
        <s v="f47ba0cd-0ae9-4131-8a8c-27e6ca8aaff3"/>
        <s v="8cad06e1-737f-4465-900f-ab398ff929df"/>
        <s v="bb95d4b8-9090-4939-869c-ef8a37ba2682"/>
        <s v="32096c03-438b-41dc-bce7-b2ad8d8165d8"/>
        <s v="42dc5ea8-66fa-4eca-a2d1-d8674a5a05a2"/>
        <s v="5dc81a17-995c-4b20-b17d-9311a0165221"/>
        <s v="466dbf02-5138-4559-b124-bfa90ac92f9b"/>
        <s v="3af00996-393f-40e7-bd40-43377812537e"/>
        <s v="f7097f21-cc09-4f1b-b0e0-38aeb240b9f4"/>
        <s v="f077917f-992e-41bf-b02b-ee8916ad5799"/>
        <s v="61c4bb55-4505-4672-ac8d-b58723491b1d"/>
        <s v="8efc8066-79bb-409a-afd5-f2922b27c737"/>
        <s v="0eb8d709-8685-45ac-a241-4b0204aca02c"/>
        <s v="40d1854d-99a0-4881-90d7-a4d7ee9d6698"/>
        <s v="6f91b939-fd11-43ce-83f0-e1e7824209f9"/>
        <s v="27128618-7d3c-4491-9606-b97aeb29e8cb"/>
        <s v="5a3e4a5c-431d-4843-bb7c-67f0b99d3041"/>
        <s v="6d7768cf-1925-48eb-904c-11727c28e320"/>
        <s v="a93a6e0d-820c-461d-bb9e-fb81e6d986ed"/>
        <s v="3d59d41d-4a00-4877-a9f9-3e62e49fbbc8"/>
        <s v="5e9a6509-ec8c-4b4c-aaf2-aa46b351498f"/>
        <s v="a1163b0d-b49c-4055-8219-6ae9a48298e8"/>
        <s v="54435ec2-7921-4e8b-aeaa-24a849b584c8"/>
        <s v="a00be581-d179-4a70-8526-f7ac85f04f8a"/>
        <s v="b9dc702b-8616-4c45-8e45-b597b7b7215f"/>
        <s v="a12deee0-5909-4de3-ab9d-bd11832f0fe0"/>
        <s v="add31859-56b1-4c67-be18-de895aca6a72"/>
        <s v="effbc452-2f52-47ea-acce-9ff7e34c3f54"/>
        <s v="131d743b-e120-4f0d-adbd-d53f1d877d30"/>
        <s v="628fd7d2-c7c1-4717-b197-0b41e109e854"/>
        <s v="457eaab1-fac4-41d8-a986-b78f2e2e089b"/>
        <s v="09f9bf7d-9789-4d31-bde6-4833ed3a44ff"/>
        <s v="8b3f2f32-fbec-424f-8ad2-fa33157362c2"/>
        <s v="e679e138-c394-4fd8-85ec-bebfbb5e8751"/>
        <s v="76b3f4d7-cbf4-4bd5-ae91-5b63e44ad9fc"/>
        <s v="070eca27-bd31-44fd-9915-eeb68152d084"/>
        <s v="c116b581-e01a-4f74-b17f-c94f452efa01"/>
        <s v="c15808c3-fb04-4154-9337-85d04b4c2b0e"/>
        <s v="6d7645b5-3c7e-4d65-bef4-383f43ce89f7"/>
        <s v="ab75da92-d4d7-45e3-9c42-10a3a6b5a89c"/>
        <s v="0f1c6f09-42e7-461f-bd25-926980132c47"/>
        <s v="1fb969ed-e346-4407-9ce9-55cf39753dfa"/>
        <s v="fa800c21-63f7-45bd-b5ec-f05f26a8ce98"/>
        <s v="adbf8d2c-2c95-439c-bf08-11007b9947c5"/>
        <s v="bfcd298d-e1b6-4846-9a92-d92d8f568e43"/>
        <s v="08368354-cf8b-4826-a35e-eaeca79ce6c9"/>
        <s v="e79cc047-2fc6-499c-8ddb-ad0ce23cac9e"/>
        <s v="fcf31c35-b81b-4e41-80bc-809c2592cc0d"/>
        <s v="77680b2a-d07e-41eb-bc7a-44c386ad51a5"/>
        <s v="152e3e1c-5e94-4e4b-aff9-fe4432a1f570"/>
        <s v="0abad2b4-f254-4431-bd4f-e4acecc9da76"/>
        <s v="06e3fc97-b121-45f6-8537-c4fe2ee35763"/>
        <s v="e842d7a1-c009-4e5b-ac3b-142ed6a47483"/>
        <s v="79ca13f7-f6d1-44f2-be52-3f400e2f4da2"/>
        <s v="c0daf751-e61c-4325-81dc-e2b0ef658ea6"/>
        <s v="799e55eb-ead4-4d7c-b984-14eb5c3189e5"/>
        <s v="021b836c-2d97-4623-89f6-a2e3f0746b54"/>
        <s v="65ebe84d-bbfc-4dc4-b402-3ec55b549b9d"/>
        <s v="4cae128d-a472-45bc-b830-dbd5da8d8197"/>
        <s v="b64a8d35-a90b-4294-b3d8-d83f05bede18"/>
        <s v="9247cb1d-7678-4573-a87a-1d36213a046b"/>
        <s v="61902a8f-2c24-419b-9771-6c2c34a7291b"/>
        <s v="284e801c-02e1-49ff-867d-698c84b200f1"/>
        <s v="85477674-7fd5-4141-b8c6-a92bb2c53ce9"/>
        <s v="9192719a-bb3c-431a-b5dd-2cddc5113407"/>
        <s v="21880434-3ec9-4585-8981-268dfc93afed"/>
        <s v="4a496b1d-cec0-4303-9014-07f5db0c4efe"/>
        <s v="7cfab955-3c61-4ff4-a96a-0f0a6c45bc44"/>
        <s v="4a936dc3-6e09-464e-9cb6-18e6c356f205"/>
        <s v="1cc79f4b-4f26-4d4a-8065-0be9176a4cf6"/>
        <s v="166eabde-c84e-4097-b44e-f42eaf58701c"/>
        <s v="52074f3e-f35a-4407-9dbb-29de05d8d076"/>
        <s v="ef99560f-ed55-4509-afd3-857bdeaeacf0"/>
        <s v="ac75474a-7ab9-4170-8fb7-e9e271e8b0ba"/>
        <s v="0f0dc55b-d8a6-4fb3-b188-e02fda8a9f5c"/>
        <s v="682e9771-e069-4147-867c-11e116b1b043"/>
        <s v="7406932b-ba1b-40b9-8de9-9485aec1a962"/>
        <s v="b244499f-6bf4-4c73-a910-76dc687468bf"/>
        <s v="d8a79542-0b6c-44dc-afd2-056ee2d98c5c"/>
        <s v="50c68752-8e09-4604-a1d9-e0cb2378daf1"/>
        <s v="211eb315-859b-45e1-874b-409dcde1707c"/>
        <s v="e608c568-9afc-4d4c-94d6-31a3d25c25b7"/>
        <s v="803e7bc1-6bff-4ceb-b46b-bf1761483fa9"/>
        <s v="4a030507-2c62-478a-b03f-eaa0543beef1"/>
        <s v="bcbce44d-fcbf-4a36-b2fb-e6335c7f55d5"/>
        <s v="4db78273-d0a8-4fdb-b8c1-07b5fe6a2ad5"/>
        <s v="011dc483-98ec-4e64-a186-cd1f230762b5"/>
        <s v="b2b3a8d0-d5dc-4b88-905c-2a36d414355e"/>
        <s v="57f74ccd-f7e9-4c34-adcd-d242ab85d2fd"/>
        <s v="3ff1ab86-d0f1-4ef5-adc6-a263b85bfee1"/>
        <s v="904372b5-92a0-4b8f-8803-bafef3dd9708"/>
        <s v="e4452cb0-b689-4b24-9248-4ffc5e79bc97"/>
        <s v="87549c6b-d31a-417a-9d43-c933318c2807"/>
        <s v="ac4c63c3-ba8c-4f9e-b9a8-35fc125600d4"/>
        <s v="3fc7d8a3-f296-4f39-a1f9-c620c9384c76"/>
        <s v="260d1608-b609-4239-bd47-d420bd78ec8a"/>
        <s v="fad57114-1942-4e5e-9837-deaf7286c48d"/>
        <s v="bc380211-88c6-4daf-90a7-5c5c71901f1d"/>
        <s v="8a5992dc-9b3c-4863-a5a3-65cbf22c5f1c"/>
        <s v="88507fa4-bf72-4bc8-9287-72cc374c4493"/>
        <s v="95f5688a-778e-4373-b417-b2182156239b"/>
        <s v="0a0b29da-7959-4e59-8c71-978f936be97f"/>
        <s v="054035f4-df35-42f2-befa-df6d990aaa40"/>
        <s v="11234322-cb93-4089-9b99-d777bc47a25e"/>
        <s v="5b812590-af1c-425b-a97e-61de7e9234c1"/>
        <s v="8795c337-8024-492a-8c5a-2771777e1ae9"/>
        <s v="72665d8f-ce8d-4999-bec6-8823a2c0dbf8"/>
        <s v="122574f3-d3f1-4efa-b7a7-5902a5e8c6d9"/>
        <s v="3a2e8fa7-9e85-4611-a43b-5a1fe853fc1d"/>
        <s v="deedc5a7-f771-43a4-b211-9d671707c46f"/>
        <s v="0f86d4b0-8346-431f-b4c1-846c55a87ef7"/>
        <s v="f697cf66-fa5d-4a6c-bdf5-4d6c15911e70"/>
        <s v="eaf40269-a4a7-4662-9682-311277c7d17b"/>
        <s v="8ffd5f69-5de6-4679-8a55-1f73dd59c232"/>
        <s v="84d4f858-6338-42a7-a201-df3ff3db443c"/>
        <s v="61faaa50-71d2-49b6-ad0e-2f58c2164afb"/>
        <s v="e1048ea0-d983-4a71-aacc-edfbb0721afc"/>
        <s v="7f4a0c1b-67e3-4fb3-bbcd-b5c7f5cc8d70"/>
        <s v="66fa551e-ed6d-4f95-8145-724e012c3ea1"/>
        <s v="13f7e0ab-d89e-4643-9265-af8f6a81ecb8"/>
        <s v="ffb5c350-8c57-47d6-b08a-929790c21ce9"/>
        <s v="d45fa4a5-ba09-43e5-adf7-300d73692cc3"/>
        <s v="2d350bb5-9ac8-49d3-8d3e-cdad429390cb"/>
        <s v="a85ca09d-fb20-4d72-9c27-bc5a0c46d292"/>
        <s v="be7ad150-c671-4184-b474-862c86ffc2ac"/>
        <s v="65e6f01c-8f47-4465-9c4c-abd147c549a1"/>
        <s v="cafa3725-1d89-46a4-a976-4a8a73691b1b"/>
        <s v="42f427ea-6e0f-4bee-8d7d-56a7ea4c24c5"/>
        <s v="f65b068a-e88d-4173-b9c3-e6893cc24b13"/>
        <s v="7d36efbd-e230-4099-9363-0c00e3d8dd9b"/>
        <s v="e81dacfe-1715-4189-acda-22f25b8b604f"/>
        <s v="13c06607-a523-406e-b5c4-69f051ca5cb5"/>
        <s v="e0b762f7-ca74-43ff-8707-7e9b6bb144d9"/>
        <s v="4bb079cb-70db-4b64-a032-f1190a35ae88"/>
        <s v="ef58b3bb-06f9-4d1d-8d3b-5e4c91f9daee"/>
        <s v="e71520d1-4e7f-4ce9-bfd3-8206746e5bf4"/>
        <s v="5fbcf3ef-6c77-4b25-a99b-040e26e7ef93"/>
        <s v="a93fe006-ef04-445b-b6c2-fb22b91f6eca"/>
        <s v="7760c167-fb11-4261-87fe-f05a2976390e"/>
        <s v="976c7c8b-11d4-4cd8-9bf4-eb4f5d3ccd07"/>
        <s v="63d6ff12-6a87-4f16-b061-3acd4503c05c"/>
        <s v="c20f8442-d0e3-4ca3-a8cc-8713d2d6837f"/>
        <s v="7c27b424-3210-4c5b-a344-9a7f0827f68c"/>
        <s v="1c3ee87a-e8fa-4e4b-962f-f29bde729a07"/>
        <s v="d080f1da-9b89-4b42-aef9-5736899d54b9"/>
        <s v="a893244e-025a-422c-99d8-324d7b199ef4"/>
        <s v="ae1e8061-206b-4b79-a7ab-5199f89a2e26"/>
        <s v="9581f626-d42e-477b-8f8a-e3c98ed0a516"/>
        <s v="93af56e8-6ea1-4cd6-be54-78d135ac173d"/>
        <s v="40391f9c-86da-4139-ab29-e6a258bfb72c"/>
        <s v="abadf628-18a3-479a-87b6-019b033b6f25"/>
        <s v="7e35be7d-f9f9-4e6f-867a-da75fb0d817e"/>
        <s v="57521e7b-63e8-4a4e-ab5d-7dad9d41116a"/>
        <s v="94da5734-de0e-45a2-b726-19a658ed9afa"/>
        <s v="d5357428-1c72-4d4b-89b6-1301e3af64f8"/>
        <s v="820daf6f-191b-42ce-b8ea-121c1f6f4c5e"/>
        <s v="2e356bf0-9763-41d3-9317-6d126d27ee56"/>
        <s v="74d487cd-ae46-48de-85b4-29b08806c273"/>
        <s v="01742d94-9879-49a2-951d-f1f771b176e1"/>
        <s v="8333d9b4-82ef-4013-84eb-df0e31a7a99e"/>
        <s v="8e0e4155-c10a-435c-b873-81dc335fb92d"/>
        <s v="d0051552-815f-463d-ada6-8400f7efe5e0"/>
        <s v="9a494ed1-6201-46c5-8fe8-44e216b1d126"/>
        <s v="a1b15c39-4434-45e0-8c30-26fb432bc882"/>
        <s v="116ebed8-a35e-4dfe-874a-875b8ea51ba2"/>
        <s v="7afa921a-5a72-4610-a353-bcb86eff78a7"/>
        <s v="a2357d96-fdd3-4ffc-aad3-559cf8dac6e0"/>
        <s v="ca1a65a6-8ac7-4ee1-9e7c-1d47cfb6744a"/>
        <s v="9a0f0a0c-3fa1-40e7-8a52-bbb26ef07012"/>
        <s v="ff0bf539-076d-483a-b0f8-0bbc7aa66268"/>
        <s v="703f5595-0277-47c1-a5f7-cae8c90846c0"/>
        <s v="aa97e3f9-808a-4b79-bcfd-4cb2b83df468"/>
        <s v="98408884-4ee8-488f-a474-265ad2b96ab7"/>
        <s v="1d833d69-5a67-46c1-8678-b65e3d2fc837"/>
        <s v="08e22db9-1e16-454a-a103-be05b692a496"/>
        <s v="0de12325-d47b-4d79-b2de-4d5ef29895cb"/>
        <s v="10d54dff-2d36-4151-a90d-1aa07b1f75d6"/>
        <s v="43bba1ba-f7e3-4049-86c7-68ee3561de46"/>
        <s v="c1b51ea5-71de-449f-b980-e8c5e59b5e19"/>
        <s v="9b39a494-bf94-4981-a4dc-3458a6b9e377"/>
        <s v="6c1bdb66-dc74-4f9a-975e-2ccfb66eee5c"/>
        <s v="b1d1769c-a0ee-42b4-94f9-bc8e5e56fd0b"/>
        <s v="13586abe-bf05-4f26-ab7b-079262b6cd00"/>
        <s v="279dd256-c271-4454-a3c1-398eba05baad"/>
        <s v="17eadbac-d687-4fb0-90f1-056c8a02f67e"/>
        <s v="b7abc643-182f-42a1-8687-449893700bc6"/>
        <s v="ef666eed-26c7-4e1d-8138-27d4bd92e537"/>
        <s v="9bd4af3c-6c30-477f-ac3d-0b7bac295761"/>
        <s v="d8ee8d9b-43cd-4a7e-aef9-66daaa780b9b"/>
        <s v="f2f11d7e-863d-490d-9ac6-bd25a8a9e4f6"/>
        <s v="1e9d074c-31dc-4b92-a875-2fe9562e2bee"/>
        <s v="bb7618b3-5c56-45af-a882-c8f1d0776f1e"/>
        <s v="a698cfe1-8bdc-4502-8f35-a1673f64d8ad"/>
        <s v="268159e9-b1ee-4b63-a3a2-a7ca6bc36603"/>
        <s v="3768370d-119b-45ba-9c31-0d54c02e924c"/>
        <s v="f43c8a09-ff77-43bf-835e-11728a3b4ded"/>
        <s v="09ac9ebf-7382-445a-837f-9823d70ae5ad"/>
        <s v="0266325d-35c7-448c-ad85-b86070627579"/>
        <s v="52a6cb17-229c-487a-98bc-dae40cc8c68b"/>
        <s v="7bb3948b-3880-4aaf-812e-f23e54623cdd"/>
        <s v="97439d6d-a648-4e4a-bb5b-7f6986dc298c"/>
        <s v="1c8f6302-53e5-4072-bfc1-8b94a485d230"/>
        <s v="16e351ca-1249-439d-aabe-53a5c8c35175"/>
        <s v="eec98a81-4b20-4d49-a5d5-9c76faf40c41"/>
        <s v="c4c474b0-eb4a-45cc-a042-0570e7866fcb"/>
        <s v="5520a98e-5c6e-446b-a48a-02f5a94c0162"/>
        <s v="f8607940-26bc-4d7f-8aa8-00a52fe5424c"/>
        <s v="b9389378-74a4-4d65-865b-39a9029bceac"/>
        <s v="bb0b84f9-75f5-493a-bf4d-5dd8d9e7cd55"/>
        <s v="b59f77e4-54e3-4f19-8fe7-9397ff0e80f1"/>
        <s v="3f57eef6-f5f2-41b7-9d53-a8bfe347a47a"/>
        <s v="6dedb7af-d8fa-4569-a15c-bcb8292ba524"/>
        <s v="24cd8611-6a13-4c50-84f5-f098e047567c"/>
        <s v="cb359e73-d830-44ce-b130-6edbf7816270"/>
        <s v="f29f0591-1dd1-472d-a194-61493168c9a5"/>
        <s v="2a96b8ba-95fd-46b9-9def-425cf15f5cc3"/>
        <s v="d0f5fe6a-a609-443e-90f9-4c4665308b42"/>
        <s v="8fc65695-899e-46bc-afaf-2eaae2b5d86d"/>
        <s v="6783b116-f940-449f-b4dc-8190fc03ca65"/>
        <s v="d44b2fd3-2e20-4932-bd3f-6742c96718ce"/>
        <s v="a2ce2940-059a-4426-88d5-6db45f0fd864"/>
        <s v="9bd04b0a-6d3a-4171-8b5b-bdcd52aa061e"/>
        <s v="d5576b79-0aaa-437b-b07b-b2c718e46dd6"/>
        <s v="cd147f8c-d679-40fe-bc05-8afd58dc070e"/>
        <s v="d256961b-b873-41c3-904b-4f6cd1992f24"/>
        <s v="c606d4ec-0d09-4db2-9b8f-5bf312d672ec"/>
        <s v="237dccce-b0d1-4120-ba09-0b3906c3f29d"/>
        <s v="8ebe74e0-1dcc-4393-99e4-999022c72270"/>
        <s v="8be7a3af-a942-435b-bc26-2ce71acf2924"/>
        <s v="01229c95-2032-4bc1-b3f9-5efe58f006bf"/>
        <s v="7aea6053-908a-4ec9-80d8-c6615f79615f"/>
        <s v="aff3c147-71c0-4c86-be51-a9f8c386e2a2"/>
        <s v="fb726998-5954-47be-b0df-664da625806b"/>
        <s v="7bfbeeb8-beed-4823-a094-4e9562420776"/>
        <s v="94e48fc5-ec0f-4067-8d84-b0fce92e6429"/>
        <s v="e3866b32-03f0-4345-b7f2-791c7515b68c"/>
        <s v="a7707eac-b043-452c-b8c8-4a203dc1fff4"/>
        <s v="bed2cb1b-83b8-44e4-999b-2e0e342d51b0"/>
        <s v="49870cba-eead-4743-a6c7-66338de6e8cf"/>
        <s v="0f36d41d-a7c6-477a-ae17-a75a2fa478a5"/>
        <s v="529d775e-6c04-4727-bca7-afac23ba17fb"/>
        <s v="8047d28a-61aa-4835-a72d-6ad096debbda"/>
        <s v="7c3e76b3-98a2-4202-95f6-90613efe160f"/>
        <s v="2ccc834f-67e8-47e6-a4f6-b180d8bd2e1a"/>
        <s v="0dc2dc74-89e3-4d4d-a6b1-9549245ca81d"/>
        <s v="e95970ca-757a-44ff-b258-9187d21998e3"/>
        <s v="d5925ac5-6210-44a5-9dfa-1c5dbccf041e"/>
        <s v="38913b33-880d-444c-821e-5dd21968573f"/>
        <s v="fd66894a-e674-4ac7-9024-6bd65a7de147"/>
        <s v="f6e4d3f2-2a73-4229-9bc2-3ca0f6d59e0d"/>
        <s v="8173d12a-586a-48d2-b3ce-7a8a907d0990"/>
        <s v="be2d611b-c921-4645-acbe-76f5d57c265a"/>
        <s v="58989547-bf57-4806-a475-539cee38e1b3"/>
        <s v="47876bba-e0f5-47eb-9d62-e890ae2f4def"/>
        <s v="6c9d6aa3-e85a-4d8f-a3f6-5c641f3aa711"/>
        <s v="56b0d688-5660-4754-b2d2-30438adc1768"/>
        <s v="332fc0db-eb4a-4b0c-8cf3-04edb8b6acf6"/>
        <s v="085aa66e-b44a-4559-be2e-d2b03c814413"/>
        <s v="3e069b11-c2a8-48b6-96f4-590992134bde"/>
        <s v="7e7a6e2a-0a8c-487f-99e7-91f17c5e8f70"/>
        <s v="a15c0289-b91d-4aca-9292-718caa4805f8"/>
        <s v="2e917b27-74c4-4c38-89ba-15ac12447525"/>
        <s v="5f5c1a9d-bfd9-4ca6-a8f4-6f8819324269"/>
        <s v="4bd26f33-9ab4-4ccc-8073-480c789f6578"/>
        <s v="2861b998-4ae8-4887-a9b7-cb240deec38a"/>
        <s v="bc6fdf27-c546-4e98-8240-81f261318e9e"/>
        <s v="624ce4f8-2ec6-4f33-b3ad-ba3f6b781dd5"/>
        <s v="4869d112-6ede-4b0f-833f-70da091fcfb6"/>
        <s v="27ccd5c9-1b3b-4358-a5ec-966ed42754d5"/>
        <s v="f51f3634-fcc6-43be-9afe-5c5479ba2f10"/>
        <s v="c0882bcb-704d-4b35-8fc1-3e9ef00a1836"/>
        <s v="5691e71e-decb-40c4-a805-3eefdf975361"/>
        <s v="af85d1f8-b13d-4e07-8213-1b9eec54c8b9"/>
        <s v="525764a9-20f3-4a1c-b476-336377d74b7e"/>
        <s v="f4187492-4474-4e48-9567-5c23b929715b"/>
        <s v="9de1db22-4c96-4111-b519-56e1ba9316b1"/>
        <s v="59bb1a00-5ecc-4374-a11b-779c316eacbe"/>
        <s v="ec1878fa-1be2-458c-9a84-18f6179b067c"/>
        <s v="07b0fe1b-9d8d-46d8-a58d-741f3e9a6a0e"/>
        <s v="fe212968-4d9a-4362-93c2-715227392e98"/>
        <s v="0d244816-10a0-4a88-a1af-b70aa5f729b8"/>
        <s v="186fba82-113e-4995-a7c2-a7891dfa5aef"/>
        <s v="ce3474fb-d862-444c-b5dc-bfc9df049669"/>
        <s v="d7edbd4c-c706-4ab0-934a-7acca735fb83"/>
        <s v="7e260bc8-6a78-48fe-b675-38c095f4bd03"/>
        <s v="562f5f0c-ef02-4fe3-807c-eadf3059b8df"/>
        <s v="11274cac-19f8-4b39-b80a-3037bd172a15"/>
        <s v="102fbf7e-6088-4c8d-a1f9-185c433e8c73"/>
        <s v="40f8e8b0-ba86-468c-ad7c-fdba3613f06f"/>
        <s v="028781bf-e37f-466f-af5e-76d686cd1ed7"/>
        <s v="d18c6b45-39b4-4603-bc9c-097371735050"/>
        <s v="8ec2848a-ed9a-4c1e-b270-8870add85cc2"/>
        <s v="f265b363-66ba-408f-bc60-c25f53ff5b5c"/>
        <s v="62828f22-e977-4d54-a363-d293fcec5f1e"/>
        <s v="d11b5021-0ec4-4fba-b9fc-2a498914f0bb"/>
        <s v="f7935411-0fd0-4ceb-9a63-bee02826825b"/>
        <s v="d139d29a-0435-47c6-9e1b-9ebd57275cd7"/>
        <s v="d7e1bdf6-a622-4b97-8d5b-daf128cf6bb3"/>
        <s v="781c0654-9d26-4a7e-ac1f-59d35637ca46"/>
        <s v="5f1183e9-9994-4439-bb36-abe0f158c827"/>
        <s v="c63a924d-0d52-4aaa-83de-dc1fcdaf166a"/>
        <s v="7114e8d0-2796-4d27-b518-e45fc29384b4"/>
        <s v="d064a8f5-caa5-4680-b245-4baecae7dcac"/>
        <s v="d993430e-e0d5-4edd-8a60-99a10f3779c3"/>
        <s v="fa52d71f-3f05-4308-90f3-fc4e76780b69"/>
        <s v="d9fceb49-9829-41e6-b371-b8aa95a63376"/>
        <s v="88a22455-7fa5-4efb-9744-e07911937301"/>
        <s v="0fed9169-0cec-46c3-9ccd-48260d67c23b"/>
        <s v="e19113bc-6ec5-4329-bcb7-25017e06eef1"/>
        <s v="46ff18b8-74cd-4b10-88c1-8498bbadd038"/>
        <s v="9cca46fb-1e0c-415e-bb98-4190467ec1f4"/>
        <s v="d445a9b9-5591-4d44-a448-1461ed85a86e"/>
        <s v="4d54f59b-430c-4946-af0e-d5d1b5ede240"/>
        <s v="e46b4798-4f17-4f81-a522-9953e23219d8"/>
        <s v="7fc2993d-66ed-4f53-8897-5eb97ad7054a"/>
        <s v="23de31bc-8077-4f18-9c80-1d82000b857a"/>
        <s v="aabf448f-bade-4432-8f39-5e82df4fdcb0"/>
        <s v="fd57d5ec-e372-4966-a230-5f1b094c8b0c"/>
        <s v="7c082cd4-50b1-4dba-80f9-18ac93fb9c01"/>
        <s v="8f24f715-54d4-496c-b51b-f2cbe1d89b4b"/>
        <s v="421b3e2e-c4dc-4100-9614-8469a1ac283e"/>
        <s v="ae21fc07-1e7b-4933-add8-dc688363ccc3"/>
        <s v="f571bdc6-7eb1-441e-88c2-826fa13fd2f6"/>
        <s v="ece65ebd-5fe8-4427-8da5-b5bbe45c577e"/>
        <s v="b5e1cba6-31ae-4e56-8792-1310b8ad326c"/>
        <s v="0b05849d-77e6-4ecf-a9f4-5d9fca551f13"/>
        <s v="a51bc122-9221-4724-b8a1-a7c8531b026e"/>
        <s v="3fc5897b-e096-4b04-9a7b-466f480ec69d"/>
        <s v="a12373e6-6264-4253-aec6-2b4ea03df561"/>
        <s v="1ffacbf8-9f92-4b96-841f-bdd959d7159d"/>
        <s v="cf704d21-b0ad-4fa3-8b27-4537d4994afb"/>
        <s v="4d60291a-4c82-4f0d-b7f6-c8fe7670ad52"/>
        <s v="9cbe694a-0ed7-4f1d-95c0-f586aa067d8f"/>
        <s v="5fee1ae5-aacc-4cac-9f28-98df6072ca3a"/>
        <s v="516ad7fa-b711-4cdc-a6b0-3ea1f3a00700"/>
        <s v="87453b91-df39-43ec-b185-3ad2941c9062"/>
        <s v="80784c23-7209-43ed-bca0-b71f85e91ccf"/>
        <s v="6bbc08db-b895-46a0-8116-9b8b08da2dd7"/>
        <s v="a01ad39a-0fd3-46e5-bc03-d90799545cc8"/>
        <s v="ba29df4e-b537-42fd-b4b7-6cb78cc125d7"/>
        <s v="c4c74c57-1d35-4d72-a143-313d37e71b17"/>
        <s v="2ed6934a-5670-4881-b85d-25d030ef8501"/>
        <s v="b9d8274b-42a6-4870-b775-3e2cb95621eb"/>
        <s v="f9fad74e-e8cc-4526-96cc-2faf835e9708"/>
        <s v="63dc3c44-64c9-4143-9be0-f2243fe346de"/>
        <s v="651d36c9-2e3c-4076-8a77-ee9789511a8e"/>
        <s v="dd7bba6e-806b-414b-80eb-14b0f3863828"/>
        <s v="bb568698-b725-48d7-8f04-a963eb2e6b51"/>
        <s v="8c31081c-337c-4890-8ddc-57eec97c15ec"/>
        <s v="c73f3d36-316d-4b4e-8242-380804c519b6"/>
        <s v="63200145-e42a-477f-b5fe-cc201885a2e4"/>
        <s v="417be5a0-33ad-4ca8-9b17-1d0aa919ece6"/>
        <s v="84139a43-057d-4c62-8e8d-cd4e11cbbe6d"/>
        <s v="55e15e5e-a9a8-4faa-9db9-6d6f76844166"/>
        <s v="ec178b1e-2030-431d-9832-0e4fe5f97f71"/>
        <s v="515ef68f-8d4b-4dcc-8166-2b98a5fdbb43"/>
        <s v="8776f6f3-ba30-4985-8ead-6feb5688bc18"/>
        <s v="db01cdbd-bf08-4d4f-9f54-3bcbf34ca586"/>
        <s v="ff782a7c-c166-4052-ac2a-2f466ff4e795"/>
        <s v="95d09145-f14a-464b-97b9-ac8a8f5dc71f"/>
        <s v="6531ff79-ccfb-4cb4-9e8a-e6b4dc7fe22a"/>
        <s v="0b73cf03-3bfa-41a3-a129-21478246b7dc"/>
        <s v="2450881f-90f6-4ef8-8de4-b14c20600508"/>
        <s v="0fb5532a-fb19-4313-93fa-e59dcda53dcf"/>
        <s v="59333c22-26b6-4e2c-b7e7-89136a9208f8"/>
        <s v="8f003990-7fa2-45e4-ae80-1affad0ee11d"/>
        <s v="c457f1e8-231a-45d7-950d-82d31a8d00cd"/>
        <s v="cb56f6ef-0473-4a0c-af37-654f77db5769"/>
        <s v="15db5418-9b23-44f1-be25-34eeb43fd821"/>
        <s v="a0b4c25e-d0f2-45da-97c0-6d5a97ce25cc"/>
        <s v="0f0f349e-94b8-4571-b8bc-2218ecc5f5d9"/>
        <s v="497a132d-fccf-4a28-8238-b31d1807c543"/>
        <s v="44970269-1ed7-4f55-ae96-89b310f49f8d"/>
        <s v="79794f8f-9342-41b1-9bf0-1ce1ce4a9be4"/>
        <s v="0ddc4a1a-6eac-4485-bac9-35ef7429941f"/>
        <s v="08e51e6c-4103-474f-bbcc-580bc6591d6f"/>
        <s v="cf785588-bc68-46ee-aec7-92d341f786db"/>
        <s v="bc442950-9646-41f4-8b02-36e0d8802a86"/>
        <s v="2d046b57-25da-47ec-adc0-77e7763802e5"/>
        <s v="692f0394-f49c-4675-944a-dc969815634f"/>
        <s v="59ed2c25-e370-44d0-a27f-d54428246726"/>
        <s v="07775358-fa9a-4947-b4bb-2e99e944f03d"/>
        <s v="1b233bfd-232b-4576-9167-348ec5c1ad1c"/>
        <s v="5e034128-bae4-4b9a-a72f-897b14f53330"/>
        <s v="3332a12e-f9e2-44cf-a1b4-218b62688d1a"/>
        <s v="82fbbbd6-16b5-4593-8aea-51c4679101ff"/>
        <s v="94e91d72-9d7a-4216-8c19-58bea4cf4356"/>
        <s v="a2589c2f-f2ef-47e8-a67a-335ba8a5ffc8"/>
        <s v="db242f34-12cc-400a-942d-d38ed31ea5c7"/>
        <s v="c6f4315e-d738-48eb-bb2e-e8143ce988e2"/>
        <s v="0e64172a-5842-4abb-977d-dc1fd52fde9d"/>
        <s v="e82e693b-27ee-47ce-ba81-1482fd91e66b"/>
        <s v="8fcfa989-67a4-4e04-a4de-9997dc566fb5"/>
        <s v="e66eabe5-746a-405f-bc85-be45303bddb0"/>
        <s v="f6d4dad5-c9ed-43dd-a789-c5fd19cc2760"/>
        <s v="a01bdea7-69c5-489f-895d-f7d3344ffa89"/>
        <s v="436c8c86-2355-4548-b5d2-5823f6a5be33"/>
        <s v="f2f3a4f5-c472-40e8-a879-171fb0290dc8"/>
        <s v="6118b2dd-a18e-49bd-8acc-9dcfc3eebe66"/>
        <s v="33e00bc6-f70e-4156-8c32-ad706f5c400c"/>
        <s v="48213bcb-cbeb-4112-a55c-8710cb96d8c2"/>
        <s v="0016dcad-2bb8-4d11-bc19-82aa285f4ddd"/>
        <s v="d7acb131-5d68-4299-ade2-65024ebfb4d6"/>
        <s v="060fcd74-239f-4ba6-8def-fd0214677060"/>
        <s v="d6dc9366-8429-4619-b53a-603aa2470134"/>
        <s v="140751c1-3ff4-4a73-adaa-a96b0cce7854"/>
        <s v="bf1fbdc8-8400-47e4-a546-438b65c7cc9d"/>
        <s v="f76e06ac-4098-42b6-a34a-3d035bbbff44"/>
        <s v="df363abf-1384-41a0-bf2d-7d9a21e7eb62"/>
        <s v="22445719-214f-4525-8e83-e09355b89525"/>
        <s v="41df62f5-27cd-451e-a8c6-2c3d0f283937"/>
        <s v="c25ffe9e-850d-432f-a0be-2c832941e5d4"/>
        <s v="bea61084-27ae-4076-85f4-c66efe735764"/>
        <s v="a7da8385-d951-4fca-bebe-8433d76c6d69"/>
        <s v="d7373979-4959-46fd-b355-4082e25ecff7"/>
        <s v="0716afd9-8e97-4a4a-9c07-6b3c447ed548"/>
        <s v="359a7267-ba61-49e2-b1a5-20f1e28707fe"/>
        <s v="f6aa6412-83b9-4ae6-a5cf-9d821f6ed6e6"/>
        <s v="7adef0de-700e-4be9-a079-351abfc5bef6"/>
        <s v="35d662c4-df3d-487b-9d93-6bb88817dd37"/>
        <s v="3b5d73a7-91ee-4a41-ad6e-edc8e762ef40"/>
        <s v="03174b5c-560b-4752-adce-728b0603b995"/>
        <s v="64f12294-8cf7-4567-a1ce-4a9b4fa9cb37"/>
        <s v="e3b816ea-cf77-475e-945e-832ca7699bea"/>
        <s v="5f57942e-f215-4653-a14d-478159cc0184"/>
        <s v="7826aa36-9d0b-475e-9dde-b36c01219fdf"/>
        <s v="c1e9e137-cc92-403f-af85-c6f1de17eeba"/>
        <s v="60e5dd3f-66bc-4a3e-b7e7-cb5a5427dc63"/>
        <s v="1c21879d-cc4f-4162-98c2-df96c3b8b237"/>
        <s v="721a50de-92a2-41ba-b1da-fbd769d99856"/>
        <s v="f9ab90a6-6bc7-4fb7-bf1a-fd51770dce68"/>
        <s v="f817a4bd-eefb-498b-8427-47d9f76697fc"/>
        <s v="dbd627f3-477a-4f24-b915-a562d151f3a3"/>
        <s v="da1adb72-36d1-4e1e-a991-fe0788227345"/>
        <s v="a18768e3-b289-4d14-acc5-1ba33d9722ae"/>
        <s v="ea248bf1-8380-46eb-a8d5-857f506c3644"/>
        <s v="0a3700ef-3d0a-4be2-b152-e6412be07aba"/>
        <s v="380e7477-0801-4e31-9cae-93380a8f1f78"/>
        <s v="fa6244d4-7be8-4bc7-a7f3-07d4653676b5"/>
        <s v="7e888de9-9ddd-466f-a65e-e3b8c7f4ea7e"/>
        <s v="d70603e9-0947-4036-acf5-70dfffec580f"/>
        <s v="dcde175a-ee58-4095-a3d8-f0588451d1b4"/>
        <s v="29286c80-5d6b-4c3f-ab11-8afe0c46dcf3"/>
        <s v="832623c1-ec3d-4001-9765-81eccd06e6ea"/>
        <s v="c579e09c-065c-465a-aade-7097a11c403d"/>
        <s v="5f92963d-a384-4fba-a73b-ffe07a137303"/>
        <s v="a597564a-15bb-4ddc-b654-7cfd5547b60d"/>
        <s v="209da2e4-26f0-4979-b682-aee719805673"/>
        <s v="8da9e531-b95d-44c6-a232-51da8439d4d5"/>
        <s v="43385e4f-049e-496a-91ba-11c061c6c28a"/>
        <s v="037d7fd3-339e-427a-8e12-17698ff37b14"/>
        <s v="dfe84d6e-e431-449f-91a7-8bc909b83e12"/>
        <s v="aeb9943c-3051-4ef6-a5b0-a988e80f93d1"/>
        <s v="6a475d4a-ffa6-4770-81a4-d8b7d12ec79f"/>
        <s v="6c2c2f2f-6c91-4d4b-84f0-ffa888137022"/>
        <s v="57c8a33d-b8ee-4ef8-b56d-a169575df6fa"/>
        <s v="356357ff-75a5-43a7-b7bb-9e1e91c3364d"/>
        <s v="799ff7be-7603-4d85-ba3d-fe4fa1542cd5"/>
        <s v="6c7e4c81-f6fc-4462-9ef1-6a06f0052c9f"/>
        <s v="8b99b317-bea0-47da-9e57-a94f7aa7cf7b"/>
        <s v="55344165-95eb-4282-ba37-5d608364f61d"/>
        <s v="9312489c-54eb-4cf8-82b2-22439bc763f4"/>
        <s v="21f1f3d8-c2a0-4b2e-a46d-cf33332aa5db"/>
        <s v="539a644a-32e2-438b-a646-9f4f7561038d"/>
        <s v="9a6593da-f61a-4ecd-9e50-1753b484cb93"/>
        <s v="0e3a09a9-c7f5-414e-bcf2-e24dc2d1c43a"/>
        <s v="6c371944-107b-436a-aee2-16be7dcb9648"/>
        <s v="ec60975c-3aa0-4247-86be-437e7bf0b6f7"/>
        <s v="e1690f0c-0eef-4020-a3f1-34f56b413aae"/>
        <s v="3ad7529b-3cb5-4940-bf17-de24affbb16c"/>
        <s v="f51fd459-3300-4b3c-a657-57a71fb151e5"/>
        <s v="98f65926-5584-4f18-9932-89cd67bf926a"/>
        <s v="6ccb29dd-d20a-4cbb-83e5-836d6e2b957b"/>
        <s v="5e754f6f-9d5d-4c72-99f1-4d1d3d6a5fd2"/>
        <s v="930aa384-92e0-4afc-8571-2032e5179238"/>
        <s v="2cca530d-38ab-495e-b448-11d2c4bbc39e"/>
        <s v="8aa51b3b-6e83-4f11-b134-15183dec2e1d"/>
        <s v="f121c8bb-b38c-4ae7-953a-aea4281eba0d"/>
        <s v="608eb332-310b-4f17-a076-d949188acecb"/>
        <s v="083b2ba9-ba9b-48bc-97d7-905da9c58622"/>
        <s v="19ee750d-25fe-47f2-b2c7-72113ccfcc1c"/>
        <s v="7a61f4e3-ec3f-4321-83bf-a4b2c6dddc15"/>
        <s v="5b2b2728-12ae-47f5-8f08-1c1a879cbca1"/>
        <s v="3068825d-0918-4473-8cc4-7b3b1e324461"/>
        <s v="738b4434-3288-4253-9698-a3305f163b9d"/>
        <s v="2a0ecec9-5818-43f0-b752-899c3e11f330"/>
        <s v="d0bdcf42-c485-4d3c-b913-7feb77e73a67"/>
        <s v="7f1886b6-745e-407c-b16d-706adc764d4e"/>
        <s v="bc8d9949-519f-454a-ba33-d7598ca3e77b"/>
        <s v="7de97763-4725-4666-a696-070e0d736bbe"/>
        <s v="9e5779b7-afd6-4e89-98d9-c8f1e528ba56"/>
        <s v="ad7da44b-c463-403b-b788-94d7589c7738"/>
        <s v="387d7d35-6421-4a82-9680-b5f9a5f3fadc"/>
        <s v="dd06d759-99ab-4e13-8be6-ef9ef2af57f2"/>
        <s v="c2d839ed-e508-491e-89b3-0774e77485fd"/>
        <s v="5dce53a5-75e7-4094-bde9-cc2d4644ecaf"/>
        <s v="d3f5fa91-a9de-440f-9b3d-f8303a35c565"/>
        <s v="addbcc56-afdd-4b09-a93b-9a4de7c63cb5"/>
        <s v="0b183d1e-04f9-4bb5-be15-0b5677f37397"/>
        <s v="6b1b1108-b067-439b-b5b9-1583819345eb"/>
        <s v="7fe63cce-5d1b-4331-90b8-9f68d1c90555"/>
        <s v="e4848a4c-80de-4e42-8e47-ad09f21cfab8"/>
        <s v="03e14c52-583e-498c-8a49-18cefc484de5"/>
        <s v="bc818545-fe6c-4adb-b4c0-80ba1de7e0d2"/>
        <s v="0e619d25-2c75-4a65-bc96-d2fb27d125a1"/>
        <s v="e6e9eeba-f3a8-4dd3-bc60-4f70dca1edf1"/>
        <s v="9cfbcf1d-0088-4678-b3a9-a75bc727b07b"/>
        <s v="23d99e8b-49c1-44f9-877f-737e8bc6bbfa"/>
        <s v="4a5125dd-e646-4600-a6b6-1dfb25eaadf1"/>
        <s v="7e5b5808-f267-409c-930b-c8bd7906c34d"/>
        <s v="61d12b9b-771b-4d8b-9a96-c75e9b894ed7"/>
        <s v="21ff5530-9927-4b1c-baa4-eadbb285eed3"/>
        <s v="4e53fbdd-a5dc-4263-ba4a-eddfd91422b4"/>
        <s v="9cd7cb7a-95c0-4f11-aae1-0d97eefad28e"/>
        <s v="f059faee-3f04-4a57-aaa1-21eafd694541"/>
        <s v="b99c599f-7b39-43d4-a979-76fe3e1e957a"/>
        <s v="d212f04d-4491-4da6-b15e-137d45e2d31e"/>
        <s v="e9da9d7d-c6aa-4d60-8806-e213c0305da7"/>
        <s v="3ebd1318-9934-45c3-8184-806aab49b1a0"/>
        <s v="1e0fc3df-fbfa-4aa9-a4b0-e8f142094f86"/>
        <s v="6ace62d2-8b61-4691-8528-75a1f3d0538d"/>
        <s v="1bd31bfb-c793-4b7b-ae2d-60e109916751"/>
        <s v="d63ef771-a36a-49ed-b924-a543e28793d6"/>
        <s v="70077ee7-3e42-4cb5-b29d-bf3110858f15"/>
        <s v="dd35b979-86e2-4eaa-a88f-fb4c99d711f9"/>
        <s v="223a9bf0-ae50-493a-ac59-91ea47e57344"/>
        <s v="d3fd3164-8874-4d3e-8a91-1e3050690a88"/>
        <s v="1122f667-1912-4f3d-b056-d8c6a7e760d0"/>
        <s v="3c9d32f9-4985-4a50-9bc4-27c0e8c7c0e1"/>
        <s v="86a2d7f5-5432-41a2-b46d-87e8611f8a53"/>
        <s v="1a08711a-07fe-4591-90df-236802c206f6"/>
        <s v="83141b32-bed0-4d50-879d-4b7dedc82de1"/>
        <s v="f8cffc4e-cb70-47c0-933f-02002329b5fc"/>
        <s v="76858aa3-10ab-49f6-93e5-c0cff7ec0eb0"/>
        <s v="5ec0c6be-0769-4c29-a8a7-d28046ec0f98"/>
        <s v="850a5742-4f2b-46d3-8900-9e79fdf2bcc7"/>
        <s v="22282359-3a37-4275-9195-4f21478e46cb"/>
        <s v="e0897923-b6f7-4145-a5f7-2e61fab09d3e"/>
        <s v="1af7b5db-830c-4140-a491-2a21193a828f"/>
        <s v="2fb46893-1cc1-47b4-af32-eb7a94280e87"/>
        <s v="8255ce54-e586-4c7a-9e7e-52547a97fbfa"/>
        <s v="663bcc75-794d-44d4-b4cd-e70be72b373a"/>
        <s v="1ec59f4d-47d6-40a2-8dd7-fa68e92f9f65"/>
        <s v="c6645a59-89b5-4013-bafb-61b794731b13"/>
        <s v="719acdec-761b-4670-861e-0aaa1be78525"/>
        <s v="a63e0cbe-a2be-4b1f-8b30-4a7f9927e997"/>
        <s v="e5b7d994-4a39-403c-9467-a4839acb4744"/>
        <s v="bb0732f7-c3c2-4b92-8a62-a9eea2ef5bb7"/>
        <s v="09d6b048-8978-463d-8453-053bfd7a6b90"/>
        <s v="e3024918-cf1d-4167-b6bd-59846688600a"/>
        <s v="3ce5e52d-4488-4ab8-a418-117b1d6dd082"/>
        <s v="8a4c9492-a0af-4e09-a722-5b3bc954e167"/>
        <s v="d5acc3af-ac9d-4244-a199-5fcf393d7ae0"/>
        <s v="07953513-eecd-461c-a3c3-93e3e2b02583"/>
        <s v="34d54c14-b692-4edb-946e-8ce376e1eea6"/>
        <s v="aa0b81e7-9b5f-4c10-baf5-c1af75eed473"/>
        <s v="a59c73c5-803a-4f99-8911-633c8fef35fd"/>
        <s v="47498460-7c69-4c88-869a-03904afb66b3"/>
        <s v="2b58cfcc-e58b-4032-8329-621ceb911297"/>
        <s v="fdd6238e-ad67-4691-8279-e1ff0a6c5e0c"/>
        <s v="7df68ccd-9969-455b-b4d8-bd18ea9a280f"/>
        <s v="f58ea27a-e69b-47ff-be1d-8ed87e235698"/>
        <s v="3ec80cc0-8ee5-4c61-ab9f-fd83698fb7f7"/>
        <s v="8ea8d269-c055-4c14-bb3c-90374432e771"/>
        <s v="64881d1e-79cf-4c34-b5a2-d11afdb54cd5"/>
        <s v="46d0493a-795b-46cc-a514-cfd2062b7b0c"/>
        <s v="baf3d562-2c37-434f-8c9a-493499a8c649"/>
        <s v="2c9a564c-7995-4224-a4d9-d7e87f1865b4"/>
        <s v="c0f06bd7-6f82-4e35-9027-e00750c330f7"/>
        <s v="2e061d62-1c63-48f6-a3ac-dc1bfb7122f6"/>
        <s v="0805772c-5adc-4a7c-ba83-70515d6021a7"/>
        <s v="6ccc6b5e-dae5-4bbe-8a07-653e5aba9c1b"/>
        <s v="c192d7e1-6fb0-4d36-a874-204fcca96590"/>
        <s v="a2127e1a-1cca-4859-bcf1-8dfde78aa52e"/>
        <s v="b55241e6-3d3f-4aa7-8dd7-34999ffe64b3"/>
        <s v="76c20294-d01d-4a91-ae58-dfb2744d77f4"/>
        <s v="f4931861-52d5-43cb-8930-d732fec76067"/>
        <s v="d0278644-6fdf-4a9d-a98e-cb2d8c5e59e2"/>
        <s v="540b10dc-1c9e-4987-ab98-6d819e8893d9"/>
        <s v="298cc2a4-9982-4a9d-bebe-83103f1afe7b"/>
        <s v="8e9e718f-596d-4c02-b397-ddc1f184ee11"/>
        <s v="a347626d-a29b-4967-afd2-28b4d669071f"/>
        <s v="62b568c4-d516-4426-9fb6-ed640be111e9"/>
        <s v="0207c743-674c-4cab-98d0-d1226a8437df"/>
        <s v="96b6ae51-dfb8-48cb-9784-2e3d1b3e55a1"/>
        <s v="6516f5f9-ff20-4f2c-8673-87cbaef87756"/>
        <s v="62ffc63f-aa31-4333-badc-b773a820fe60"/>
        <s v="77f26f14-3b98-4d58-a8e9-99982507d6a4"/>
        <s v="21d3f56a-5f0e-4b3e-9976-c624de4309d6"/>
        <s v="17a09c64-1de7-4527-9937-bfc14d3cd9ee"/>
        <s v="fb447094-ebee-4d91-92c1-2db71c5e639c"/>
        <s v="a28bb57e-a17c-4e5a-8e6b-b46bf1e743bf"/>
        <s v="46c803c4-f20d-4183-984e-442e99a76c85"/>
        <s v="defca104-922f-4137-9104-be67f86fb983"/>
        <s v="7d558e99-f560-4460-99a5-b7c88c417fdc"/>
        <s v="ebf06d1f-5708-4611-ab03-e81e056e1b6a"/>
        <s v="229b205f-c099-4bff-81d3-e9230222592b"/>
        <s v="5294178c-841b-44d4-8a88-906ab4b94f40"/>
        <s v="e420d9d3-2dc8-4744-8799-1d36a0e9285f"/>
        <s v="d19dc7cc-cad8-464b-8dcc-d323f11dac53"/>
        <s v="f1dffc33-ab53-4bee-90e9-625a701aa20f"/>
        <s v="8523d50c-2651-4456-a9a6-6a25803c0628"/>
        <s v="2ab8b4e0-a44a-46e8-93e7-f5f8c3dbc3af"/>
        <s v="d3fe713d-d091-4949-a739-07e4ccbe9994"/>
        <s v="3bd661df-4fd6-4ff3-a757-69e4afb34004"/>
        <s v="269874d1-1918-4352-8dff-abc9c3895304"/>
        <s v="4915cb79-7e9f-47c4-bdcc-f452f73840af"/>
        <s v="0e6f9365-7f5a-4e17-a8fd-296accbdbc2c"/>
        <s v="0027ce24-4b3c-4a25-b8f7-ceb05391b444"/>
        <s v="5e279ce4-af09-4af5-bd55-7555e703dd90"/>
        <s v="a0b75a09-11c6-4b5c-96a5-3ccce858f191"/>
        <s v="179dcc0b-7320-4426-9ab3-820ca7d9ae8e"/>
        <s v="1e2505a4-6b43-433d-b99b-09406acd3a80"/>
        <s v="08d75037-7586-4a76-84b7-903511cb2005"/>
        <s v="8e69bd61-b0d4-45e7-860e-1598491762c6"/>
        <s v="2a12c5fc-f160-4ecb-9170-ff24774a3a33"/>
        <s v="a0870d54-c8e2-4def-8153-1d1ba11dbd0d"/>
        <s v="9343281d-efa7-41d0-91b9-3ae8200d6cd1"/>
        <s v="6dd83856-b41d-48d3-9ea8-d1e210791e54"/>
        <s v="1ea68ef9-11c1-490c-8305-f12d0226cab9"/>
        <s v="21a0da77-7240-403e-93ff-5a502783292c"/>
        <s v="cfaa4bc4-c7e8-45e7-8522-2a9511c12607"/>
        <s v="e4788628-c457-4245-8432-cd417fcbd252"/>
        <s v="1c226125-cfd2-4e3f-b994-0f4ee72a5e62"/>
        <s v="e61d6ffc-0ff3-434d-9a46-b8085f6f4429"/>
        <s v="1cfee198-c538-44ff-8615-cc284158da6f"/>
        <s v="cbd9460f-ace8-42a3-8903-3543e10e31d2"/>
        <s v="541de33b-62aa-4b61-b21a-f8050ab51f69"/>
        <s v="e6d7e668-9d68-418f-bfed-85b08a21dcfb"/>
        <s v="106f4613-ccee-493c-b8e0-6d39018bd6ac"/>
        <s v="4d3c0d32-9479-4b7b-a3aa-c7182e28d193"/>
        <s v="ddf7b713-9cb9-450e-bd21-bb7ea4d0c85f"/>
        <s v="e1e7c9f0-7535-406a-97ba-af02846a414a"/>
        <s v="0f05f297-73ea-44c4-beac-f4c8f33b87b4"/>
        <s v="eb9b5916-83ef-46ec-a8a5-462b6809dfc8"/>
        <s v="3b3f72ca-d527-443c-887b-abbd3b14a001"/>
        <s v="0aa432db-d71c-4ced-93c6-b54f59cb8ed2"/>
        <s v="9415ee2c-b54f-4faf-b45b-c3b9978f106a"/>
        <s v="bee9b9f9-d980-4b9f-8c16-b8607cdc29dd"/>
        <s v="7765a98e-365f-47a8-8873-15ee4d967a0b"/>
        <s v="8faeefe8-d2d7-4d67-9637-2c6387ce70ac"/>
        <s v="321224bc-6a05-48fa-a332-1c66d8d9da80"/>
        <s v="e7e2d1db-a980-46c8-b3c8-48fff8014951"/>
        <m/>
      </sharedItems>
    </cacheField>
    <cacheField name="CustomerID" numFmtId="0">
      <sharedItems containsBlank="1" count="180">
        <s v="a1d952b9-ce77-46c9-a08b-f5e62486096f"/>
        <s v="cd62b435-4559-412b-9fab-4861a5e87475"/>
        <s v="4566cff3-db65-43ab-ad22-32107433a602"/>
        <s v="7f9f3881-a8b6-4a15-a3fb-4f4b7e75e1ef"/>
        <s v="596febf3-9aa4-4c07-88ab-f7662388e50c"/>
        <s v="c672d9cb-b74b-48ea-bff3-908ff9790632"/>
        <s v="dc375298-2549-4d89-b752-d6e8f0a711af"/>
        <s v="8ee81a10-51c3-4f56-82b0-d43244ecdac5"/>
        <s v="6eb9203d-35ae-4742-bb1e-911b16965477"/>
        <s v="bf0d6160-338f-4cad-8123-0b5a6763b192"/>
        <s v="ac0e0eee-04eb-4dd6-bb52-3a2a532b62c0"/>
        <s v="515d5080-8725-4a15-b600-a0b1c9761f39"/>
        <s v="706c67be-d537-4a97-a512-10ad15c1beab"/>
        <s v="ad067b85-adea-4786-937c-1a59ae64c758"/>
        <s v="8052c4aa-8c4b-40e1-8d5a-42ba025adeab"/>
        <s v="d245da28-64dc-4d8d-9d1f-6f6cab7abb85"/>
        <s v="80ff4978-481e-4e21-a861-b4000fe3f313"/>
        <s v="42b384aa-9070-4b83-bab4-3a016da0af40"/>
        <s v="0aca39d0-c1c9-450c-bf56-9026ed1420ff"/>
        <s v="fcd08e95-2618-4bc4-9e53-a3a4cfe97e16"/>
        <s v="e5136dae-ecfe-4abb-b3a4-001763a5476d"/>
        <s v="2415b3cd-cfae-45da-8003-dbdff47fd89a"/>
        <s v="e9525326-8155-4e1c-8bad-6dbc399bf3d5"/>
        <s v="18405ad5-5712-4ee4-84fd-9e682ad3d596"/>
        <s v="4c71f46b-aec0-4b76-92c5-beda74b59e13"/>
        <s v="46b05e89-d7cb-4f00-b96e-d51b9a70ecce"/>
        <s v="38a0f956-bf9f-4066-9543-2f0922289e42"/>
        <s v="d0a990c4-15fd-4ee7-88b1-26b69ecef9d4"/>
        <s v="b35be8e1-a9c3-4905-9242-bcf0b3d07df3"/>
        <s v="b774a7f6-a645-42e3-af7c-6068867968ca"/>
        <s v="192ea761-a820-472a-9594-b3c2a01a1835"/>
        <s v="ee0a4bac-514b-47e0-afb3-0643ed31e7c0"/>
        <s v="bbccecfa-0eaa-433d-81c9-1fddba3792d4"/>
        <s v="d4b53af0-6d06-4d0e-b2e1-b84de575e1c5"/>
        <s v="46ee2157-1365-44f4-ae66-e5855c3779d7"/>
        <s v="1959deb4-14ea-44cb-b5a1-915e9485b006"/>
        <s v="25d277dc-e796-4782-a7ef-3e1d2fb59188"/>
        <s v="3027e6f9-f285-49fb-93a7-932583102f1b"/>
        <s v="3aea3b26-9c7a-481d-890c-b9ebb40358e0"/>
        <s v="d84a5bc4-af44-4030-9e24-d893b6f6e966"/>
        <s v="5a321a8f-6274-40e8-9713-8874fd99aead"/>
        <s v="67435b8b-3191-4bd1-a143-8adb5039c70e"/>
        <s v="5bc65488-8997-4f0b-9f7c-98bc3c2a66cd"/>
        <s v="ff2be8d4-a06b-4c87-aefa-1f4020ebc0e2"/>
        <s v="a5b44644-9115-4b94-8d6d-8175d596d31b"/>
        <s v="0e025dda-dcfd-4349-b45d-994ba4664cb3"/>
        <s v="b11cf2ec-3100-4d17-a509-d5ba99e147c6"/>
        <s v="4661672e-252f-4297-8b05-ba339f296241"/>
        <s v="01ab4a79-7c36-4fc3-93b9-758bf5edbd00"/>
        <s v="4cabc9cc-62ac-4315-b6e9-04f78686e8bc"/>
        <s v="8553b15d-bab5-41e2-b9b1-3bd3e2a7c51e"/>
        <s v="f2a42f47-7f93-4bc5-b36d-c22c2119cfc8"/>
        <s v="51eea915-f3d3-4c3e-bd09-f158a0f182e6"/>
        <s v="0a5d8031-b5a7-4be4-8d5d-63b70f2a67c7"/>
        <s v="19ffd59d-83b2-472d-9e3b-ccd79ee91948"/>
        <s v="b03346eb-bbe7-454a-b978-171587166852"/>
        <s v="328bf3ea-9e06-4458-a2dc-3c2a20859be6"/>
        <s v="9051e3a4-0947-48c0-8269-308d42f6e1b9"/>
        <s v="0b59de48-4882-496e-98d7-a9053fe88877"/>
        <s v="db3b8c62-9cf3-448b-8e67-f6f0ad9cc3a6"/>
        <s v="006bc8ad-8e59-4d6f-ab38-475a02a0f952"/>
        <s v="398f59e7-8729-418f-842b-906d50b156af"/>
        <s v="a639b900-853e-4471-8a0f-813641a7ce0d"/>
        <s v="977445c9-8561-4c71-a03c-ddf327b5dfc2"/>
        <s v="ab8adb41-5ec5-456d-a160-a01affd920c4"/>
        <s v="b7fd8f42-7477-4c83-ba82-eee3bef2f366"/>
        <s v="08d68de0-766e-42e3-9145-4e030f805140"/>
        <s v="345e77bf-4a44-4a4c-9b4f-6f5e21e39e8b"/>
        <s v="9db836e7-e5e0-4351-8a5a-37c082766fba"/>
        <s v="39a1dc8b-c9b4-4377-adb6-8eeef78d8192"/>
        <s v="989bc40e-1776-4ea5-892f-d2df497c2608"/>
        <s v="2de84462-b349-47ab-8700-7ac254586db9"/>
        <s v="e5040015-0c1f-4b62-84e4-6278ebfb2842"/>
        <s v="31bd87f8-56a1-4ab6-9a7a-716e19ec8220"/>
        <s v="d8777a29-8b63-48a6-a4d9-c01a69272eec"/>
        <s v="c773874c-adcd-4b21-9d8f-f72f3b3cb8eb"/>
        <s v="b622a6ab-2b36-4a67-852a-fde60311ee7a"/>
        <s v="b59d7d54-a0b9-4ba0-b2c4-b174c9f051a9"/>
        <s v="98aaf1ba-6661-4a2c-b7de-6279ddc742ec"/>
        <s v="ac87ecf7-ef9d-4b6a-84c4-7c1aa07eab14"/>
        <s v="f3e60614-ba5e-441d-8f9e-2cb6807bfc3d"/>
        <s v="0fd8caf3-b00a-4f52-89be-fcd2047e17af"/>
        <s v="f8ab10b6-1108-4ae2-a2b8-7cbdfe993a9a"/>
        <s v="de9fa385-96c7-41cd-abef-e3d99580386d"/>
        <s v="c3232819-ef1b-4fb8-b82c-17c22911890b"/>
        <s v="e2aa2c64-4a88-4261-aa00-886749b824c4"/>
        <s v="0518f99d-8e5b-496f-9c0b-34f0c24ee49f"/>
        <s v="77b39e16-0010-44c1-a42e-e0de5a0cb50d"/>
        <s v="eae2fd4d-7639-4f54-9b71-82d5e220e66d"/>
        <s v="65ab0594-c227-4bd9-816a-bd5336c91223"/>
        <s v="cbe5ec95-f2db-4399-a450-5e95b5f0f896"/>
        <s v="c13a8e8b-51e7-45ae-a58b-980416349ae2"/>
        <s v="72a4aaac-fd44-42a1-aaee-3e6c7cf309e2"/>
        <s v="98c0cbd2-519c-4482-9c03-a77f16684ab1"/>
        <s v="8b37abf3-4486-4871-8768-982d137116f5"/>
        <s v="d960ec46-3288-4c77-82ec-5c1304a160ee"/>
        <s v="843aafe5-e9e0-4c4e-88c3-15357434a75d"/>
        <s v="0e24031a-213b-4ac8-aba2-ca13e1134488"/>
        <s v="55bc49dc-a542-49a5-ab7d-60463db9fb46"/>
        <s v="66d3d64f-ce87-4119-bed2-2ca019d60c79"/>
        <s v="23781516-59fe-4b3b-af71-4d6cb8a012ad"/>
        <s v="889b8d90-6fd7-4dc5-b0d7-6fdce37da4c0"/>
        <s v="2ccc1c6a-36c7-484e-b583-fadb4cca5349"/>
        <s v="9893a9d5-0732-4f1a-acfc-0dac56457425"/>
        <s v="4c618332-9d39-4e0c-8fbf-8175c6b0ada6"/>
        <s v="ab24814b-7040-40d8-aa14-9a6b0fb6eb74"/>
        <s v="3460476c-1d79-410d-a906-c55059d97e1a"/>
        <s v="be63b537-602b-468d-8f5b-44bec4d517db"/>
        <s v="582a03eb-4c34-43b2-a8d8-fe3086df23a6"/>
        <s v="4869e96e-be25-4854-963b-23f56ab1a019"/>
        <s v="20e6411f-80f4-4a23-96c8-2a3ed4fe55ea"/>
        <s v="3b45412d-606b-4a6b-a950-cf1cd25d6753"/>
        <s v="8a5c8184-d7b1-44a1-bb80-2b709969932b"/>
        <s v="868ce574-ced2-49c2-a90a-6e89e6640934"/>
        <s v="3c11da88-1574-43bc-aeeb-a3913d2c26e5"/>
        <s v="8938c721-fa93-4969-8ada-be352999c69d"/>
        <s v="18bce6d7-de06-47c3-87dc-67dc5c8ffe62"/>
        <s v="6a60908f-c782-4a70-9760-68affc310ed5"/>
        <s v="432f9bfc-4c2f-4748-850a-90f385eef86e"/>
        <s v="e148184e-9b3a-41eb-9b26-f33d7dfb4bb0"/>
        <s v="d2424460-2668-4f1e-83e2-02a03ace9731"/>
        <s v="af9b8d24-2164-442d-b5dc-df1ed7d5e4a1"/>
        <s v="7eb4763b-0f54-4e8d-aadf-e151e3a76463"/>
        <s v="0dbeb864-49cc-4ff3-9ccc-3edec157aba2"/>
        <s v="b08475ba-c996-423d-9837-a8cde0c0e7ca"/>
        <s v="5016da27-a92e-4a02-8c0d-ad1bc63a16c7"/>
        <s v="f77e8ca6-870a-4191-8a37-8f36802e1308"/>
        <s v="6484f72d-36e0-4b57-b749-fc901a112e94"/>
        <s v="3d58bd4f-cc87-4a5d-a258-08c862b2ad2f"/>
        <s v="41a9aaff-9207-4a6c-81cc-76310bcf0d31"/>
        <s v="15d97f4e-fe02-4142-91c2-832282eaa6a0"/>
        <s v="3331a694-770e-4359-8789-46845e585c39"/>
        <s v="cc8645a3-a19b-4915-9cc6-2dce14049120"/>
        <s v="944fb82a-0480-4a55-a4a2-abb2c61681a4"/>
        <s v="86883d26-3510-4b82-9fc7-da6d8a684b9c"/>
        <s v="ac27451b-fbb6-4628-b02c-7f0aea75116c"/>
        <s v="40ced29c-f517-4a8f-acaf-959ed0f3b156"/>
        <s v="060e33b3-e9ae-4899-a3d3-d742591d183b"/>
        <s v="980d0516-288c-4e8a-8672-b19b88808fed"/>
        <s v="d72c51fa-89a1-4147-99f4-2dcf892fdbcc"/>
        <s v="f5d6f135-f651-402f-b38d-c5ec051c1e28"/>
        <s v="31922566-0f17-4f1d-85c9-a5e5fc1d87a1"/>
        <s v="524e9631-7dc4-489e-94e2-7b12f7cbc615"/>
        <s v="82df6f1e-6e7d-40cd-aec0-e796f8f27a63"/>
        <s v="b6c1bc20-6980-4cbf-8df2-3a9ea48ff661"/>
        <s v="c303e6ca-9244-46d6-ab9b-c32577f8bbf5"/>
        <s v="836d1925-ab48-4775-b129-86ba759b8998"/>
        <s v="bb5d5299-436f-4cea-91b1-ab3f2d3f9922"/>
        <s v="39712a14-9e71-446c-8e09-483790702516"/>
        <s v="5aef6f06-ce0f-4b73-af6a-f098779ff3ec"/>
        <s v="0f41c0a7-d3d2-4c8e-830b-125e778728d7"/>
        <s v="977f6e20-4148-4311-b44a-c4a652506525"/>
        <s v="019d6740-e346-47b9-b042-acab3646d400"/>
        <s v="2839ee13-c4a8-495e-b522-7e1772610d15"/>
        <s v="76d8905a-bbc9-401c-84e7-fc20578996f0"/>
        <s v="9617f968-1a46-4d9a-bea3-fd528b32f34b"/>
        <s v="29486f10-bb43-41fd-81d6-04068a069c06"/>
        <s v="9a8ec59b-2f40-4e75-8cd4-c3e0b5428bff"/>
        <s v="c8cf6935-9874-4470-8efb-2aaaa4ea9763"/>
        <s v="a8baf97f-b8fe-4e51-bb9e-6f7782e358bb"/>
        <s v="1fab239d-794b-447f-8caf-a58c43886f2d"/>
        <s v="19ebe822-7b55-4146-9fbf-7f30a95fcc27"/>
        <s v="9f956bf5-3b88-4a3c-8cb4-d3f138bdf033"/>
        <s v="967b5e21-3557-4672-b9fa-1329548890df"/>
        <s v="5884e18b-6ffd-48ec-8569-4ff2a752247a"/>
        <s v="3a268118-56c7-4394-b063-93cb08e65aa2"/>
        <s v="06ea8b50-0535-4c29-bc28-ff3c7c4ba7b8"/>
        <s v="b295e870-f1a9-461d-93fd-c2f7f686e10e"/>
        <s v="fdfd6a26-e160-41ca-ba3d-6a74d52e433b"/>
        <s v="a569db7e-4e9f-449e-a108-c6eef0392bd1"/>
        <s v="100acc5d-dde2-4723-b7eb-57390df1b151"/>
        <s v="dcf6561b-99b3-4dac-b1dd-cd6551f6fa4a"/>
        <s v="5091fa4c-90c5-48d0-be59-79c47d280076"/>
        <s v="f2c0e0eb-40eb-4222-8690-7ced016ccce6"/>
        <s v="3e698ca1-661f-444e-b442-838fa7c4206a"/>
        <s v="9344a240-6a23-4dd8-8923-3e0b87c3c65e"/>
        <s v="242bc6b4-f80a-4862-be57-8aaf71ffca12"/>
        <s v="96550947-3cf0-4e17-816e-b347b9a4b83a"/>
        <s v="249d97d0-0ab8-4111-a9b9-484f09733111"/>
        <m/>
      </sharedItems>
    </cacheField>
    <cacheField name="Product category" numFmtId="0">
      <sharedItems containsBlank="1" count="6">
        <s v="Accessories"/>
        <s v="Grinders &amp; Brewers"/>
        <s v="Subscriptions"/>
        <s v="Merchandise"/>
        <s v="Consumables"/>
        <m/>
      </sharedItems>
    </cacheField>
    <cacheField name="ProductName" numFmtId="0">
      <sharedItems containsBlank="1" count="26">
        <s v="Airtight Storage Container"/>
        <s v="High-Capacity French Press"/>
        <s v="Subscription Renewal Service"/>
        <s v="Monthly Dark Roast Subscription"/>
        <s v="Espresso Lovers Quarterly Pack"/>
        <s v="Gooseneck Electric Kettle"/>
        <s v="Hand Grinder (Travel Size)"/>
        <s v="Automated Drip Brewer"/>
        <s v="Daily Grind T-Shirt"/>
        <s v="Seasonal Blend Light Roast"/>
        <s v="Refillable Coffee Pods"/>
        <s v="Decaf Blend (1kg)"/>
        <s v="Espresso Bean Sampler Pack"/>
        <s v="Logo Hoodie (Black)"/>
        <s v="Insulated Travel Tumbler"/>
        <s v="Bi-Weekly Sampler Box"/>
        <s v="Branded Ceramic Mug (Large)"/>
        <s v="Cold Brew Concentrate"/>
        <s v="Digital Coffee Scale"/>
        <s v="Pour-Over Starter Kit"/>
        <s v="Minimalist Keychain"/>
        <s v="Single-Origin Ethiopian (250g)"/>
        <s v="Precision Electric Grinder"/>
        <s v="Three-Month Gift Subscription"/>
        <s v="Chemex Filters (100 pack)"/>
        <m/>
      </sharedItems>
    </cacheField>
    <cacheField name="Region" numFmtId="0">
      <sharedItems containsBlank="1" count="6">
        <s v="East"/>
        <s v="South"/>
        <s v="West"/>
        <s v="North"/>
        <e v="#N/A"/>
        <m/>
      </sharedItems>
    </cacheField>
    <cacheField name="ProductID" numFmtId="0">
      <sharedItems containsString="0" containsBlank="1" containsNumber="1" containsInteger="1" minValue="0" maxValue="1050" count="51">
        <n v="1013"/>
        <n v="1034"/>
        <n v="1050"/>
        <n v="1021"/>
        <n v="1024"/>
        <n v="1046"/>
        <n v="1012"/>
        <n v="1032"/>
        <n v="1033"/>
        <n v="1044"/>
        <n v="1027"/>
        <n v="1015"/>
        <n v="1037"/>
        <n v="1003"/>
        <n v="1005"/>
        <n v="1038"/>
        <n v="1017"/>
        <n v="1030"/>
        <n v="1040"/>
        <n v="1043"/>
        <n v="1022"/>
        <n v="1016"/>
        <n v="1029"/>
        <n v="1002"/>
        <n v="1049"/>
        <n v="1036"/>
        <n v="1028"/>
        <n v="1042"/>
        <n v="1035"/>
        <n v="1020"/>
        <n v="1004"/>
        <n v="1045"/>
        <n v="1001"/>
        <n v="1009"/>
        <n v="1008"/>
        <n v="1006"/>
        <n v="1023"/>
        <n v="1007"/>
        <n v="1010"/>
        <n v="1011"/>
        <n v="1031"/>
        <n v="1041"/>
        <n v="1014"/>
        <n v="1019"/>
        <n v="1026"/>
        <n v="1018"/>
        <n v="1047"/>
        <n v="1039"/>
        <n v="1025"/>
        <n v="1048"/>
        <m/>
      </sharedItems>
    </cacheField>
    <cacheField name="CustomerJoinDate" numFmtId="0">
      <sharedItems containsBlank="1" containsDate="1" containsMixedTypes="1" count="150">
        <d v="2023-04-30T00:00:00"/>
        <d v="2023-09-05T00:00:00"/>
        <d v="2023-12-04T00:00:00"/>
        <d v="2023-06-02T00:00:00"/>
        <d v="2023-09-24T00:00:00"/>
        <d v="2023-03-13T00:00:00"/>
        <d v="2023-10-28T00:00:00"/>
        <d v="2023-03-30T00:00:00"/>
        <d v="2023-11-21T00:00:00"/>
        <d v="2023-04-10T00:00:00"/>
        <d v="2023-11-09T00:00:00"/>
        <d v="2023-06-29T00:00:00"/>
        <d v="2023-08-23T00:00:00"/>
        <d v="2023-09-28T00:00:00"/>
        <d v="2023-04-26T00:00:00"/>
        <d v="2023-02-19T00:00:00"/>
        <d v="2023-12-16T00:00:00"/>
        <d v="2023-04-27T00:00:00"/>
        <d v="2023-08-13T00:00:00"/>
        <d v="2023-07-22T00:00:00"/>
        <d v="2023-09-23T00:00:00"/>
        <d v="2023-02-22T00:00:00"/>
        <d v="2023-06-07T00:00:00"/>
        <d v="2023-08-28T00:00:00"/>
        <d v="2023-12-22T00:00:00"/>
        <d v="2023-02-07T00:00:00"/>
        <d v="2023-02-24T00:00:00"/>
        <d v="2023-12-13T00:00:00"/>
        <d v="2023-10-07T00:00:00"/>
        <d v="2023-12-23T00:00:00"/>
        <d v="2023-07-08T00:00:00"/>
        <d v="2023-04-21T00:00:00"/>
        <d v="2023-05-24T00:00:00"/>
        <d v="2023-12-02T00:00:00"/>
        <d v="2023-05-28T00:00:00"/>
        <d v="2023-04-25T00:00:00"/>
        <d v="2023-09-02T00:00:00"/>
        <d v="2023-04-23T00:00:00"/>
        <d v="2023-12-12T00:00:00"/>
        <d v="2023-10-12T00:00:00"/>
        <d v="2023-11-11T00:00:00"/>
        <d v="2023-10-06T00:00:00"/>
        <d v="2023-06-08T00:00:00"/>
        <d v="2023-08-26T00:00:00"/>
        <d v="2023-11-07T00:00:00"/>
        <d v="2023-03-12T00:00:00"/>
        <d v="2023-02-10T00:00:00"/>
        <d v="2023-04-19T00:00:00"/>
        <d v="2023-04-17T00:00:00"/>
        <d v="2023-08-11T00:00:00"/>
        <d v="2023-09-13T00:00:00"/>
        <d v="2023-05-22T00:00:00"/>
        <d v="2023-01-15T00:00:00"/>
        <d v="2023-09-17T00:00:00"/>
        <d v="2023-05-15T00:00:00"/>
        <d v="2023-06-10T00:00:00"/>
        <d v="2023-04-12T00:00:00"/>
        <d v="2023-01-23T00:00:00"/>
        <d v="2023-07-21T00:00:00"/>
        <d v="2023-11-25T00:00:00"/>
        <d v="2023-07-27T00:00:00"/>
        <d v="2023-05-23T00:00:00"/>
        <d v="2023-07-29T00:00:00"/>
        <d v="2023-11-23T00:00:00"/>
        <d v="2023-08-03T00:00:00"/>
        <d v="2023-05-09T00:00:00"/>
        <d v="2023-10-05T00:00:00"/>
        <d v="2023-02-25T00:00:00"/>
        <d v="2023-08-05T00:00:00"/>
        <d v="2023-07-25T00:00:00"/>
        <d v="2023-10-17T00:00:00"/>
        <d v="2023-10-29T00:00:00"/>
        <d v="2023-08-21T00:00:00"/>
        <d v="2023-03-25T00:00:00"/>
        <d v="2023-10-01T00:00:00"/>
        <d v="2023-05-16T00:00:00"/>
        <d v="2023-05-01T00:00:00"/>
        <d v="2023-08-16T00:00:00"/>
        <d v="2023-05-06T00:00:00"/>
        <d v="2023-02-03T00:00:00"/>
        <d v="2023-02-02T00:00:00"/>
        <d v="2023-05-07T00:00:00"/>
        <d v="2023-04-03T00:00:00"/>
        <d v="2023-01-21T00:00:00"/>
        <d v="2023-10-22T00:00:00"/>
        <d v="2023-05-13T00:00:00"/>
        <d v="2023-12-26T00:00:00"/>
        <d v="2023-02-21T00:00:00"/>
        <d v="2023-11-22T00:00:00"/>
        <d v="2023-10-15T00:00:00"/>
        <d v="2023-06-13T00:00:00"/>
        <d v="2023-12-27T00:00:00"/>
        <d v="2023-03-08T00:00:00"/>
        <d v="2023-11-18T00:00:00"/>
        <d v="2023-03-14T00:00:00"/>
        <d v="2023-10-19T00:00:00"/>
        <d v="2023-09-21T00:00:00"/>
        <d v="2023-08-22T00:00:00"/>
        <d v="2023-08-14T00:00:00"/>
        <d v="2023-05-08T00:00:00"/>
        <d v="2023-12-17T00:00:00"/>
        <d v="2023-11-04T00:00:00"/>
        <d v="2023-01-17T00:00:00"/>
        <d v="2023-02-04T00:00:00"/>
        <d v="2023-11-12T00:00:00"/>
        <d v="2023-06-25T00:00:00"/>
        <d v="2023-09-12T00:00:00"/>
        <d v="2023-10-24T00:00:00"/>
        <d v="2023-03-21T00:00:00"/>
        <d v="2023-09-18T00:00:00"/>
        <d v="2023-10-08T00:00:00"/>
        <d v="2023-09-09T00:00:00"/>
        <d v="2023-01-11T00:00:00"/>
        <d v="2023-09-26T00:00:00"/>
        <d v="2023-01-07T00:00:00"/>
        <d v="2023-05-26T00:00:00"/>
        <e v="#N/A"/>
        <d v="2023-10-16T00:00:00"/>
        <d v="2023-10-04T00:00:00"/>
        <d v="2023-12-09T00:00:00"/>
        <d v="2023-08-01T00:00:00"/>
        <d v="2023-01-29T00:00:00"/>
        <d v="2023-12-28T00:00:00"/>
        <d v="2023-07-05T00:00:00"/>
        <d v="2023-06-06T00:00:00"/>
        <d v="2023-07-18T00:00:00"/>
        <d v="2023-06-19T00:00:00"/>
        <d v="2023-06-26T00:00:00"/>
        <d v="2023-02-12T00:00:00"/>
        <d v="2023-01-03T00:00:00"/>
        <d v="2023-07-15T00:00:00"/>
        <d v="2023-09-25T00:00:00"/>
        <d v="2023-01-13T00:00:00"/>
        <d v="2023-03-01T00:00:00"/>
        <d v="2023-03-18T00:00:00"/>
        <d v="2023-06-16T00:00:00"/>
        <d v="2023-10-02T00:00:00"/>
        <d v="2023-08-30T00:00:00"/>
        <d v="2023-08-31T00:00:00"/>
        <d v="2023-11-16T00:00:00"/>
        <d v="2023-09-08T00:00:00"/>
        <d v="2023-08-15T00:00:00"/>
        <d v="2023-10-23T00:00:00"/>
        <d v="2023-08-02T00:00:00"/>
        <d v="2023-12-11T00:00:00"/>
        <d v="2023-01-30T00:00:00"/>
        <d v="2023-11-14T00:00:00"/>
        <d v="2023-09-22T00:00:00"/>
        <d v="2023-12-19T00:00:00"/>
        <m/>
      </sharedItems>
    </cacheField>
    <cacheField name="OrderDate" numFmtId="177">
      <sharedItems containsBlank="1" containsDate="1" containsMixedTypes="1" count="299">
        <d v="2025-01-01T00:00:00"/>
        <d v="2025-02-01T00:00:00"/>
        <d v="2025-03-01T00:00:00"/>
        <d v="2025-04-01T00:00:00"/>
        <d v="2025-06-01T00:00:00"/>
        <d v="2025-07-01T00:00:00"/>
        <d v="2025-08-01T00:00:00"/>
        <d v="2025-09-01T00:00:00"/>
        <d v="2025-10-01T00:00:00"/>
        <s v="1/13/2025"/>
        <s v="1/14/2025"/>
        <s v="1/15/2025"/>
        <s v="1/16/2025"/>
        <s v="1/17/2025"/>
        <s v="1/18/2025"/>
        <s v="1/20/2025"/>
        <s v="1/21/2025"/>
        <s v="1/22/2025"/>
        <s v="1/23/2025"/>
        <s v="1/24/2025"/>
        <s v="1/27/2025"/>
        <s v="1/28/2025"/>
        <s v="1/29/2025"/>
        <s v="1/30/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10-02T00:00:00"/>
        <d v="2025-11-02T00:00:00"/>
        <d v="2025-12-02T00:00:00"/>
        <s v="2/13/2025"/>
        <s v="2/14/2025"/>
        <s v="2/15/2025"/>
        <s v="2/17/2025"/>
        <s v="2/18/2025"/>
        <s v="2/19/2025"/>
        <s v="2/20/2025"/>
        <s v="2/21/2025"/>
        <s v="2/26/2025"/>
        <s v="2/27/2025"/>
        <s v="2/28/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/13/2025"/>
        <s v="3/14/2025"/>
        <s v="3/15/2025"/>
        <s v="3/16/2025"/>
        <s v="3/17/2025"/>
        <s v="3/18/2025"/>
        <s v="3/19/2025"/>
        <s v="3/20/2025"/>
        <s v="3/21/2025"/>
        <s v="3/22/2025"/>
        <s v="3/23/2025"/>
        <s v="3/24/2025"/>
        <s v="3/25/2025"/>
        <s v="3/26/2025"/>
        <s v="3/27/2025"/>
        <s v="3/28/2025"/>
        <s v="3/29/2025"/>
        <s v="3/30/2025"/>
        <s v="3/31/2025"/>
        <d v="2025-01-04T00:00:00"/>
        <d v="2025-02-04T00:00:00"/>
        <d v="2025-03-04T00:00:00"/>
        <d v="2025-04-04T00:00:00"/>
        <d v="2025-05-04T00:00:00"/>
        <d v="2025-07-04T00:00:00"/>
        <d v="2025-08-04T00:00:00"/>
        <d v="2025-09-04T00:00:00"/>
        <d v="2025-10-04T00:00:00"/>
        <d v="2025-11-04T00:00:00"/>
        <d v="2025-12-04T00:00:00"/>
        <s v="4/14/2025"/>
        <s v="4/15/2025"/>
        <s v="4/16/2025"/>
        <s v="4/17/2025"/>
        <s v="4/18/2025"/>
        <s v="4/19/2025"/>
        <s v="4/20/2025"/>
        <s v="4/21/2025"/>
        <s v="4/22/2025"/>
        <s v="4/23/2025"/>
        <s v="4/24/2025"/>
        <s v="4/25/2025"/>
        <s v="4/27/2025"/>
        <s v="4/28/2025"/>
        <s v="4/29/2025"/>
        <s v="4/30/2025"/>
        <d v="2025-01-05T00:00:00"/>
        <d v="2025-02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/13/2025"/>
        <s v="5/14/2025"/>
        <s v="5/15/2025"/>
        <s v="5/16/2025"/>
        <s v="5/17/2025"/>
        <s v="5/19/2025"/>
        <s v="5/20/2025"/>
        <s v="5/21/2025"/>
        <s v="5/22/2025"/>
        <s v="5/23/2025"/>
        <s v="5/25/2025"/>
        <s v="5/26/2025"/>
        <s v="5/27/2025"/>
        <s v="5/28/2025"/>
        <s v="5/29/2025"/>
        <s v="5/30/2025"/>
        <s v="5/31/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s v="6/13/2025"/>
        <s v="6/14/2025"/>
        <s v="6/16/2025"/>
        <s v="6/17/2025"/>
        <s v="6/18/2025"/>
        <s v="6/19/2025"/>
        <s v="6/20/2025"/>
        <s v="6/21/2025"/>
        <s v="6/22/2025"/>
        <s v="6/23/2025"/>
        <s v="6/24/2025"/>
        <s v="6/25/2025"/>
        <s v="6/26/2025"/>
        <s v="6/27/2025"/>
        <s v="6/28/2025"/>
        <s v="6/30/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/13/2025"/>
        <s v="7/14/2025"/>
        <s v="7/15/2025"/>
        <s v="7/16/2025"/>
        <s v="7/17/2025"/>
        <s v="7/18/2025"/>
        <s v="7/19/2025"/>
        <s v="7/20/2025"/>
        <s v="7/21/2025"/>
        <s v="7/22/2025"/>
        <s v="7/23/2025"/>
        <s v="7/24/2025"/>
        <s v="7/25/2025"/>
        <s v="7/27/2025"/>
        <s v="7/28/2025"/>
        <s v="7/29/2025"/>
        <s v="7/30/2025"/>
        <s v="7/31/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/13/2025"/>
        <s v="8/14/2025"/>
        <s v="8/15/2025"/>
        <s v="8/16/2025"/>
        <s v="8/17/2025"/>
        <s v="8/18/2025"/>
        <s v="8/19/2025"/>
        <s v="8/20/2025"/>
        <s v="8/21/2025"/>
        <s v="8/22/2025"/>
        <s v="8/23/2025"/>
        <s v="8/24/2025"/>
        <s v="8/25/2025"/>
        <s v="8/26/2025"/>
        <s v="8/27/2025"/>
        <s v="8/28/2025"/>
        <s v="8/29/2025"/>
        <s v="8/31/2025"/>
        <d v="2025-01-09T00:00:00"/>
        <d v="2025-02-09T00:00:00"/>
        <d v="2025-03-09T00:00:00"/>
        <d v="2025-04-09T00:00:00"/>
        <d v="2025-05-09T00:00:00"/>
        <d v="2025-08-09T00:00:00"/>
        <d v="2025-09-09T00:00:00"/>
        <d v="2025-10-09T00:00:00"/>
        <d v="2025-11-09T00:00:00"/>
        <d v="2025-12-09T00:00:00"/>
        <s v="9/14/2025"/>
        <s v="9/15/2025"/>
        <s v="9/16/2025"/>
        <s v="9/17/2025"/>
        <s v="9/18/2025"/>
        <s v="9/19/2025"/>
        <s v="9/20/2025"/>
        <s v="9/22/2025"/>
        <s v="9/23/2025"/>
        <s v="9/24/2025"/>
        <s v="9/25/2025"/>
        <s v="9/26/2025"/>
        <s v="9/29/2025"/>
        <s v="9/30/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2-10T00:00:00"/>
        <s v="10/13/2025"/>
        <s v="10/14/2025"/>
        <s v="10/15/2025"/>
        <s v="10/16/2025"/>
        <s v="10/17/2025"/>
        <s v="10/18/2025"/>
        <s v="10/20/2025"/>
        <s v="10/21/2025"/>
        <s v="10/22/2025"/>
        <s v="10/23/2025"/>
        <s v="10/24/2025"/>
        <s v="10/25/2025"/>
        <s v="10/27/2025"/>
        <s v="10/28/2025"/>
        <s v="10/29/2025"/>
        <s v="10/30/2025"/>
        <s v="10/31/2025"/>
        <d v="2025-02-11T00:00:00"/>
        <d v="2025-03-11T00:00:00"/>
        <d v="2025-04-11T00:00:00"/>
        <d v="2025-05-11T00:00:00"/>
        <d v="2025-06-11T00:00:00"/>
        <d v="2025-07-11T00:00:00"/>
        <d v="2025-10-11T00:00:00"/>
        <d v="2025-11-11T00:00:00"/>
        <d v="2025-12-11T00:00:00"/>
        <s v="11/13/2025"/>
        <s v="11/14/2025"/>
        <s v="11/15/2025"/>
        <s v="11/16/2025"/>
        <s v="11/17/2025"/>
        <s v="11/18/2025"/>
        <s v="11/19/2025"/>
        <s v="11/20/2025"/>
        <s v="11/21/2025"/>
        <s v="11/22/2025"/>
        <s v="11/23/2025"/>
        <s v="11/24/2025"/>
        <s v="11/25/2025"/>
        <s v="11/26/2025"/>
        <s v="11/27/2025"/>
        <s v="11/28/2025"/>
        <s v="11/29/2025"/>
        <s v="11/30/2025"/>
        <m/>
      </sharedItems>
    </cacheField>
    <cacheField name="Quantity" numFmtId="0">
      <sharedItems containsString="0" containsBlank="1" containsNumber="1" containsInteger="1" minValue="0" maxValue="4" count="5">
        <n v="2"/>
        <n v="1"/>
        <n v="4"/>
        <n v="3"/>
        <m/>
      </sharedItems>
    </cacheField>
    <cacheField name="Revenue" numFmtId="0">
      <sharedItems containsString="0" containsBlank="1" containsNumber="1" minValue="0" maxValue="1353.44" count="101">
        <n v="122.08"/>
        <n v="338.36"/>
        <n v="293.64"/>
        <n v="183.78"/>
        <n v="224.61"/>
        <n v="61.26"/>
        <n v="104.61"/>
        <n v="299.48"/>
        <n v="254.72"/>
        <n v="235.76"/>
        <n v="64.11"/>
        <n v="106.59"/>
        <n v="72.39"/>
        <n v="69.74"/>
        <n v="121.05"/>
        <n v="19.06"/>
        <n v="57.18"/>
        <n v="60.92"/>
        <n v="85.48"/>
        <n v="21.37"/>
        <n v="161.4"/>
        <n v="48.26"/>
        <n v="129.84"/>
        <n v="177.54"/>
        <n v="86.4"/>
        <n v="70.47"/>
        <n v="96.52"/>
        <n v="142.12"/>
        <n v="80.49"/>
        <n v="35.53"/>
        <n v="210.46"/>
        <n v="74.87"/>
        <n v="82.11"/>
        <n v="93.96"/>
        <n v="220.23"/>
        <n v="19.49"/>
        <n v="676.72"/>
        <n v="471.52"/>
        <n v="928.8"/>
        <n v="71.06"/>
        <n v="173.12"/>
        <n v="130.42"/>
        <n v="509.44"/>
        <n v="77.96"/>
        <n v="149.74"/>
        <n v="109.48"/>
        <n v="105.23"/>
        <n v="76.24"/>
        <n v="43.28"/>
        <n v="27.37"/>
        <n v="139.48"/>
        <n v="696.6"/>
        <n v="43.2"/>
        <n v="24.1"/>
        <n v="1353.44"/>
        <n v="42.74"/>
        <n v="73.41"/>
        <n v="107.32"/>
        <n v="23.49"/>
        <n v="172.8"/>
        <n v="65.21"/>
        <n v="46.98"/>
        <n v="244.16"/>
        <n v="245.04"/>
        <n v="38.98"/>
        <n v="232.2"/>
        <n v="54.74"/>
        <n v="96.4"/>
        <n v="45.69"/>
        <n v="260.84"/>
        <n v="58.47"/>
        <n v="464.4"/>
        <n v="266.31"/>
        <n v="146.82"/>
        <n v="122.52"/>
        <n v="195.63"/>
        <n v="80.7"/>
        <n v="72.3"/>
        <n v="53.66"/>
        <n v="707.28"/>
        <n v="355.08"/>
        <n v="129.6"/>
        <n v="943.04"/>
        <n v="1018.88"/>
        <n v="26.83"/>
        <n v="48.2"/>
        <n v="86.56"/>
        <n v="38.12"/>
        <n v="88.77"/>
        <n v="40.35"/>
        <n v="1015.08"/>
        <n v="764.16"/>
        <n v="30.46"/>
        <n v="61.04"/>
        <n v="24.13"/>
        <n v="420.92"/>
        <n v="15.23"/>
        <n v="315.69"/>
        <n v="183.12"/>
        <n v="34.87"/>
        <m/>
      </sharedItems>
    </cacheField>
    <cacheField name="COGS" numFmtId="0">
      <sharedItems containsString="0" containsBlank="1" containsNumber="1" minValue="0" maxValue="592.68" count="101">
        <n v="51.41"/>
        <n v="148.17"/>
        <n v="109.16"/>
        <n v="105.44"/>
        <n v="57.58"/>
        <n v="35.15"/>
        <n v="77.91"/>
        <n v="76.78"/>
        <n v="130.28"/>
        <n v="132.48"/>
        <n v="24.78"/>
        <n v="17.79"/>
        <n v="27.88"/>
        <n v="51.94"/>
        <n v="38.58"/>
        <n v="11.97"/>
        <n v="35.9"/>
        <n v="53.59"/>
        <n v="33.04"/>
        <n v="8.26"/>
        <n v="51.44"/>
        <n v="18.59"/>
        <n v="62.47"/>
        <n v="47.72"/>
        <n v="62.22"/>
        <n v="30.26"/>
        <n v="37.18"/>
        <n v="23.72"/>
        <n v="43.96"/>
        <n v="5.93"/>
        <n v="149.49"/>
        <n v="19.2"/>
        <n v="72.27"/>
        <n v="40.35"/>
        <n v="81.87"/>
        <n v="12.71"/>
        <n v="296.34"/>
        <n v="264.97"/>
        <n v="313.54"/>
        <n v="11.86"/>
        <n v="83.29"/>
        <n v="55.22"/>
        <n v="260.57"/>
        <n v="50.82"/>
        <n v="38.39"/>
        <n v="96.36"/>
        <n v="74.74"/>
        <n v="47.87"/>
        <n v="20.82"/>
        <n v="24.09"/>
        <n v="103.88"/>
        <n v="235.16"/>
        <n v="31.11"/>
        <n v="21.21"/>
        <n v="592.68"/>
        <n v="16.52"/>
        <n v="27.29"/>
        <n v="58.61"/>
        <n v="10.09"/>
        <n v="124.43"/>
        <n v="27.61"/>
        <n v="20.17"/>
        <n v="102.83"/>
        <n v="140.58"/>
        <n v="25.41"/>
        <n v="78.39"/>
        <n v="48.18"/>
        <n v="84.83"/>
        <n v="40.19"/>
        <n v="110.44"/>
        <n v="38.12"/>
        <n v="156.77"/>
        <n v="71.58"/>
        <n v="54.58"/>
        <n v="70.29"/>
        <n v="82.83"/>
        <n v="25.72"/>
        <n v="63.62"/>
        <n v="29.3"/>
        <n v="397.45"/>
        <n v="95.44"/>
        <n v="93.32"/>
        <n v="529.94"/>
        <n v="521.14"/>
        <n v="14.65"/>
        <n v="42.42"/>
        <n v="41.65"/>
        <n v="23.94"/>
        <n v="23.86"/>
        <n v="12.86"/>
        <n v="444.51"/>
        <n v="390.85"/>
        <n v="26.8"/>
        <n v="25.71"/>
        <n v="9.3"/>
        <n v="298.98"/>
        <n v="13.4"/>
        <n v="224.24"/>
        <n v="77.12"/>
        <n v="25.97"/>
        <m/>
      </sharedItems>
    </cacheField>
    <cacheField name="UnitPrice" numFmtId="0">
      <sharedItems containsString="0" containsBlank="1" containsNumber="1" minValue="0" maxValue="338.36" count="26">
        <n v="61.04"/>
        <n v="338.36"/>
        <n v="73.41"/>
        <n v="61.26"/>
        <n v="74.87"/>
        <n v="34.87"/>
        <n v="254.72"/>
        <n v="235.76"/>
        <n v="21.37"/>
        <n v="35.53"/>
        <n v="24.13"/>
        <n v="40.35"/>
        <n v="19.06"/>
        <n v="15.23"/>
        <n v="43.28"/>
        <n v="88.77"/>
        <n v="43.2"/>
        <n v="23.49"/>
        <n v="26.83"/>
        <n v="105.23"/>
        <n v="27.37"/>
        <n v="19.49"/>
        <n v="232.2"/>
        <n v="65.21"/>
        <n v="24.1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0.6899305556" refreshedBy="mac" recordCount="1159">
  <cacheSource type="worksheet">
    <worksheetSource ref="A1:M1048576" sheet="Orders"/>
  </cacheSource>
  <cacheFields count="13">
    <cacheField name="OrderID" numFmtId="0">
      <sharedItems containsBlank="1" count="1159">
        <s v="3685c29f-0492-450c-9a61-e93c633ba866"/>
        <s v="f3c573df-56ce-4619-bc05-7c426de7f2ee"/>
        <s v="59abfb23-1d32-4c33-a5b6-cddb1a61780f"/>
        <s v="f85ca148-9dcc-4488-a3ce-48bb5fdb0ad6"/>
        <s v="f333a8e1-66ba-46f3-a830-a154afc0e56a"/>
        <s v="fb30b1dc-81f6-4030-9dee-516e42a134f6"/>
        <s v="715973e8-381f-47ea-9ec0-9ef9a08920ff"/>
        <s v="fcc2f521-d51e-4965-b29d-f772744667c7"/>
        <s v="f3ab4a96-1727-4306-8d6b-98200dd31748"/>
        <s v="f67fb8e7-373e-46aa-b512-84abfe710d15"/>
        <s v="a16ee5e4-1df2-4760-8105-7a29fcc11299"/>
        <s v="1477709f-5755-4892-9a77-fdb2550c0f4f"/>
        <s v="b97225df-3122-47b1-9628-b21af69052f8"/>
        <s v="2026cb84-0013-4e7a-b55d-ab7c1ce3c959"/>
        <s v="6ac72edf-68b1-48b8-ad75-340fd36401c4"/>
        <s v="08ad60ba-774a-4643-8466-4d34380a1f72"/>
        <s v="305b39a2-172b-4162-be5b-e70e03b3a81a"/>
        <s v="58e9c301-08b1-4506-87c0-88760828f42c"/>
        <s v="7d8e7f9b-7d3c-43be-b970-e9dfcae2d0e3"/>
        <s v="3b347f48-fd06-4dba-80fa-7a61be73ad55"/>
        <s v="a84dd998-cecc-4b19-a5ca-fa0049a35061"/>
        <s v="b46a3427-c6d2-42b7-8488-70dc447561d5"/>
        <s v="2e109ff5-6492-4fed-a99e-43592b610d68"/>
        <s v="3f2ea9dd-ca3f-4119-b4ea-c484867b8e3c"/>
        <s v="5008b922-dc15-4fc6-969e-ec89fffbf9f2"/>
        <s v="7e320fbb-da5c-40df-9504-61fa27d647b1"/>
        <s v="cecea84b-cb80-4e3a-a7dd-f63d13449a1d"/>
        <s v="554d5066-800b-4eb6-95c4-ca7d4490fb78"/>
        <s v="a59f2051-f09c-4c07-b3d2-e689b1a526c3"/>
        <s v="6430b62a-48bc-44c1-8cc1-4ac5dc74e00c"/>
        <s v="65203477-13e2-4b8a-9447-b08d2d2a8a96"/>
        <s v="69cfe3b8-e460-4599-bf70-979569f296fc"/>
        <s v="ffafd16d-b2aa-4d2e-8454-4d4da7114006"/>
        <s v="505f0b97-f22c-43ab-9a00-a3622efca95f"/>
        <s v="a7ccc132-c9f1-4b54-bd29-9f81fb23b5e3"/>
        <s v="caf0fb18-72e0-4c11-a3c3-9e7434528f44"/>
        <s v="a521ec8a-381d-4739-a765-3ed244b3e9a7"/>
        <s v="b850d516-7c7f-467c-9727-cbefdc6dc599"/>
        <s v="c2ccc14b-7a3a-4d1e-8f41-ad5d4f96b4b8"/>
        <s v="57db7af4-8ccf-4a99-873f-3e558361c69b"/>
        <s v="7846b8ec-03de-4bac-96ce-64c03a9940c4"/>
        <s v="1f1da2b2-469d-4733-a4ce-45a1e094adfc"/>
        <s v="117d5477-ce3a-4229-807e-deb135b0eb6d"/>
        <s v="ecf82f5d-fd6f-4458-9a8a-afe77914b9b3"/>
        <s v="864c811c-b827-4e0f-8420-bc615a96c99d"/>
        <s v="fbe8fb57-1729-479e-95c7-825a953dca20"/>
        <s v="79f16b0b-f943-4d5f-8c04-853aa95973fc"/>
        <s v="8c3d46c7-9529-41e2-b415-85449b57bb62"/>
        <s v="cb1ceb27-0163-4790-bd87-4c4e3efa67db"/>
        <s v="d44dbbce-44ab-4779-8c1f-4451c7c865b4"/>
        <s v="8720ad5e-b5a1-4394-8012-bef286c040db"/>
        <s v="d5a33ceb-28c2-48ee-9125-169ae802c4bf"/>
        <s v="55f8dafd-666e-4c10-a5b4-ec2773ca65ec"/>
        <s v="327d44d8-4ba8-4131-8cb3-53858fc18112"/>
        <s v="7ae6703b-df07-46ab-ba3c-d3b7d53a2d79"/>
        <s v="4be72a2b-ce92-4565-9f94-db444339c748"/>
        <s v="ce0fa91e-1213-4c07-a433-eed6efcd20d6"/>
        <s v="87ebd0bb-9c9d-4cbe-ae61-0781d29385a9"/>
        <s v="81a862eb-c6df-49c6-833b-1fb92adc14e8"/>
        <s v="5f7f623f-5a1c-454c-bf6e-232f790d5317"/>
        <s v="d398181c-9c88-472a-8e2b-967a064775a2"/>
        <s v="1d5a959e-49ab-4ff7-8eaa-de8aa9c65c4d"/>
        <s v="18b2af2b-09ca-4d31-b3b5-ff9dbc263550"/>
        <s v="e860b223-b472-43ce-aeef-4a0eaf770ff8"/>
        <s v="ca789ada-e27f-42d0-acbd-3649551fdd3c"/>
        <s v="4b2641df-bca5-4fba-a3a3-ac9946c5624c"/>
        <s v="9f5d615e-9dc4-49b8-9415-067fb428a638"/>
        <s v="cff1d337-3782-43eb-947a-b77e02a5b7c1"/>
        <s v="3066bb70-b36c-408c-b635-494ea4dea703"/>
        <s v="ad04eacb-e213-4ea8-b14c-8cdb94515053"/>
        <s v="eda00736-ea2c-496f-9029-d51ba0b3cd76"/>
        <s v="793f2c34-1801-4fba-bada-24e6cbd03c88"/>
        <s v="095eb839-f8c8-4ed2-8bc4-4ccd5e889337"/>
        <s v="a670f5e8-e9ef-4dd0-87ac-f7ee7727bdf5"/>
        <s v="5181c615-42d2-4cd0-ba69-01fb785d05dd"/>
        <s v="93d3159e-a769-4ac0-a8fe-4c3233a41e9f"/>
        <s v="60881b7f-e9a7-40be-a9cd-c4fccc54363d"/>
        <s v="eea9940f-72df-44ec-beab-e1b0dd4f2888"/>
        <s v="f368046e-6e7b-4455-aaed-609e5a87c9b4"/>
        <s v="e03bead0-55f0-4cc8-91ed-fbdc6a3567a2"/>
        <s v="c8ba32ae-e3b5-483e-8ced-4c4236687fa0"/>
        <s v="5be0c331-f387-4f6f-9016-adab630ccf64"/>
        <s v="56933054-670d-459c-999c-9c78251e8820"/>
        <s v="5374cfc1-6a97-4cf7-a59a-adfa9c1fccd3"/>
        <s v="893edb97-800b-4cfb-ac3c-14c71cfb3405"/>
        <s v="b6871d70-15e2-4b50-ae73-e5d13879d775"/>
        <s v="6135b1ff-9204-4e49-ad91-2678d7e8c8d1"/>
        <s v="b0107dfd-71ae-4228-ab49-0b38d0dfa016"/>
        <s v="15c6d0c2-ca8e-4d95-a61c-e2bfd438b07e"/>
        <s v="969cea24-b65f-4f57-8159-f3279047b277"/>
        <s v="096b3ee9-9aab-4fb5-b77f-da59a44da964"/>
        <s v="5c42f13b-cae6-4bc9-8847-02054b32e90d"/>
        <s v="bbde17b9-d089-45cf-aa59-4217501aa7fc"/>
        <s v="a629b818-1622-445b-a702-83287074f944"/>
        <s v="688e8939-6612-4b88-b16a-6f5bc17859f5"/>
        <s v="d19769c4-8d1f-4e01-a02f-abaaea593f36"/>
        <s v="1e32daed-7a1e-4599-9eba-46ac10fb3b29"/>
        <s v="0cec6677-5993-4be9-92ab-78bc1311280f"/>
        <s v="22ca0d2b-1a18-4a1d-a918-86b847bb5612"/>
        <s v="a01dbf1a-9ba0-4192-a08b-4282de1a15ac"/>
        <s v="638a703e-cdbf-48b8-897f-8fc380991ad6"/>
        <s v="1711f3c7-9629-48f8-820b-139ee7c19729"/>
        <s v="0d5cf559-5e2c-4fac-ba32-ce859669182b"/>
        <s v="9beb4bd1-ca21-484e-8fc2-923de164904b"/>
        <s v="befcb3ac-3bd7-41bb-ac73-712fe7b94505"/>
        <s v="5e41602d-0372-402c-ab9a-e0e4234bea5a"/>
        <s v="f7f29fa1-7138-4de5-9d20-d40550b6acd0"/>
        <s v="86a32c99-e028-46a7-a2ac-16a8c8f9da51"/>
        <s v="f7f91467-19a8-45a6-acf1-2ef0bb884b7a"/>
        <s v="42fe90f1-b58d-43f0-a8ac-e27f8e9becd6"/>
        <s v="3354d541-e3aa-4cf4-9836-3da7d49c38a5"/>
        <s v="fa8772c1-e5cb-44e8-99b3-f9f4936c321e"/>
        <s v="c24e9db7-f7d2-4b91-a6a2-35f5b4a3bf8c"/>
        <s v="ebfd86bd-e90b-4f45-8d18-aa9c9c051448"/>
        <s v="ac33c205-d1fe-4a53-bc34-91ffd09da3ce"/>
        <s v="6e99eb02-9a70-41fd-956f-6ecfb05a4ba4"/>
        <s v="ebe4013b-b213-4486-8b3f-98730802e8a7"/>
        <s v="4e5695c6-3ffe-4327-b613-bb77492103b2"/>
        <s v="8e680d30-a681-4042-b7ad-239a2f703a3f"/>
        <s v="4b01f9d2-43c8-44e3-8f2d-956070cb47ff"/>
        <s v="addc98b6-8793-44a2-bb2d-dac81019a3aa"/>
        <s v="4386a904-3c7a-4d32-86b6-9dec42ad5f3c"/>
        <s v="7f6bd0f9-0ca8-4c32-bda1-9aed6e605e9d"/>
        <s v="d8a940b6-e7c9-4033-81e0-880abdd12d09"/>
        <s v="06b282a0-2f00-4285-a2fc-edf0fa75c7a3"/>
        <s v="57a92646-c056-4ebe-be6f-df187d797ec6"/>
        <s v="85430cf1-9809-4200-a30c-50e501727bd0"/>
        <s v="6c676506-58b4-464d-ac1f-8fe1182a4ee8"/>
        <s v="c7c55120-961e-4a21-a5cd-0daf2d89d19a"/>
        <s v="b4839f50-269a-4ff2-b6ca-cdc26f781b0e"/>
        <s v="8ccfddfe-8b96-4354-a8a6-4460aedb2d57"/>
        <s v="f5fd8e3c-75cf-485b-aa13-71596d7a363f"/>
        <s v="72e9358d-afc2-4e39-aff8-433db2175b00"/>
        <s v="5558ea85-d76a-4447-b4c1-0dc8254b1fff"/>
        <s v="63db0a94-4075-4754-9f69-03cb979474a5"/>
        <s v="4957b29f-6bd3-4d3a-be73-7bd3d7352ddf"/>
        <s v="21978a52-ae70-483e-a1b1-9a2165d145b0"/>
        <s v="d23a795f-a8ee-479d-b7e7-8c39b3b787c8"/>
        <s v="ac62a7ad-4f84-477d-bda3-a751e0e2717c"/>
        <s v="bab7b353-c46b-41c5-8613-dcc52052684c"/>
        <s v="58a12134-decf-4f28-a4a6-ff697c0373a4"/>
        <s v="48767f3a-84cd-4ff6-b5cc-9756a37abafe"/>
        <s v="24e28092-3d4e-4bd8-9f49-a8ef3b0859bf"/>
        <s v="9c7348ec-7eb2-4d2d-a907-8a8dda33d549"/>
        <s v="ce45c01e-ee6b-468a-a2ba-2e679c253aa1"/>
        <s v="8e46836c-31f3-416f-aa07-217cdca45d34"/>
        <s v="b8e4f8c6-09f4-4418-87eb-cc627f42e71b"/>
        <s v="3f33ffb0-7ffb-49bd-a108-b0c3a1f9ca1b"/>
        <s v="6c8a90a7-4a00-4dbd-affe-027d54303cd6"/>
        <s v="88e36ac9-75c3-4d5f-9b05-b96dc9b64478"/>
        <s v="6045d6fd-77af-4ded-94c8-578da7917e4e"/>
        <s v="188ffae8-c4ba-4bfa-81f1-3c4570c60932"/>
        <s v="50db9ea6-c2f0-4793-8763-05a1de82d02b"/>
        <s v="89299a12-184d-46ef-8b54-60288e55d027"/>
        <s v="1322f6f0-eee4-4233-856c-c3c177bf1951"/>
        <s v="476741ba-97dc-41fd-9b4e-054b6e206357"/>
        <s v="effdd2cd-408f-4673-a7c7-808148eff02a"/>
        <s v="e47ea523-d50e-43f8-8bbf-810023a4db3a"/>
        <s v="d6a15adb-425e-440d-8d85-8ff9d4669796"/>
        <s v="f4d56432-3fa1-4249-b7dd-6f6ff8072e0e"/>
        <s v="80075d4e-4655-462b-83bc-f94c4d6e36d6"/>
        <s v="4ef5aac2-bc78-4c34-8f74-673a7032320a"/>
        <s v="86020137-f74a-4b0d-b432-6318e89a8786"/>
        <s v="4a2d93ae-f4b3-48bd-800b-b3f3e36416df"/>
        <s v="45f54586-447a-4a4b-81f3-e5458039a368"/>
        <s v="74955aa1-bd72-449f-a3de-ecaa8c828b2a"/>
        <s v="6960f3f4-1ff9-453a-b7d7-966474cf9480"/>
        <s v="1e205150-5a94-4284-9a0b-2fd154a32e12"/>
        <s v="ea3d9c90-3964-4a47-aea6-0430222ffdef"/>
        <s v="31642d48-ea72-4442-9f3e-e2ed9ae88d04"/>
        <s v="31b4ba06-66ff-48a1-b340-17036a9ed549"/>
        <s v="7e62dae2-e4ff-4640-8623-5ce91774c8cb"/>
        <s v="d4cda8f7-03d0-4145-aead-58eef10e64bb"/>
        <s v="9e6e0579-d35e-4619-800d-fbacd9f2859b"/>
        <s v="18493f6a-8a03-43b2-bc19-aeb393a3c54c"/>
        <s v="5435f42d-2452-4ab5-abe3-7f26dc1ba04b"/>
        <s v="4d023d65-efd3-455a-a605-c02baae26334"/>
        <s v="20ab3646-caa5-4606-8d0d-cb85874cf542"/>
        <s v="d749ea8d-3b78-4ca1-82b8-8355be93b44d"/>
        <s v="9d4563a2-78e8-461b-8b59-6e5d22aac38f"/>
        <s v="4aa161f6-a747-43a0-bfb3-968c5a358b02"/>
        <s v="1c7a08bd-ecfd-4af5-b61e-627d5b9dc018"/>
        <s v="e4d330ed-049b-45bc-9b1a-215092d969f5"/>
        <s v="f7af8f0d-57d6-4fb1-afdb-7adcb334ffe3"/>
        <s v="dfdb0058-1b30-41df-88f1-a19aafe86f44"/>
        <s v="8c468ce1-9190-44ff-b761-dc638e094c8a"/>
        <s v="b2429686-79a2-4af8-8756-59b75b10da27"/>
        <s v="f488efd8-2eaf-4852-b2e1-5022c02d090f"/>
        <s v="cbd11115-612a-42f1-8ca1-ff7f3c61f95d"/>
        <s v="00a091f1-36f9-4571-97b9-f875dfbe22bf"/>
        <s v="8e01238e-7f59-4694-8d59-e78ea12ea630"/>
        <s v="e8534aa6-7936-4ddc-9a8f-7d65da51b3b0"/>
        <s v="b0c9583e-8f79-479c-9b9f-a7eabc5f69ae"/>
        <s v="f409b004-7cce-4df8-bbf3-02c6f0bd9734"/>
        <s v="4a55e3f9-f4c8-40b3-a766-e0cb4fd40845"/>
        <s v="88ea0880-7a45-40e6-8e28-815015d3fd34"/>
        <s v="aff1aae7-d643-4241-bb8f-b17d1a9467ff"/>
        <s v="7b194161-f6a2-431f-9a43-f136d405ac2a"/>
        <s v="b6fc82c6-37eb-4f3d-9053-183864af14ef"/>
        <s v="47ff2867-d0d7-42fe-a689-966776ac8383"/>
        <s v="3fb9f6d9-316a-489c-84d2-905db05b6edc"/>
        <s v="3668bea6-a26e-4d8c-88df-dfb08cc5e42c"/>
        <s v="6779fcae-fdc5-49db-8710-512acd1cd3d9"/>
        <s v="769b6ce4-4311-4e5c-9869-28d03afa4916"/>
        <s v="80fcc3be-6678-4789-b492-5e3fd73dd787"/>
        <s v="65c83572-d26c-4307-b761-6f6bb0f7295b"/>
        <s v="f2c7b9d1-e6c3-4ca7-8dbd-de94fe9aa99a"/>
        <s v="423e6f19-aa56-431c-a26d-bb3ebecd7407"/>
        <s v="bc575cb5-db1a-4e51-a066-69f6e0b14995"/>
        <s v="a439bddb-d0e8-4e48-9a74-02df69469229"/>
        <s v="3c88a9a2-9292-408b-9138-d9a6435c08e1"/>
        <s v="7776fb61-e206-479a-a805-042f83d4e784"/>
        <s v="7a347b2a-c8d1-417b-9896-6d35238ef4b6"/>
        <s v="9687ae63-2ecc-4095-976c-d19cd16778f6"/>
        <s v="58df74b5-bf2d-484e-a91c-3b07a69d02d3"/>
        <s v="5f67ef35-bcf6-437b-a246-a81d864edcda"/>
        <s v="3266f2c6-3900-4462-a018-cd86e58c58c6"/>
        <s v="860991bc-0959-4846-85ef-77265f56feb5"/>
        <s v="ac57232e-3dc9-4b06-97cc-3f7b94dd137b"/>
        <s v="a39d2cfd-9043-4cf0-9a50-24f6e60328fe"/>
        <s v="6ba6a06b-77da-4f6e-a08f-25ccf780bed5"/>
        <s v="770fabc6-8d85-427b-a704-08d359f5a6d0"/>
        <s v="fca39dec-96e1-469b-b340-84fe0a8b77f6"/>
        <s v="f16629ef-2380-4b99-ae28-025d6702533b"/>
        <s v="a0d7f48d-0eb8-4dcb-b655-5268f785c608"/>
        <s v="38e19099-554c-4983-8e2a-b37ed3c4e7a0"/>
        <s v="c2bea027-2e78-4404-8157-0e69e3f68a7e"/>
        <s v="0a5f3e3a-8ea5-4027-a20a-650e39178c02"/>
        <s v="bbf22564-625a-485f-9178-bfe70e4fe0c4"/>
        <s v="017d378b-96a3-4f75-8fb2-a849d35931fd"/>
        <s v="101a1eed-2707-45ab-ba47-8fcf13897f50"/>
        <s v="7ad840eb-d704-4099-8145-bb5940446ec3"/>
        <s v="251d75f6-b125-49e5-ad81-4865ef7c21d2"/>
        <s v="e75c4864-436c-4912-9e21-9b77aa9a0d60"/>
        <s v="c88a585a-8b45-4243-aac1-907b957ccf28"/>
        <s v="f6214832-88c4-40a2-9996-130f14b6ba97"/>
        <s v="8480dfa1-320a-4e5a-89c9-5b5b0727f5ae"/>
        <s v="dead199d-5745-435f-80eb-ef0c6b8dac0f"/>
        <s v="4f25a364-ae40-4179-8d1e-012015b270f2"/>
        <s v="4b876e78-e502-4829-acc9-c5d183fb9f54"/>
        <s v="67760ed6-2a9d-4392-9ba6-80b065a2a7ca"/>
        <s v="03e4a34a-adb1-483f-9b2b-488009fd522f"/>
        <s v="de541b95-b222-48cc-86a0-170ab7f244fc"/>
        <s v="f128324a-e0aa-4898-bb49-123622d91b6c"/>
        <s v="b5b93787-be35-4d36-bc07-83505f3f2417"/>
        <s v="43856f5b-1de5-486c-b996-f72d7d2f2872"/>
        <s v="a069465e-46fd-4ccc-a76f-1e0064a14897"/>
        <s v="aa5c430d-8d3a-47ab-8def-71eaedcd7a28"/>
        <s v="b9d74e39-a52b-45b7-96c2-501f3f0b45b1"/>
        <s v="b9a410cc-8073-4858-8dc0-583b6a5d95b4"/>
        <s v="a66b1374-d2a2-4ef2-8f5d-f9b58c64a24e"/>
        <s v="23839453-8326-4e6f-87a6-d802772861cf"/>
        <s v="07cac1c8-2145-4c0a-80a2-57a21c27739f"/>
        <s v="fb32506a-b635-4805-b9ad-18bf1f43a14b"/>
        <s v="da23ca57-22b3-43bb-8c59-0f4e4843efee"/>
        <s v="38a6cdc9-856b-4e36-a278-4a90c5a59a90"/>
        <s v="4c1ddb75-a154-4d77-a0cf-f9bcc65d1da7"/>
        <s v="3c87db83-208c-42f8-83ea-71f736f08f66"/>
        <s v="e7223c67-a70d-4ac1-bc94-cbe1b1e77993"/>
        <s v="bbb71e30-d217-4007-b3c6-48bda436704d"/>
        <s v="1eab32bd-3f6b-42ea-a583-40c1731d41ae"/>
        <s v="c5641494-67c4-45b9-9ee3-24516aa16859"/>
        <s v="1c4a118f-3203-4812-a51f-e9ae35b1cefb"/>
        <s v="1dc623ac-15d4-47cc-8de3-27322a7d03dc"/>
        <s v="c7cf5804-d7d6-4acc-ad39-fe1ee10e6439"/>
        <s v="6310e3b8-658d-4241-988e-b617b9fced8a"/>
        <s v="a3936a6f-020e-4c85-8503-bc90aaf8f3dd"/>
        <s v="9a1098d5-0376-4dad-81be-12da389ed215"/>
        <s v="b56a4435-e59e-4980-851e-33aac53cf190"/>
        <s v="166c3f4e-fb0f-442f-a3f8-a9170351648a"/>
        <s v="97a3d9ff-f6d0-41ed-aa43-baec450445e1"/>
        <s v="4dd539c1-8e10-4ea2-98f9-78e36ec5410c"/>
        <s v="9c0d17fb-731d-4d38-9c91-d990fb13ece7"/>
        <s v="4ca1d9b4-1d1e-45e1-8054-09715838b9ef"/>
        <s v="95e72111-7deb-4459-a208-28593c7e07da"/>
        <s v="c321e333-0cc9-4166-9cbf-56a72336bada"/>
        <s v="0e33b658-3488-4b20-a9d4-2c021a280b9e"/>
        <s v="7e003ab9-d22f-49bd-8017-252fae3868d1"/>
        <s v="b8f3e004-671a-4675-b239-e4dd30659b45"/>
        <s v="367bc0dc-0fc1-4375-b59a-9d471bb0f545"/>
        <s v="b2c42efa-5ad2-46d3-98bf-45eb5c0855bf"/>
        <s v="4988511f-7180-4414-9344-ec6dfc7090be"/>
        <s v="c17dd70e-2c24-4ec7-bc7b-2e03341bb58e"/>
        <s v="aaa047ee-ae6c-48a3-baed-b5254d8f11ba"/>
        <s v="21fdd3b0-a5ee-4211-a774-4b6d815892b6"/>
        <s v="8e769ca9-2316-4647-8694-5d684a0cbccc"/>
        <s v="3614feb4-5e77-4fa3-9bf8-4651b6954063"/>
        <s v="5c6afe2f-ff7e-48e9-8842-5b259e19f943"/>
        <s v="0c28d25f-9ce3-43ad-8a5b-b40663e3b520"/>
        <s v="94677c92-5bec-4d49-b307-d1c089825c94"/>
        <s v="251bb918-cd6f-4d23-b4d9-36b168cc96c3"/>
        <s v="1912dc2a-b233-421f-a6ae-fee2298586b1"/>
        <s v="aa1d8a9e-9561-4e35-abd9-7419f8c1eb65"/>
        <s v="4f6cf287-b582-44f5-acf3-6b7b64099650"/>
        <s v="5a8fca9e-7cce-49c4-9d55-e17eeaf70896"/>
        <s v="5113e7ef-d15a-4f1a-b5d5-6dab6278dd41"/>
        <s v="8e8f8842-4ab4-4a16-87cc-7af2c26189fa"/>
        <s v="b86f413b-4b41-410f-a891-7780f85f9da9"/>
        <s v="f8047d2d-b180-4f55-9194-9898d6863635"/>
        <s v="b93e9262-be6b-4abd-98c6-c8fd16bbcb31"/>
        <s v="e0b66c28-f30c-4078-854b-66b42489457a"/>
        <s v="bfef14bd-711a-47d3-95d2-0f6365a7f7ba"/>
        <s v="1e722a49-993d-4a71-9273-e1d30642b125"/>
        <s v="11570796-8380-4041-b1d0-104d9574ae47"/>
        <s v="3f0a3f1d-5f36-4be5-a015-8f3bd48fe6dd"/>
        <s v="76d79a7d-d6eb-4592-9689-04afce909a8c"/>
        <s v="c1e8c904-f220-4828-badf-2759b39fbbe4"/>
        <s v="58493b08-0a3d-4d04-a261-99a0d02220e2"/>
        <s v="2bfd8794-e084-4b98-905d-21eb91a8b0ba"/>
        <s v="39fbd8be-2585-43a8-8f32-b19c79afce2c"/>
        <s v="2af8f0c6-c543-44bb-a51e-4340220c35f8"/>
        <s v="6582f587-1197-41aa-878d-a70746eecd14"/>
        <s v="0ee5d42e-f634-4c33-9b74-607ce8e4356b"/>
        <s v="a0ff32f1-2c92-4e13-ad3f-e7b1c39326d4"/>
        <s v="abfdfea8-cfa2-4dd5-bab3-b563ae5391d1"/>
        <s v="dcb22381-3d7e-4e13-8110-539d2af867c8"/>
        <s v="f12848f5-5046-46e4-8a88-01368de751b5"/>
        <s v="af592558-ec77-4f0a-9d70-81a475e142ea"/>
        <s v="80efc451-2540-468b-a5b2-3f3b2e689912"/>
        <s v="f518ccfb-e203-4ad0-9feb-8663e877744b"/>
        <s v="72c5e20f-14c5-45f9-9745-269f491f6061"/>
        <s v="cf72bdba-8978-426c-a914-fe8fb1f93a8b"/>
        <s v="b092765d-9944-44f8-b292-dea14ea2ae7b"/>
        <s v="a3fba6f5-ffa6-4186-b243-cf5f7caf1ca7"/>
        <s v="f505cf59-f6b2-4e9b-b981-e335780b689e"/>
        <s v="cb71e887-ccd9-47a7-8375-41233c64a18a"/>
        <s v="a77c404c-8d51-446a-8a57-e21f674e2956"/>
        <s v="7e7e7744-f086-4dbe-9e04-a4caac3a8035"/>
        <s v="82ab7c43-c03a-45f9-86f0-12ce4d9a4c82"/>
        <s v="591abc49-abd2-460f-8063-80cf9572de96"/>
        <s v="c09acb87-1b4e-4082-9bc0-ca27a67a8aa6"/>
        <s v="21d8b65f-5e6a-4a46-959b-cc5b3d441943"/>
        <s v="3ec00711-0d6d-401c-9a53-eb635969bf01"/>
        <s v="9baca35f-3bea-41cf-8484-7df63a2d0999"/>
        <s v="1162b94a-847c-4eb0-bc98-9b5186058f3d"/>
        <s v="6d31984c-27d7-4f47-a061-04e2872a4bd4"/>
        <s v="824e1563-703d-4883-9db5-7881b5a827ed"/>
        <s v="fc06efca-54a1-4363-a21b-604d3bddb99b"/>
        <s v="5f46b948-f004-4693-8e3a-f224f35c4a91"/>
        <s v="06810285-b929-42d1-8389-fbf04d3ee95a"/>
        <s v="9458d4ae-7a96-4ef8-843f-413a5dd9c908"/>
        <s v="e7febedb-583b-468a-ae2f-8d76fbfe9666"/>
        <s v="9e091912-70e9-4676-b4e8-c2e67c549c0c"/>
        <s v="1b0c07c9-5772-4465-bd72-c4a89e217a7e"/>
        <s v="cc170f88-f0a0-4422-8bde-a0b88a6fdece"/>
        <s v="0467af06-26ed-46b5-840d-d0820896f9df"/>
        <s v="ddf7fba0-fa1e-44c7-ba4d-5c7b28a31e83"/>
        <s v="968ccddd-beea-4529-9512-606024d44738"/>
        <s v="5f577407-8aeb-4317-8023-15e268d736ca"/>
        <s v="00317f02-e33e-4693-be1a-d0fe51dd7670"/>
        <s v="2b04299b-c864-492e-bb3e-c2bc4d32db6a"/>
        <s v="57e74ba9-f392-4e95-b8c2-51218993045f"/>
        <s v="0f0ef090-36f2-402d-b3b3-eb52dc1b453f"/>
        <s v="f6ae9d43-992e-4b2d-b5ec-e110cf8af324"/>
        <s v="7bfa7e47-0153-4fdd-b145-86aa431218c9"/>
        <s v="b69e2552-3cc2-4295-b31a-560ace702fd1"/>
        <s v="0d3c9bdd-90bd-4f48-b2f6-e60caaa1dfbe"/>
        <s v="c932f3d8-4a60-4507-ba82-3d556424c604"/>
        <s v="32df670d-b834-41d9-bd33-8b2f82525a7e"/>
        <s v="7d408093-006f-4ef3-bac6-8397b7017e37"/>
        <s v="be93fdbf-fa29-41a0-a1d4-fcbd5ac26123"/>
        <s v="8933c267-04ed-4d3f-9d83-dbc66bf68d28"/>
        <s v="330e83d0-880f-41b1-a815-aa210176dcb5"/>
        <s v="6d165d55-ecef-471f-b897-f4eafc032306"/>
        <s v="a7a2582f-5c67-4e23-bfbd-6c216904897e"/>
        <s v="1595effb-1601-4ca6-8b5e-4c4119815326"/>
        <s v="778609f4-9c11-454c-9aa7-2690615a2296"/>
        <s v="a74543f7-89ce-4d09-a11f-0bf15f55d09e"/>
        <s v="b771a646-8c36-4441-ba7a-5963e0302c95"/>
        <s v="53786fc8-9e0f-455b-b26b-4a9f7243f821"/>
        <s v="24a68511-5b72-42d8-a389-f74d1476d318"/>
        <s v="64749ff9-8452-4af8-800d-2c215851267a"/>
        <s v="5b513f59-9924-4109-9044-40672f9f6e90"/>
        <s v="14202725-292e-4634-9639-3bffe24e9d2a"/>
        <s v="cd8b8955-6ac7-429d-8844-efcee296eee0"/>
        <s v="cc136107-c924-4d3a-8e1f-7202ed92ae91"/>
        <s v="564ad1cb-adf3-4820-8c5c-ef2b1a56ffa9"/>
        <s v="410aaf09-0633-4a6f-a736-2d3f84f6a72b"/>
        <s v="5427ae2a-7647-4192-adfc-96a391b9f39c"/>
        <s v="796ef9f2-d6df-4d11-9c8b-02b265370f92"/>
        <s v="3e00e003-6a06-4c1f-b485-d81cda0a60bb"/>
        <s v="ceb87ddc-0381-4637-ac48-45afc26bcf29"/>
        <s v="82312f21-b679-4fad-b28f-326d296e9009"/>
        <s v="edbcc2c3-9912-42fd-8ca6-6bfe86d83c60"/>
        <s v="cbf3bbf6-aa78-4351-abb2-f1112fdeb6b9"/>
        <s v="d9f2e988-705a-4946-baaf-a40cbb2333f8"/>
        <s v="2878ad70-dc29-4bc0-aed6-9d8b7464a0ce"/>
        <s v="377294fd-d7b0-4ca5-896b-ad71e4e218d0"/>
        <s v="d274fb7b-6888-4991-9ed1-bd73a67d475d"/>
        <s v="3b8d2cf2-ce75-4349-96e1-077d054a2e49"/>
        <s v="cd47458e-2b23-4d07-8668-9f46649097ba"/>
        <s v="f2ec064a-c56c-4d3c-8fa0-d0ca8a77ed29"/>
        <s v="e049f86c-b9b0-499d-8bbf-36b4406c912e"/>
        <s v="0a9269dd-9dea-4976-9b12-c33016ff05e0"/>
        <s v="b4f9dd05-e398-42a7-9381-3734fe892cdc"/>
        <s v="9f8f8feb-911e-4188-9271-1b673e92d1e6"/>
        <s v="557fce3d-a3ae-48f6-beeb-c74a77a25a53"/>
        <s v="acb4472c-f752-4cba-af9b-fc1036dfca41"/>
        <s v="e26c348a-e620-4b1b-9978-6c98c2d002cc"/>
        <s v="83fca6f2-aae6-4b48-855b-d5206e9ab56f"/>
        <s v="b74b08ef-0754-4083-8560-39fb23c8fd7d"/>
        <s v="79a7edf1-0889-43d1-b04f-e0084c79cb6f"/>
        <s v="460671d5-547c-484a-a1fd-1fcee12f8b69"/>
        <s v="bfe64314-6229-48c4-9649-0a9b3162854a"/>
        <s v="9707db7c-634b-4c06-83c5-9930ae17adf8"/>
        <s v="c37a30f4-9bb5-4342-8139-6aafad2173d7"/>
        <s v="28d13724-3aea-414f-b47a-382c258b386a"/>
        <s v="a3bdc584-ae28-4be9-a1b8-4d7c6554a2b1"/>
        <s v="8cb87337-4fbb-4e5e-a542-84cd242a69b3"/>
        <s v="b7da1750-44a5-4aba-a9ac-a1397d483741"/>
        <s v="ae5815c9-db81-49a9-8902-12bc77e4f3f0"/>
        <s v="fe8d7137-4c20-4a57-95f5-5757543afde4"/>
        <s v="7d91fc52-b008-420a-8f6f-6a929c85d1ac"/>
        <s v="df7ecbf8-9419-4531-8638-0f3b18310911"/>
        <s v="09c5b9de-22dd-4f9c-9517-f269145792e6"/>
        <s v="3f92f29a-3bf2-4e81-9468-ebcc00bca0e1"/>
        <s v="1e72ee2f-6342-41d4-a3ed-7973f4e384dd"/>
        <s v="e0f90340-cb2b-4c24-a5ae-e05e599bd9f5"/>
        <s v="1790e5b4-c03b-4ddb-878a-8c9484878cc2"/>
        <s v="7023e166-fc73-46cc-a1b6-d33b2115631f"/>
        <s v="b7464c17-40dc-4e92-ae15-db1267faf511"/>
        <s v="f5b9bace-4303-4b73-a2e9-bda3600d5876"/>
        <s v="4da609b2-fac9-4a66-a32b-c7da3d8b1983"/>
        <s v="58593bed-667b-4883-a75c-2fdda43da428"/>
        <s v="17502868-4e6b-4207-b882-e363102591d7"/>
        <s v="75c10883-fceb-49de-bb22-abad29088a1e"/>
        <s v="0859eb87-e570-4ae0-adff-b5b7da257d43"/>
        <s v="5772fa38-7b76-42ad-9409-f332b6924d58"/>
        <s v="c827365d-3e9e-477d-846d-2d41cafa7831"/>
        <s v="eb5949de-6196-4aa0-8bcf-af387ace2c9f"/>
        <s v="29cceb78-82d9-4c7a-9644-113d892259ed"/>
        <s v="10b1872c-73d1-43ff-8003-5cb953240c3d"/>
        <s v="a7244756-f27c-4246-a203-0cbdeb5aecaf"/>
        <s v="1a095078-fd5c-48b9-af19-8ff2b4be3d0e"/>
        <s v="711722ab-c8ba-44fd-9a54-cf178da1264c"/>
        <s v="1e22c949-cbb1-47c3-982c-8248948a8472"/>
        <s v="9773ffe6-0b4c-44b4-a2ba-53ee78fcd483"/>
        <s v="b932a7a5-68ee-4cd7-9ccd-611a43155dfd"/>
        <s v="7329ce63-0a4e-43ee-84fd-eff83e236f38"/>
        <s v="61525cd3-cf72-405b-aff8-b750049db723"/>
        <s v="128125cb-4414-46ab-afe1-67aedee05bc7"/>
        <s v="519b08a8-4ff4-4ef1-955b-4df2d792b5ac"/>
        <s v="3748be5b-efc1-4e28-829a-3dcc1358dbfd"/>
        <s v="dafd5127-9d1b-406e-a9ef-6096caa054c7"/>
        <s v="f4d41263-4bc2-4e2e-aafb-cbed56a458e3"/>
        <s v="0d7a3cf0-3e29-4dac-a2ed-04c830e001e3"/>
        <s v="495bd54a-c7c8-4f0c-ae38-0ae789c670dd"/>
        <s v="59c1ff83-ec9f-4cf4-9e7d-53003b9a6fbb"/>
        <s v="54de8821-c09d-4323-bfdd-15ed27a861e8"/>
        <s v="cbeee821-5b4a-4c3a-a104-a1bd5ac19597"/>
        <s v="4021c4c6-6117-42d4-ad4c-e96c2ee79582"/>
        <s v="5451c013-4562-4cfb-b345-8294ef295d46"/>
        <s v="739b1350-fe43-458b-937e-ea72bc6bff04"/>
        <s v="03211096-a8b7-4163-a390-b2bbb97be681"/>
        <s v="a03fe3d3-2b04-40fc-8795-4f2672ee2c1e"/>
        <s v="b12324c9-1941-4383-9e4c-9a8683ad5fb4"/>
        <s v="55760dba-53d3-482b-99b3-e17e0751fdc3"/>
        <s v="08a809f0-ae15-486c-ac5e-a2d4640a23ec"/>
        <s v="39757e66-328a-49fc-9464-08d5c337ddb2"/>
        <s v="31e0e72d-c282-485f-86cc-fc8b0e5542a1"/>
        <s v="663d44fc-6640-44fa-abf6-824d894644fd"/>
        <s v="7d4b1695-6f1c-4f17-acf1-9f41c3154517"/>
        <s v="e53e1abd-46c3-4047-acd2-d99f9b7e6055"/>
        <s v="21f18ea0-568a-4358-8d1a-11fe7114c38b"/>
        <s v="e9b6e489-c947-4441-851b-e7ffd63fc9d2"/>
        <s v="d989fa53-2626-490a-b2f3-3a54eb250c56"/>
        <s v="c4d3c47d-1f28-4b03-a2b6-3132324a9971"/>
        <s v="a8ff270f-c362-4d42-9cc2-b1bbcf842e08"/>
        <s v="916ed577-4cb6-41fd-bd60-956dd1d818ab"/>
        <s v="e26fb9f1-9989-4862-8a2a-aed8db55c43e"/>
        <s v="012a8888-6c49-4f5c-aeaf-f4c713018e5f"/>
        <s v="01582535-26c7-41dc-979f-a19c285ae197"/>
        <s v="bb13bd6a-3b8f-49a3-83d9-680ccae8ff7e"/>
        <s v="e59b8307-2aa1-4a34-8a64-b612adfd4ced"/>
        <s v="f60bc030-ee0a-4a30-991d-7814f8448800"/>
        <s v="0e9c5280-1538-428d-85b6-2ee6c54ccc11"/>
        <s v="b1ea3735-7b2c-40ab-bdcf-320dcca05b40"/>
        <s v="117dd912-36cd-4258-8793-cbe45926d461"/>
        <s v="a71ff010-eb12-4248-994c-e91dd5a73f3d"/>
        <s v="14516beb-e63e-417f-b978-e175b6f588b9"/>
        <s v="1b2b1d90-ad4a-422f-8bd2-fc59caa54632"/>
        <s v="cc6928c4-d3ce-486a-bb90-45dfd2afb0d6"/>
        <s v="b208038f-c287-4d66-9bd6-209dd80c113f"/>
        <s v="08736c7d-d5ff-4848-afb3-3a2977ef5a26"/>
        <s v="3d472bf4-07a3-4a12-8db9-72995bae8d1b"/>
        <s v="7f673678-1a22-4e30-a329-0e7ec332144b"/>
        <s v="9a67866a-fdcf-4b93-abbc-275c58dd7693"/>
        <s v="b51cd6e3-9d9a-40b4-9681-1d1ebc4ee0d8"/>
        <s v="a54ff67a-a68c-46ca-9451-a48a04dbd7ba"/>
        <s v="1a702b06-354f-4e61-8c71-b9f2b48b486e"/>
        <s v="f6b8aeb7-2143-41e9-85e9-f76d91035f69"/>
        <s v="eadd4a01-fd61-480b-b15c-b83708996077"/>
        <s v="daf703ec-b3b2-447d-8a0c-f55b4ec6265d"/>
        <s v="7a75eb3a-ef88-4b07-9771-0b96e0e958ee"/>
        <s v="7177b471-35ef-403f-a603-4565f13f8e3f"/>
        <s v="bbdb5812-a9e9-496a-a7f8-636f78adafe0"/>
        <s v="dec65b59-2bf6-407d-b68a-a730253b1e08"/>
        <s v="3cc0084c-81b3-4269-8b7f-f2843481fa54"/>
        <s v="9780beae-7db0-409f-aa03-46d566f422d4"/>
        <s v="8ccab5d7-ca16-4f87-a6ee-1376beb3c7eb"/>
        <s v="0e80a663-0859-475b-a024-a24051f75f48"/>
        <s v="cc490f5e-38df-4a60-83c9-b244ace708d2"/>
        <s v="7f590354-48e4-4cd4-ad5a-f1d3e6a3bdba"/>
        <s v="39914df8-5761-4825-8094-a06781ec4fe5"/>
        <s v="3b3315a9-e5f3-4d2e-8542-41ef95f74e49"/>
        <s v="46005096-3840-4e29-8861-9518419f40b5"/>
        <s v="b87f2cc7-91c2-4a8e-bfea-585a7b28c108"/>
        <s v="d2cb3059-7cc0-4445-8dbb-3164da0d2bac"/>
        <s v="4639eebe-fbb3-40a4-9c72-41c15b68e92a"/>
        <s v="49836fe6-0db3-4127-b69d-76af730b0cae"/>
        <s v="eb2d7d5a-a5b0-4f8c-a854-0527b79e8dbb"/>
        <s v="ae5fe1a6-3277-4dd7-ac3f-366e8c022993"/>
        <s v="8054a3db-d783-4927-93e6-5611ad32604b"/>
        <s v="c2c2414c-ac3b-4abb-b5a8-ffdc7da2245e"/>
        <s v="cce11a12-bdc9-47fe-b9ad-c46eaed613c1"/>
        <s v="f47ba0cd-0ae9-4131-8a8c-27e6ca8aaff3"/>
        <s v="8cad06e1-737f-4465-900f-ab398ff929df"/>
        <s v="bb95d4b8-9090-4939-869c-ef8a37ba2682"/>
        <s v="32096c03-438b-41dc-bce7-b2ad8d8165d8"/>
        <s v="42dc5ea8-66fa-4eca-a2d1-d8674a5a05a2"/>
        <s v="5dc81a17-995c-4b20-b17d-9311a0165221"/>
        <s v="466dbf02-5138-4559-b124-bfa90ac92f9b"/>
        <s v="3af00996-393f-40e7-bd40-43377812537e"/>
        <s v="f7097f21-cc09-4f1b-b0e0-38aeb240b9f4"/>
        <s v="f077917f-992e-41bf-b02b-ee8916ad5799"/>
        <s v="61c4bb55-4505-4672-ac8d-b58723491b1d"/>
        <s v="8efc8066-79bb-409a-afd5-f2922b27c737"/>
        <s v="0eb8d709-8685-45ac-a241-4b0204aca02c"/>
        <s v="40d1854d-99a0-4881-90d7-a4d7ee9d6698"/>
        <s v="6f91b939-fd11-43ce-83f0-e1e7824209f9"/>
        <s v="27128618-7d3c-4491-9606-b97aeb29e8cb"/>
        <s v="5a3e4a5c-431d-4843-bb7c-67f0b99d3041"/>
        <s v="6d7768cf-1925-48eb-904c-11727c28e320"/>
        <s v="a93a6e0d-820c-461d-bb9e-fb81e6d986ed"/>
        <s v="3d59d41d-4a00-4877-a9f9-3e62e49fbbc8"/>
        <s v="5e9a6509-ec8c-4b4c-aaf2-aa46b351498f"/>
        <s v="a1163b0d-b49c-4055-8219-6ae9a48298e8"/>
        <s v="54435ec2-7921-4e8b-aeaa-24a849b584c8"/>
        <s v="a00be581-d179-4a70-8526-f7ac85f04f8a"/>
        <s v="b9dc702b-8616-4c45-8e45-b597b7b7215f"/>
        <s v="a12deee0-5909-4de3-ab9d-bd11832f0fe0"/>
        <s v="add31859-56b1-4c67-be18-de895aca6a72"/>
        <s v="effbc452-2f52-47ea-acce-9ff7e34c3f54"/>
        <s v="131d743b-e120-4f0d-adbd-d53f1d877d30"/>
        <s v="628fd7d2-c7c1-4717-b197-0b41e109e854"/>
        <s v="457eaab1-fac4-41d8-a986-b78f2e2e089b"/>
        <s v="09f9bf7d-9789-4d31-bde6-4833ed3a44ff"/>
        <s v="8b3f2f32-fbec-424f-8ad2-fa33157362c2"/>
        <s v="e679e138-c394-4fd8-85ec-bebfbb5e8751"/>
        <s v="76b3f4d7-cbf4-4bd5-ae91-5b63e44ad9fc"/>
        <s v="070eca27-bd31-44fd-9915-eeb68152d084"/>
        <s v="c116b581-e01a-4f74-b17f-c94f452efa01"/>
        <s v="c15808c3-fb04-4154-9337-85d04b4c2b0e"/>
        <s v="6d7645b5-3c7e-4d65-bef4-383f43ce89f7"/>
        <s v="ab75da92-d4d7-45e3-9c42-10a3a6b5a89c"/>
        <s v="0f1c6f09-42e7-461f-bd25-926980132c47"/>
        <s v="1fb969ed-e346-4407-9ce9-55cf39753dfa"/>
        <s v="fa800c21-63f7-45bd-b5ec-f05f26a8ce98"/>
        <s v="adbf8d2c-2c95-439c-bf08-11007b9947c5"/>
        <s v="bfcd298d-e1b6-4846-9a92-d92d8f568e43"/>
        <s v="08368354-cf8b-4826-a35e-eaeca79ce6c9"/>
        <s v="e79cc047-2fc6-499c-8ddb-ad0ce23cac9e"/>
        <s v="fcf31c35-b81b-4e41-80bc-809c2592cc0d"/>
        <s v="77680b2a-d07e-41eb-bc7a-44c386ad51a5"/>
        <s v="152e3e1c-5e94-4e4b-aff9-fe4432a1f570"/>
        <s v="0abad2b4-f254-4431-bd4f-e4acecc9da76"/>
        <s v="06e3fc97-b121-45f6-8537-c4fe2ee35763"/>
        <s v="e842d7a1-c009-4e5b-ac3b-142ed6a47483"/>
        <s v="79ca13f7-f6d1-44f2-be52-3f400e2f4da2"/>
        <s v="c0daf751-e61c-4325-81dc-e2b0ef658ea6"/>
        <s v="799e55eb-ead4-4d7c-b984-14eb5c3189e5"/>
        <s v="021b836c-2d97-4623-89f6-a2e3f0746b54"/>
        <s v="65ebe84d-bbfc-4dc4-b402-3ec55b549b9d"/>
        <s v="4cae128d-a472-45bc-b830-dbd5da8d8197"/>
        <s v="b64a8d35-a90b-4294-b3d8-d83f05bede18"/>
        <s v="9247cb1d-7678-4573-a87a-1d36213a046b"/>
        <s v="61902a8f-2c24-419b-9771-6c2c34a7291b"/>
        <s v="284e801c-02e1-49ff-867d-698c84b200f1"/>
        <s v="85477674-7fd5-4141-b8c6-a92bb2c53ce9"/>
        <s v="9192719a-bb3c-431a-b5dd-2cddc5113407"/>
        <s v="21880434-3ec9-4585-8981-268dfc93afed"/>
        <s v="4a496b1d-cec0-4303-9014-07f5db0c4efe"/>
        <s v="7cfab955-3c61-4ff4-a96a-0f0a6c45bc44"/>
        <s v="4a936dc3-6e09-464e-9cb6-18e6c356f205"/>
        <s v="1cc79f4b-4f26-4d4a-8065-0be9176a4cf6"/>
        <s v="166eabde-c84e-4097-b44e-f42eaf58701c"/>
        <s v="52074f3e-f35a-4407-9dbb-29de05d8d076"/>
        <s v="ef99560f-ed55-4509-afd3-857bdeaeacf0"/>
        <s v="ac75474a-7ab9-4170-8fb7-e9e271e8b0ba"/>
        <s v="0f0dc55b-d8a6-4fb3-b188-e02fda8a9f5c"/>
        <s v="682e9771-e069-4147-867c-11e116b1b043"/>
        <s v="7406932b-ba1b-40b9-8de9-9485aec1a962"/>
        <s v="b244499f-6bf4-4c73-a910-76dc687468bf"/>
        <s v="d8a79542-0b6c-44dc-afd2-056ee2d98c5c"/>
        <s v="50c68752-8e09-4604-a1d9-e0cb2378daf1"/>
        <s v="211eb315-859b-45e1-874b-409dcde1707c"/>
        <s v="e608c568-9afc-4d4c-94d6-31a3d25c25b7"/>
        <s v="803e7bc1-6bff-4ceb-b46b-bf1761483fa9"/>
        <s v="4a030507-2c62-478a-b03f-eaa0543beef1"/>
        <s v="bcbce44d-fcbf-4a36-b2fb-e6335c7f55d5"/>
        <s v="4db78273-d0a8-4fdb-b8c1-07b5fe6a2ad5"/>
        <s v="011dc483-98ec-4e64-a186-cd1f230762b5"/>
        <s v="b2b3a8d0-d5dc-4b88-905c-2a36d414355e"/>
        <s v="57f74ccd-f7e9-4c34-adcd-d242ab85d2fd"/>
        <s v="3ff1ab86-d0f1-4ef5-adc6-a263b85bfee1"/>
        <s v="904372b5-92a0-4b8f-8803-bafef3dd9708"/>
        <s v="e4452cb0-b689-4b24-9248-4ffc5e79bc97"/>
        <s v="87549c6b-d31a-417a-9d43-c933318c2807"/>
        <s v="ac4c63c3-ba8c-4f9e-b9a8-35fc125600d4"/>
        <s v="3fc7d8a3-f296-4f39-a1f9-c620c9384c76"/>
        <s v="260d1608-b609-4239-bd47-d420bd78ec8a"/>
        <s v="fad57114-1942-4e5e-9837-deaf7286c48d"/>
        <s v="bc380211-88c6-4daf-90a7-5c5c71901f1d"/>
        <s v="8a5992dc-9b3c-4863-a5a3-65cbf22c5f1c"/>
        <s v="88507fa4-bf72-4bc8-9287-72cc374c4493"/>
        <s v="95f5688a-778e-4373-b417-b2182156239b"/>
        <s v="0a0b29da-7959-4e59-8c71-978f936be97f"/>
        <s v="054035f4-df35-42f2-befa-df6d990aaa40"/>
        <s v="11234322-cb93-4089-9b99-d777bc47a25e"/>
        <s v="5b812590-af1c-425b-a97e-61de7e9234c1"/>
        <s v="8795c337-8024-492a-8c5a-2771777e1ae9"/>
        <s v="72665d8f-ce8d-4999-bec6-8823a2c0dbf8"/>
        <s v="122574f3-d3f1-4efa-b7a7-5902a5e8c6d9"/>
        <s v="3a2e8fa7-9e85-4611-a43b-5a1fe853fc1d"/>
        <s v="deedc5a7-f771-43a4-b211-9d671707c46f"/>
        <s v="0f86d4b0-8346-431f-b4c1-846c55a87ef7"/>
        <s v="f697cf66-fa5d-4a6c-bdf5-4d6c15911e70"/>
        <s v="eaf40269-a4a7-4662-9682-311277c7d17b"/>
        <s v="8ffd5f69-5de6-4679-8a55-1f73dd59c232"/>
        <s v="84d4f858-6338-42a7-a201-df3ff3db443c"/>
        <s v="61faaa50-71d2-49b6-ad0e-2f58c2164afb"/>
        <s v="e1048ea0-d983-4a71-aacc-edfbb0721afc"/>
        <s v="7f4a0c1b-67e3-4fb3-bbcd-b5c7f5cc8d70"/>
        <s v="66fa551e-ed6d-4f95-8145-724e012c3ea1"/>
        <s v="13f7e0ab-d89e-4643-9265-af8f6a81ecb8"/>
        <s v="ffb5c350-8c57-47d6-b08a-929790c21ce9"/>
        <s v="d45fa4a5-ba09-43e5-adf7-300d73692cc3"/>
        <s v="2d350bb5-9ac8-49d3-8d3e-cdad429390cb"/>
        <s v="a85ca09d-fb20-4d72-9c27-bc5a0c46d292"/>
        <s v="be7ad150-c671-4184-b474-862c86ffc2ac"/>
        <s v="65e6f01c-8f47-4465-9c4c-abd147c549a1"/>
        <s v="cafa3725-1d89-46a4-a976-4a8a73691b1b"/>
        <s v="42f427ea-6e0f-4bee-8d7d-56a7ea4c24c5"/>
        <s v="f65b068a-e88d-4173-b9c3-e6893cc24b13"/>
        <s v="7d36efbd-e230-4099-9363-0c00e3d8dd9b"/>
        <s v="e81dacfe-1715-4189-acda-22f25b8b604f"/>
        <s v="13c06607-a523-406e-b5c4-69f051ca5cb5"/>
        <s v="e0b762f7-ca74-43ff-8707-7e9b6bb144d9"/>
        <s v="4bb079cb-70db-4b64-a032-f1190a35ae88"/>
        <s v="ef58b3bb-06f9-4d1d-8d3b-5e4c91f9daee"/>
        <s v="e71520d1-4e7f-4ce9-bfd3-8206746e5bf4"/>
        <s v="5fbcf3ef-6c77-4b25-a99b-040e26e7ef93"/>
        <s v="a93fe006-ef04-445b-b6c2-fb22b91f6eca"/>
        <s v="7760c167-fb11-4261-87fe-f05a2976390e"/>
        <s v="976c7c8b-11d4-4cd8-9bf4-eb4f5d3ccd07"/>
        <s v="63d6ff12-6a87-4f16-b061-3acd4503c05c"/>
        <s v="c20f8442-d0e3-4ca3-a8cc-8713d2d6837f"/>
        <s v="7c27b424-3210-4c5b-a344-9a7f0827f68c"/>
        <s v="1c3ee87a-e8fa-4e4b-962f-f29bde729a07"/>
        <s v="d080f1da-9b89-4b42-aef9-5736899d54b9"/>
        <s v="a893244e-025a-422c-99d8-324d7b199ef4"/>
        <s v="ae1e8061-206b-4b79-a7ab-5199f89a2e26"/>
        <s v="9581f626-d42e-477b-8f8a-e3c98ed0a516"/>
        <s v="93af56e8-6ea1-4cd6-be54-78d135ac173d"/>
        <s v="40391f9c-86da-4139-ab29-e6a258bfb72c"/>
        <s v="abadf628-18a3-479a-87b6-019b033b6f25"/>
        <s v="7e35be7d-f9f9-4e6f-867a-da75fb0d817e"/>
        <s v="57521e7b-63e8-4a4e-ab5d-7dad9d41116a"/>
        <s v="94da5734-de0e-45a2-b726-19a658ed9afa"/>
        <s v="d5357428-1c72-4d4b-89b6-1301e3af64f8"/>
        <s v="820daf6f-191b-42ce-b8ea-121c1f6f4c5e"/>
        <s v="2e356bf0-9763-41d3-9317-6d126d27ee56"/>
        <s v="74d487cd-ae46-48de-85b4-29b08806c273"/>
        <s v="01742d94-9879-49a2-951d-f1f771b176e1"/>
        <s v="8333d9b4-82ef-4013-84eb-df0e31a7a99e"/>
        <s v="8e0e4155-c10a-435c-b873-81dc335fb92d"/>
        <s v="d0051552-815f-463d-ada6-8400f7efe5e0"/>
        <s v="9a494ed1-6201-46c5-8fe8-44e216b1d126"/>
        <s v="a1b15c39-4434-45e0-8c30-26fb432bc882"/>
        <s v="116ebed8-a35e-4dfe-874a-875b8ea51ba2"/>
        <s v="7afa921a-5a72-4610-a353-bcb86eff78a7"/>
        <s v="a2357d96-fdd3-4ffc-aad3-559cf8dac6e0"/>
        <s v="ca1a65a6-8ac7-4ee1-9e7c-1d47cfb6744a"/>
        <s v="9a0f0a0c-3fa1-40e7-8a52-bbb26ef07012"/>
        <s v="ff0bf539-076d-483a-b0f8-0bbc7aa66268"/>
        <s v="703f5595-0277-47c1-a5f7-cae8c90846c0"/>
        <s v="aa97e3f9-808a-4b79-bcfd-4cb2b83df468"/>
        <s v="98408884-4ee8-488f-a474-265ad2b96ab7"/>
        <s v="1d833d69-5a67-46c1-8678-b65e3d2fc837"/>
        <s v="08e22db9-1e16-454a-a103-be05b692a496"/>
        <s v="0de12325-d47b-4d79-b2de-4d5ef29895cb"/>
        <s v="10d54dff-2d36-4151-a90d-1aa07b1f75d6"/>
        <s v="43bba1ba-f7e3-4049-86c7-68ee3561de46"/>
        <s v="c1b51ea5-71de-449f-b980-e8c5e59b5e19"/>
        <s v="9b39a494-bf94-4981-a4dc-3458a6b9e377"/>
        <s v="6c1bdb66-dc74-4f9a-975e-2ccfb66eee5c"/>
        <s v="b1d1769c-a0ee-42b4-94f9-bc8e5e56fd0b"/>
        <s v="13586abe-bf05-4f26-ab7b-079262b6cd00"/>
        <s v="279dd256-c271-4454-a3c1-398eba05baad"/>
        <s v="17eadbac-d687-4fb0-90f1-056c8a02f67e"/>
        <s v="b7abc643-182f-42a1-8687-449893700bc6"/>
        <s v="ef666eed-26c7-4e1d-8138-27d4bd92e537"/>
        <s v="9bd4af3c-6c30-477f-ac3d-0b7bac295761"/>
        <s v="d8ee8d9b-43cd-4a7e-aef9-66daaa780b9b"/>
        <s v="f2f11d7e-863d-490d-9ac6-bd25a8a9e4f6"/>
        <s v="1e9d074c-31dc-4b92-a875-2fe9562e2bee"/>
        <s v="bb7618b3-5c56-45af-a882-c8f1d0776f1e"/>
        <s v="a698cfe1-8bdc-4502-8f35-a1673f64d8ad"/>
        <s v="268159e9-b1ee-4b63-a3a2-a7ca6bc36603"/>
        <s v="3768370d-119b-45ba-9c31-0d54c02e924c"/>
        <s v="f43c8a09-ff77-43bf-835e-11728a3b4ded"/>
        <s v="09ac9ebf-7382-445a-837f-9823d70ae5ad"/>
        <s v="0266325d-35c7-448c-ad85-b86070627579"/>
        <s v="52a6cb17-229c-487a-98bc-dae40cc8c68b"/>
        <s v="7bb3948b-3880-4aaf-812e-f23e54623cdd"/>
        <s v="97439d6d-a648-4e4a-bb5b-7f6986dc298c"/>
        <s v="1c8f6302-53e5-4072-bfc1-8b94a485d230"/>
        <s v="16e351ca-1249-439d-aabe-53a5c8c35175"/>
        <s v="eec98a81-4b20-4d49-a5d5-9c76faf40c41"/>
        <s v="c4c474b0-eb4a-45cc-a042-0570e7866fcb"/>
        <s v="5520a98e-5c6e-446b-a48a-02f5a94c0162"/>
        <s v="f8607940-26bc-4d7f-8aa8-00a52fe5424c"/>
        <s v="b9389378-74a4-4d65-865b-39a9029bceac"/>
        <s v="bb0b84f9-75f5-493a-bf4d-5dd8d9e7cd55"/>
        <s v="b59f77e4-54e3-4f19-8fe7-9397ff0e80f1"/>
        <s v="3f57eef6-f5f2-41b7-9d53-a8bfe347a47a"/>
        <s v="6dedb7af-d8fa-4569-a15c-bcb8292ba524"/>
        <s v="24cd8611-6a13-4c50-84f5-f098e047567c"/>
        <s v="cb359e73-d830-44ce-b130-6edbf7816270"/>
        <s v="f29f0591-1dd1-472d-a194-61493168c9a5"/>
        <s v="2a96b8ba-95fd-46b9-9def-425cf15f5cc3"/>
        <s v="d0f5fe6a-a609-443e-90f9-4c4665308b42"/>
        <s v="8fc65695-899e-46bc-afaf-2eaae2b5d86d"/>
        <s v="6783b116-f940-449f-b4dc-8190fc03ca65"/>
        <s v="d44b2fd3-2e20-4932-bd3f-6742c96718ce"/>
        <s v="a2ce2940-059a-4426-88d5-6db45f0fd864"/>
        <s v="9bd04b0a-6d3a-4171-8b5b-bdcd52aa061e"/>
        <s v="d5576b79-0aaa-437b-b07b-b2c718e46dd6"/>
        <s v="cd147f8c-d679-40fe-bc05-8afd58dc070e"/>
        <s v="d256961b-b873-41c3-904b-4f6cd1992f24"/>
        <s v="c606d4ec-0d09-4db2-9b8f-5bf312d672ec"/>
        <s v="237dccce-b0d1-4120-ba09-0b3906c3f29d"/>
        <s v="8ebe74e0-1dcc-4393-99e4-999022c72270"/>
        <s v="8be7a3af-a942-435b-bc26-2ce71acf2924"/>
        <s v="01229c95-2032-4bc1-b3f9-5efe58f006bf"/>
        <s v="7aea6053-908a-4ec9-80d8-c6615f79615f"/>
        <s v="aff3c147-71c0-4c86-be51-a9f8c386e2a2"/>
        <s v="fb726998-5954-47be-b0df-664da625806b"/>
        <s v="7bfbeeb8-beed-4823-a094-4e9562420776"/>
        <s v="94e48fc5-ec0f-4067-8d84-b0fce92e6429"/>
        <s v="e3866b32-03f0-4345-b7f2-791c7515b68c"/>
        <s v="a7707eac-b043-452c-b8c8-4a203dc1fff4"/>
        <s v="bed2cb1b-83b8-44e4-999b-2e0e342d51b0"/>
        <s v="49870cba-eead-4743-a6c7-66338de6e8cf"/>
        <s v="0f36d41d-a7c6-477a-ae17-a75a2fa478a5"/>
        <s v="529d775e-6c04-4727-bca7-afac23ba17fb"/>
        <s v="8047d28a-61aa-4835-a72d-6ad096debbda"/>
        <s v="7c3e76b3-98a2-4202-95f6-90613efe160f"/>
        <s v="2ccc834f-67e8-47e6-a4f6-b180d8bd2e1a"/>
        <s v="0dc2dc74-89e3-4d4d-a6b1-9549245ca81d"/>
        <s v="e95970ca-757a-44ff-b258-9187d21998e3"/>
        <s v="d5925ac5-6210-44a5-9dfa-1c5dbccf041e"/>
        <s v="38913b33-880d-444c-821e-5dd21968573f"/>
        <s v="fd66894a-e674-4ac7-9024-6bd65a7de147"/>
        <s v="f6e4d3f2-2a73-4229-9bc2-3ca0f6d59e0d"/>
        <s v="8173d12a-586a-48d2-b3ce-7a8a907d0990"/>
        <s v="be2d611b-c921-4645-acbe-76f5d57c265a"/>
        <s v="58989547-bf57-4806-a475-539cee38e1b3"/>
        <s v="47876bba-e0f5-47eb-9d62-e890ae2f4def"/>
        <s v="6c9d6aa3-e85a-4d8f-a3f6-5c641f3aa711"/>
        <s v="56b0d688-5660-4754-b2d2-30438adc1768"/>
        <s v="332fc0db-eb4a-4b0c-8cf3-04edb8b6acf6"/>
        <s v="085aa66e-b44a-4559-be2e-d2b03c814413"/>
        <s v="3e069b11-c2a8-48b6-96f4-590992134bde"/>
        <s v="7e7a6e2a-0a8c-487f-99e7-91f17c5e8f70"/>
        <s v="a15c0289-b91d-4aca-9292-718caa4805f8"/>
        <s v="2e917b27-74c4-4c38-89ba-15ac12447525"/>
        <s v="5f5c1a9d-bfd9-4ca6-a8f4-6f8819324269"/>
        <s v="4bd26f33-9ab4-4ccc-8073-480c789f6578"/>
        <s v="2861b998-4ae8-4887-a9b7-cb240deec38a"/>
        <s v="bc6fdf27-c546-4e98-8240-81f261318e9e"/>
        <s v="624ce4f8-2ec6-4f33-b3ad-ba3f6b781dd5"/>
        <s v="4869d112-6ede-4b0f-833f-70da091fcfb6"/>
        <s v="27ccd5c9-1b3b-4358-a5ec-966ed42754d5"/>
        <s v="f51f3634-fcc6-43be-9afe-5c5479ba2f10"/>
        <s v="c0882bcb-704d-4b35-8fc1-3e9ef00a1836"/>
        <s v="5691e71e-decb-40c4-a805-3eefdf975361"/>
        <s v="af85d1f8-b13d-4e07-8213-1b9eec54c8b9"/>
        <s v="525764a9-20f3-4a1c-b476-336377d74b7e"/>
        <s v="f4187492-4474-4e48-9567-5c23b929715b"/>
        <s v="9de1db22-4c96-4111-b519-56e1ba9316b1"/>
        <s v="59bb1a00-5ecc-4374-a11b-779c316eacbe"/>
        <s v="ec1878fa-1be2-458c-9a84-18f6179b067c"/>
        <s v="07b0fe1b-9d8d-46d8-a58d-741f3e9a6a0e"/>
        <s v="fe212968-4d9a-4362-93c2-715227392e98"/>
        <s v="0d244816-10a0-4a88-a1af-b70aa5f729b8"/>
        <s v="186fba82-113e-4995-a7c2-a7891dfa5aef"/>
        <s v="ce3474fb-d862-444c-b5dc-bfc9df049669"/>
        <s v="d7edbd4c-c706-4ab0-934a-7acca735fb83"/>
        <s v="7e260bc8-6a78-48fe-b675-38c095f4bd03"/>
        <s v="562f5f0c-ef02-4fe3-807c-eadf3059b8df"/>
        <s v="11274cac-19f8-4b39-b80a-3037bd172a15"/>
        <s v="102fbf7e-6088-4c8d-a1f9-185c433e8c73"/>
        <s v="40f8e8b0-ba86-468c-ad7c-fdba3613f06f"/>
        <s v="028781bf-e37f-466f-af5e-76d686cd1ed7"/>
        <s v="d18c6b45-39b4-4603-bc9c-097371735050"/>
        <s v="8ec2848a-ed9a-4c1e-b270-8870add85cc2"/>
        <s v="f265b363-66ba-408f-bc60-c25f53ff5b5c"/>
        <s v="62828f22-e977-4d54-a363-d293fcec5f1e"/>
        <s v="d11b5021-0ec4-4fba-b9fc-2a498914f0bb"/>
        <s v="f7935411-0fd0-4ceb-9a63-bee02826825b"/>
        <s v="d139d29a-0435-47c6-9e1b-9ebd57275cd7"/>
        <s v="d7e1bdf6-a622-4b97-8d5b-daf128cf6bb3"/>
        <s v="781c0654-9d26-4a7e-ac1f-59d35637ca46"/>
        <s v="5f1183e9-9994-4439-bb36-abe0f158c827"/>
        <s v="c63a924d-0d52-4aaa-83de-dc1fcdaf166a"/>
        <s v="7114e8d0-2796-4d27-b518-e45fc29384b4"/>
        <s v="d064a8f5-caa5-4680-b245-4baecae7dcac"/>
        <s v="d993430e-e0d5-4edd-8a60-99a10f3779c3"/>
        <s v="fa52d71f-3f05-4308-90f3-fc4e76780b69"/>
        <s v="d9fceb49-9829-41e6-b371-b8aa95a63376"/>
        <s v="88a22455-7fa5-4efb-9744-e07911937301"/>
        <s v="0fed9169-0cec-46c3-9ccd-48260d67c23b"/>
        <s v="e19113bc-6ec5-4329-bcb7-25017e06eef1"/>
        <s v="46ff18b8-74cd-4b10-88c1-8498bbadd038"/>
        <s v="9cca46fb-1e0c-415e-bb98-4190467ec1f4"/>
        <s v="d445a9b9-5591-4d44-a448-1461ed85a86e"/>
        <s v="4d54f59b-430c-4946-af0e-d5d1b5ede240"/>
        <s v="e46b4798-4f17-4f81-a522-9953e23219d8"/>
        <s v="7fc2993d-66ed-4f53-8897-5eb97ad7054a"/>
        <s v="23de31bc-8077-4f18-9c80-1d82000b857a"/>
        <s v="aabf448f-bade-4432-8f39-5e82df4fdcb0"/>
        <s v="fd57d5ec-e372-4966-a230-5f1b094c8b0c"/>
        <s v="7c082cd4-50b1-4dba-80f9-18ac93fb9c01"/>
        <s v="8f24f715-54d4-496c-b51b-f2cbe1d89b4b"/>
        <s v="421b3e2e-c4dc-4100-9614-8469a1ac283e"/>
        <s v="ae21fc07-1e7b-4933-add8-dc688363ccc3"/>
        <s v="f571bdc6-7eb1-441e-88c2-826fa13fd2f6"/>
        <s v="ece65ebd-5fe8-4427-8da5-b5bbe45c577e"/>
        <s v="b5e1cba6-31ae-4e56-8792-1310b8ad326c"/>
        <s v="0b05849d-77e6-4ecf-a9f4-5d9fca551f13"/>
        <s v="a51bc122-9221-4724-b8a1-a7c8531b026e"/>
        <s v="3fc5897b-e096-4b04-9a7b-466f480ec69d"/>
        <s v="a12373e6-6264-4253-aec6-2b4ea03df561"/>
        <s v="1ffacbf8-9f92-4b96-841f-bdd959d7159d"/>
        <s v="cf704d21-b0ad-4fa3-8b27-4537d4994afb"/>
        <s v="4d60291a-4c82-4f0d-b7f6-c8fe7670ad52"/>
        <s v="9cbe694a-0ed7-4f1d-95c0-f586aa067d8f"/>
        <s v="5fee1ae5-aacc-4cac-9f28-98df6072ca3a"/>
        <s v="516ad7fa-b711-4cdc-a6b0-3ea1f3a00700"/>
        <s v="87453b91-df39-43ec-b185-3ad2941c9062"/>
        <s v="80784c23-7209-43ed-bca0-b71f85e91ccf"/>
        <s v="6bbc08db-b895-46a0-8116-9b8b08da2dd7"/>
        <s v="a01ad39a-0fd3-46e5-bc03-d90799545cc8"/>
        <s v="ba29df4e-b537-42fd-b4b7-6cb78cc125d7"/>
        <s v="c4c74c57-1d35-4d72-a143-313d37e71b17"/>
        <s v="2ed6934a-5670-4881-b85d-25d030ef8501"/>
        <s v="b9d8274b-42a6-4870-b775-3e2cb95621eb"/>
        <s v="f9fad74e-e8cc-4526-96cc-2faf835e9708"/>
        <s v="63dc3c44-64c9-4143-9be0-f2243fe346de"/>
        <s v="651d36c9-2e3c-4076-8a77-ee9789511a8e"/>
        <s v="dd7bba6e-806b-414b-80eb-14b0f3863828"/>
        <s v="bb568698-b725-48d7-8f04-a963eb2e6b51"/>
        <s v="8c31081c-337c-4890-8ddc-57eec97c15ec"/>
        <s v="c73f3d36-316d-4b4e-8242-380804c519b6"/>
        <s v="63200145-e42a-477f-b5fe-cc201885a2e4"/>
        <s v="417be5a0-33ad-4ca8-9b17-1d0aa919ece6"/>
        <s v="84139a43-057d-4c62-8e8d-cd4e11cbbe6d"/>
        <s v="55e15e5e-a9a8-4faa-9db9-6d6f76844166"/>
        <s v="ec178b1e-2030-431d-9832-0e4fe5f97f71"/>
        <s v="515ef68f-8d4b-4dcc-8166-2b98a5fdbb43"/>
        <s v="8776f6f3-ba30-4985-8ead-6feb5688bc18"/>
        <s v="db01cdbd-bf08-4d4f-9f54-3bcbf34ca586"/>
        <s v="ff782a7c-c166-4052-ac2a-2f466ff4e795"/>
        <s v="95d09145-f14a-464b-97b9-ac8a8f5dc71f"/>
        <s v="6531ff79-ccfb-4cb4-9e8a-e6b4dc7fe22a"/>
        <s v="0b73cf03-3bfa-41a3-a129-21478246b7dc"/>
        <s v="2450881f-90f6-4ef8-8de4-b14c20600508"/>
        <s v="0fb5532a-fb19-4313-93fa-e59dcda53dcf"/>
        <s v="59333c22-26b6-4e2c-b7e7-89136a9208f8"/>
        <s v="8f003990-7fa2-45e4-ae80-1affad0ee11d"/>
        <s v="c457f1e8-231a-45d7-950d-82d31a8d00cd"/>
        <s v="cb56f6ef-0473-4a0c-af37-654f77db5769"/>
        <s v="15db5418-9b23-44f1-be25-34eeb43fd821"/>
        <s v="a0b4c25e-d0f2-45da-97c0-6d5a97ce25cc"/>
        <s v="0f0f349e-94b8-4571-b8bc-2218ecc5f5d9"/>
        <s v="497a132d-fccf-4a28-8238-b31d1807c543"/>
        <s v="44970269-1ed7-4f55-ae96-89b310f49f8d"/>
        <s v="79794f8f-9342-41b1-9bf0-1ce1ce4a9be4"/>
        <s v="0ddc4a1a-6eac-4485-bac9-35ef7429941f"/>
        <s v="08e51e6c-4103-474f-bbcc-580bc6591d6f"/>
        <s v="cf785588-bc68-46ee-aec7-92d341f786db"/>
        <s v="bc442950-9646-41f4-8b02-36e0d8802a86"/>
        <s v="2d046b57-25da-47ec-adc0-77e7763802e5"/>
        <s v="692f0394-f49c-4675-944a-dc969815634f"/>
        <s v="59ed2c25-e370-44d0-a27f-d54428246726"/>
        <s v="07775358-fa9a-4947-b4bb-2e99e944f03d"/>
        <s v="1b233bfd-232b-4576-9167-348ec5c1ad1c"/>
        <s v="5e034128-bae4-4b9a-a72f-897b14f53330"/>
        <s v="3332a12e-f9e2-44cf-a1b4-218b62688d1a"/>
        <s v="82fbbbd6-16b5-4593-8aea-51c4679101ff"/>
        <s v="94e91d72-9d7a-4216-8c19-58bea4cf4356"/>
        <s v="a2589c2f-f2ef-47e8-a67a-335ba8a5ffc8"/>
        <s v="db242f34-12cc-400a-942d-d38ed31ea5c7"/>
        <s v="c6f4315e-d738-48eb-bb2e-e8143ce988e2"/>
        <s v="0e64172a-5842-4abb-977d-dc1fd52fde9d"/>
        <s v="e82e693b-27ee-47ce-ba81-1482fd91e66b"/>
        <s v="8fcfa989-67a4-4e04-a4de-9997dc566fb5"/>
        <s v="e66eabe5-746a-405f-bc85-be45303bddb0"/>
        <s v="f6d4dad5-c9ed-43dd-a789-c5fd19cc2760"/>
        <s v="a01bdea7-69c5-489f-895d-f7d3344ffa89"/>
        <s v="436c8c86-2355-4548-b5d2-5823f6a5be33"/>
        <s v="f2f3a4f5-c472-40e8-a879-171fb0290dc8"/>
        <s v="6118b2dd-a18e-49bd-8acc-9dcfc3eebe66"/>
        <s v="33e00bc6-f70e-4156-8c32-ad706f5c400c"/>
        <s v="48213bcb-cbeb-4112-a55c-8710cb96d8c2"/>
        <s v="0016dcad-2bb8-4d11-bc19-82aa285f4ddd"/>
        <s v="d7acb131-5d68-4299-ade2-65024ebfb4d6"/>
        <s v="060fcd74-239f-4ba6-8def-fd0214677060"/>
        <s v="d6dc9366-8429-4619-b53a-603aa2470134"/>
        <s v="140751c1-3ff4-4a73-adaa-a96b0cce7854"/>
        <s v="bf1fbdc8-8400-47e4-a546-438b65c7cc9d"/>
        <s v="f76e06ac-4098-42b6-a34a-3d035bbbff44"/>
        <s v="df363abf-1384-41a0-bf2d-7d9a21e7eb62"/>
        <s v="22445719-214f-4525-8e83-e09355b89525"/>
        <s v="41df62f5-27cd-451e-a8c6-2c3d0f283937"/>
        <s v="c25ffe9e-850d-432f-a0be-2c832941e5d4"/>
        <s v="bea61084-27ae-4076-85f4-c66efe735764"/>
        <s v="a7da8385-d951-4fca-bebe-8433d76c6d69"/>
        <s v="d7373979-4959-46fd-b355-4082e25ecff7"/>
        <s v="0716afd9-8e97-4a4a-9c07-6b3c447ed548"/>
        <s v="359a7267-ba61-49e2-b1a5-20f1e28707fe"/>
        <s v="f6aa6412-83b9-4ae6-a5cf-9d821f6ed6e6"/>
        <s v="7adef0de-700e-4be9-a079-351abfc5bef6"/>
        <s v="35d662c4-df3d-487b-9d93-6bb88817dd37"/>
        <s v="3b5d73a7-91ee-4a41-ad6e-edc8e762ef40"/>
        <s v="03174b5c-560b-4752-adce-728b0603b995"/>
        <s v="64f12294-8cf7-4567-a1ce-4a9b4fa9cb37"/>
        <s v="e3b816ea-cf77-475e-945e-832ca7699bea"/>
        <s v="5f57942e-f215-4653-a14d-478159cc0184"/>
        <s v="7826aa36-9d0b-475e-9dde-b36c01219fdf"/>
        <s v="c1e9e137-cc92-403f-af85-c6f1de17eeba"/>
        <s v="60e5dd3f-66bc-4a3e-b7e7-cb5a5427dc63"/>
        <s v="1c21879d-cc4f-4162-98c2-df96c3b8b237"/>
        <s v="721a50de-92a2-41ba-b1da-fbd769d99856"/>
        <s v="f9ab90a6-6bc7-4fb7-bf1a-fd51770dce68"/>
        <s v="f817a4bd-eefb-498b-8427-47d9f76697fc"/>
        <s v="dbd627f3-477a-4f24-b915-a562d151f3a3"/>
        <s v="da1adb72-36d1-4e1e-a991-fe0788227345"/>
        <s v="a18768e3-b289-4d14-acc5-1ba33d9722ae"/>
        <s v="ea248bf1-8380-46eb-a8d5-857f506c3644"/>
        <s v="0a3700ef-3d0a-4be2-b152-e6412be07aba"/>
        <s v="380e7477-0801-4e31-9cae-93380a8f1f78"/>
        <s v="fa6244d4-7be8-4bc7-a7f3-07d4653676b5"/>
        <s v="7e888de9-9ddd-466f-a65e-e3b8c7f4ea7e"/>
        <s v="d70603e9-0947-4036-acf5-70dfffec580f"/>
        <s v="dcde175a-ee58-4095-a3d8-f0588451d1b4"/>
        <s v="29286c80-5d6b-4c3f-ab11-8afe0c46dcf3"/>
        <s v="832623c1-ec3d-4001-9765-81eccd06e6ea"/>
        <s v="c579e09c-065c-465a-aade-7097a11c403d"/>
        <s v="5f92963d-a384-4fba-a73b-ffe07a137303"/>
        <s v="a597564a-15bb-4ddc-b654-7cfd5547b60d"/>
        <s v="209da2e4-26f0-4979-b682-aee719805673"/>
        <s v="8da9e531-b95d-44c6-a232-51da8439d4d5"/>
        <s v="43385e4f-049e-496a-91ba-11c061c6c28a"/>
        <s v="037d7fd3-339e-427a-8e12-17698ff37b14"/>
        <s v="dfe84d6e-e431-449f-91a7-8bc909b83e12"/>
        <s v="aeb9943c-3051-4ef6-a5b0-a988e80f93d1"/>
        <s v="6a475d4a-ffa6-4770-81a4-d8b7d12ec79f"/>
        <s v="6c2c2f2f-6c91-4d4b-84f0-ffa888137022"/>
        <s v="57c8a33d-b8ee-4ef8-b56d-a169575df6fa"/>
        <s v="356357ff-75a5-43a7-b7bb-9e1e91c3364d"/>
        <s v="799ff7be-7603-4d85-ba3d-fe4fa1542cd5"/>
        <s v="6c7e4c81-f6fc-4462-9ef1-6a06f0052c9f"/>
        <s v="8b99b317-bea0-47da-9e57-a94f7aa7cf7b"/>
        <s v="55344165-95eb-4282-ba37-5d608364f61d"/>
        <s v="9312489c-54eb-4cf8-82b2-22439bc763f4"/>
        <s v="21f1f3d8-c2a0-4b2e-a46d-cf33332aa5db"/>
        <s v="539a644a-32e2-438b-a646-9f4f7561038d"/>
        <s v="9a6593da-f61a-4ecd-9e50-1753b484cb93"/>
        <s v="0e3a09a9-c7f5-414e-bcf2-e24dc2d1c43a"/>
        <s v="6c371944-107b-436a-aee2-16be7dcb9648"/>
        <s v="ec60975c-3aa0-4247-86be-437e7bf0b6f7"/>
        <s v="e1690f0c-0eef-4020-a3f1-34f56b413aae"/>
        <s v="3ad7529b-3cb5-4940-bf17-de24affbb16c"/>
        <s v="f51fd459-3300-4b3c-a657-57a71fb151e5"/>
        <s v="98f65926-5584-4f18-9932-89cd67bf926a"/>
        <s v="6ccb29dd-d20a-4cbb-83e5-836d6e2b957b"/>
        <s v="5e754f6f-9d5d-4c72-99f1-4d1d3d6a5fd2"/>
        <s v="930aa384-92e0-4afc-8571-2032e5179238"/>
        <s v="2cca530d-38ab-495e-b448-11d2c4bbc39e"/>
        <s v="8aa51b3b-6e83-4f11-b134-15183dec2e1d"/>
        <s v="f121c8bb-b38c-4ae7-953a-aea4281eba0d"/>
        <s v="608eb332-310b-4f17-a076-d949188acecb"/>
        <s v="083b2ba9-ba9b-48bc-97d7-905da9c58622"/>
        <s v="19ee750d-25fe-47f2-b2c7-72113ccfcc1c"/>
        <s v="7a61f4e3-ec3f-4321-83bf-a4b2c6dddc15"/>
        <s v="5b2b2728-12ae-47f5-8f08-1c1a879cbca1"/>
        <s v="3068825d-0918-4473-8cc4-7b3b1e324461"/>
        <s v="738b4434-3288-4253-9698-a3305f163b9d"/>
        <s v="2a0ecec9-5818-43f0-b752-899c3e11f330"/>
        <s v="d0bdcf42-c485-4d3c-b913-7feb77e73a67"/>
        <s v="7f1886b6-745e-407c-b16d-706adc764d4e"/>
        <s v="bc8d9949-519f-454a-ba33-d7598ca3e77b"/>
        <s v="7de97763-4725-4666-a696-070e0d736bbe"/>
        <s v="9e5779b7-afd6-4e89-98d9-c8f1e528ba56"/>
        <s v="ad7da44b-c463-403b-b788-94d7589c7738"/>
        <s v="387d7d35-6421-4a82-9680-b5f9a5f3fadc"/>
        <s v="dd06d759-99ab-4e13-8be6-ef9ef2af57f2"/>
        <s v="c2d839ed-e508-491e-89b3-0774e77485fd"/>
        <s v="5dce53a5-75e7-4094-bde9-cc2d4644ecaf"/>
        <s v="d3f5fa91-a9de-440f-9b3d-f8303a35c565"/>
        <s v="addbcc56-afdd-4b09-a93b-9a4de7c63cb5"/>
        <s v="0b183d1e-04f9-4bb5-be15-0b5677f37397"/>
        <s v="6b1b1108-b067-439b-b5b9-1583819345eb"/>
        <s v="7fe63cce-5d1b-4331-90b8-9f68d1c90555"/>
        <s v="e4848a4c-80de-4e42-8e47-ad09f21cfab8"/>
        <s v="03e14c52-583e-498c-8a49-18cefc484de5"/>
        <s v="bc818545-fe6c-4adb-b4c0-80ba1de7e0d2"/>
        <s v="0e619d25-2c75-4a65-bc96-d2fb27d125a1"/>
        <s v="e6e9eeba-f3a8-4dd3-bc60-4f70dca1edf1"/>
        <s v="9cfbcf1d-0088-4678-b3a9-a75bc727b07b"/>
        <s v="23d99e8b-49c1-44f9-877f-737e8bc6bbfa"/>
        <s v="4a5125dd-e646-4600-a6b6-1dfb25eaadf1"/>
        <s v="7e5b5808-f267-409c-930b-c8bd7906c34d"/>
        <s v="61d12b9b-771b-4d8b-9a96-c75e9b894ed7"/>
        <s v="21ff5530-9927-4b1c-baa4-eadbb285eed3"/>
        <s v="4e53fbdd-a5dc-4263-ba4a-eddfd91422b4"/>
        <s v="9cd7cb7a-95c0-4f11-aae1-0d97eefad28e"/>
        <s v="f059faee-3f04-4a57-aaa1-21eafd694541"/>
        <s v="b99c599f-7b39-43d4-a979-76fe3e1e957a"/>
        <s v="d212f04d-4491-4da6-b15e-137d45e2d31e"/>
        <s v="e9da9d7d-c6aa-4d60-8806-e213c0305da7"/>
        <s v="3ebd1318-9934-45c3-8184-806aab49b1a0"/>
        <s v="1e0fc3df-fbfa-4aa9-a4b0-e8f142094f86"/>
        <s v="6ace62d2-8b61-4691-8528-75a1f3d0538d"/>
        <s v="1bd31bfb-c793-4b7b-ae2d-60e109916751"/>
        <s v="d63ef771-a36a-49ed-b924-a543e28793d6"/>
        <s v="70077ee7-3e42-4cb5-b29d-bf3110858f15"/>
        <s v="dd35b979-86e2-4eaa-a88f-fb4c99d711f9"/>
        <s v="223a9bf0-ae50-493a-ac59-91ea47e57344"/>
        <s v="d3fd3164-8874-4d3e-8a91-1e3050690a88"/>
        <s v="1122f667-1912-4f3d-b056-d8c6a7e760d0"/>
        <s v="3c9d32f9-4985-4a50-9bc4-27c0e8c7c0e1"/>
        <s v="86a2d7f5-5432-41a2-b46d-87e8611f8a53"/>
        <s v="1a08711a-07fe-4591-90df-236802c206f6"/>
        <s v="83141b32-bed0-4d50-879d-4b7dedc82de1"/>
        <s v="f8cffc4e-cb70-47c0-933f-02002329b5fc"/>
        <s v="76858aa3-10ab-49f6-93e5-c0cff7ec0eb0"/>
        <s v="5ec0c6be-0769-4c29-a8a7-d28046ec0f98"/>
        <s v="850a5742-4f2b-46d3-8900-9e79fdf2bcc7"/>
        <s v="22282359-3a37-4275-9195-4f21478e46cb"/>
        <s v="e0897923-b6f7-4145-a5f7-2e61fab09d3e"/>
        <s v="1af7b5db-830c-4140-a491-2a21193a828f"/>
        <s v="2fb46893-1cc1-47b4-af32-eb7a94280e87"/>
        <s v="8255ce54-e586-4c7a-9e7e-52547a97fbfa"/>
        <s v="663bcc75-794d-44d4-b4cd-e70be72b373a"/>
        <s v="1ec59f4d-47d6-40a2-8dd7-fa68e92f9f65"/>
        <s v="c6645a59-89b5-4013-bafb-61b794731b13"/>
        <s v="719acdec-761b-4670-861e-0aaa1be78525"/>
        <s v="a63e0cbe-a2be-4b1f-8b30-4a7f9927e997"/>
        <s v="e5b7d994-4a39-403c-9467-a4839acb4744"/>
        <s v="bb0732f7-c3c2-4b92-8a62-a9eea2ef5bb7"/>
        <s v="09d6b048-8978-463d-8453-053bfd7a6b90"/>
        <s v="e3024918-cf1d-4167-b6bd-59846688600a"/>
        <s v="3ce5e52d-4488-4ab8-a418-117b1d6dd082"/>
        <s v="8a4c9492-a0af-4e09-a722-5b3bc954e167"/>
        <s v="d5acc3af-ac9d-4244-a199-5fcf393d7ae0"/>
        <s v="07953513-eecd-461c-a3c3-93e3e2b02583"/>
        <s v="34d54c14-b692-4edb-946e-8ce376e1eea6"/>
        <s v="aa0b81e7-9b5f-4c10-baf5-c1af75eed473"/>
        <s v="a59c73c5-803a-4f99-8911-633c8fef35fd"/>
        <s v="47498460-7c69-4c88-869a-03904afb66b3"/>
        <s v="2b58cfcc-e58b-4032-8329-621ceb911297"/>
        <s v="fdd6238e-ad67-4691-8279-e1ff0a6c5e0c"/>
        <s v="7df68ccd-9969-455b-b4d8-bd18ea9a280f"/>
        <s v="f58ea27a-e69b-47ff-be1d-8ed87e235698"/>
        <s v="3ec80cc0-8ee5-4c61-ab9f-fd83698fb7f7"/>
        <s v="8ea8d269-c055-4c14-bb3c-90374432e771"/>
        <s v="64881d1e-79cf-4c34-b5a2-d11afdb54cd5"/>
        <s v="46d0493a-795b-46cc-a514-cfd2062b7b0c"/>
        <s v="baf3d562-2c37-434f-8c9a-493499a8c649"/>
        <s v="2c9a564c-7995-4224-a4d9-d7e87f1865b4"/>
        <s v="c0f06bd7-6f82-4e35-9027-e00750c330f7"/>
        <s v="2e061d62-1c63-48f6-a3ac-dc1bfb7122f6"/>
        <s v="0805772c-5adc-4a7c-ba83-70515d6021a7"/>
        <s v="6ccc6b5e-dae5-4bbe-8a07-653e5aba9c1b"/>
        <s v="c192d7e1-6fb0-4d36-a874-204fcca96590"/>
        <s v="a2127e1a-1cca-4859-bcf1-8dfde78aa52e"/>
        <s v="b55241e6-3d3f-4aa7-8dd7-34999ffe64b3"/>
        <s v="76c20294-d01d-4a91-ae58-dfb2744d77f4"/>
        <s v="f4931861-52d5-43cb-8930-d732fec76067"/>
        <s v="d0278644-6fdf-4a9d-a98e-cb2d8c5e59e2"/>
        <s v="540b10dc-1c9e-4987-ab98-6d819e8893d9"/>
        <s v="298cc2a4-9982-4a9d-bebe-83103f1afe7b"/>
        <s v="8e9e718f-596d-4c02-b397-ddc1f184ee11"/>
        <s v="a347626d-a29b-4967-afd2-28b4d669071f"/>
        <s v="62b568c4-d516-4426-9fb6-ed640be111e9"/>
        <s v="0207c743-674c-4cab-98d0-d1226a8437df"/>
        <s v="96b6ae51-dfb8-48cb-9784-2e3d1b3e55a1"/>
        <s v="6516f5f9-ff20-4f2c-8673-87cbaef87756"/>
        <s v="62ffc63f-aa31-4333-badc-b773a820fe60"/>
        <s v="77f26f14-3b98-4d58-a8e9-99982507d6a4"/>
        <s v="21d3f56a-5f0e-4b3e-9976-c624de4309d6"/>
        <s v="17a09c64-1de7-4527-9937-bfc14d3cd9ee"/>
        <s v="fb447094-ebee-4d91-92c1-2db71c5e639c"/>
        <s v="a28bb57e-a17c-4e5a-8e6b-b46bf1e743bf"/>
        <s v="46c803c4-f20d-4183-984e-442e99a76c85"/>
        <s v="defca104-922f-4137-9104-be67f86fb983"/>
        <s v="7d558e99-f560-4460-99a5-b7c88c417fdc"/>
        <s v="ebf06d1f-5708-4611-ab03-e81e056e1b6a"/>
        <s v="229b205f-c099-4bff-81d3-e9230222592b"/>
        <s v="5294178c-841b-44d4-8a88-906ab4b94f40"/>
        <s v="e420d9d3-2dc8-4744-8799-1d36a0e9285f"/>
        <s v="d19dc7cc-cad8-464b-8dcc-d323f11dac53"/>
        <s v="f1dffc33-ab53-4bee-90e9-625a701aa20f"/>
        <s v="8523d50c-2651-4456-a9a6-6a25803c0628"/>
        <s v="2ab8b4e0-a44a-46e8-93e7-f5f8c3dbc3af"/>
        <s v="d3fe713d-d091-4949-a739-07e4ccbe9994"/>
        <s v="3bd661df-4fd6-4ff3-a757-69e4afb34004"/>
        <s v="269874d1-1918-4352-8dff-abc9c3895304"/>
        <s v="4915cb79-7e9f-47c4-bdcc-f452f73840af"/>
        <s v="0e6f9365-7f5a-4e17-a8fd-296accbdbc2c"/>
        <s v="0027ce24-4b3c-4a25-b8f7-ceb05391b444"/>
        <s v="5e279ce4-af09-4af5-bd55-7555e703dd90"/>
        <s v="a0b75a09-11c6-4b5c-96a5-3ccce858f191"/>
        <s v="179dcc0b-7320-4426-9ab3-820ca7d9ae8e"/>
        <s v="1e2505a4-6b43-433d-b99b-09406acd3a80"/>
        <s v="08d75037-7586-4a76-84b7-903511cb2005"/>
        <s v="8e69bd61-b0d4-45e7-860e-1598491762c6"/>
        <s v="2a12c5fc-f160-4ecb-9170-ff24774a3a33"/>
        <s v="a0870d54-c8e2-4def-8153-1d1ba11dbd0d"/>
        <s v="9343281d-efa7-41d0-91b9-3ae8200d6cd1"/>
        <s v="6dd83856-b41d-48d3-9ea8-d1e210791e54"/>
        <s v="1ea68ef9-11c1-490c-8305-f12d0226cab9"/>
        <s v="21a0da77-7240-403e-93ff-5a502783292c"/>
        <s v="cfaa4bc4-c7e8-45e7-8522-2a9511c12607"/>
        <s v="e4788628-c457-4245-8432-cd417fcbd252"/>
        <s v="1c226125-cfd2-4e3f-b994-0f4ee72a5e62"/>
        <s v="e61d6ffc-0ff3-434d-9a46-b8085f6f4429"/>
        <s v="1cfee198-c538-44ff-8615-cc284158da6f"/>
        <s v="cbd9460f-ace8-42a3-8903-3543e10e31d2"/>
        <s v="541de33b-62aa-4b61-b21a-f8050ab51f69"/>
        <s v="e6d7e668-9d68-418f-bfed-85b08a21dcfb"/>
        <s v="106f4613-ccee-493c-b8e0-6d39018bd6ac"/>
        <s v="4d3c0d32-9479-4b7b-a3aa-c7182e28d193"/>
        <s v="ddf7b713-9cb9-450e-bd21-bb7ea4d0c85f"/>
        <s v="e1e7c9f0-7535-406a-97ba-af02846a414a"/>
        <s v="0f05f297-73ea-44c4-beac-f4c8f33b87b4"/>
        <s v="eb9b5916-83ef-46ec-a8a5-462b6809dfc8"/>
        <s v="3b3f72ca-d527-443c-887b-abbd3b14a001"/>
        <s v="0aa432db-d71c-4ced-93c6-b54f59cb8ed2"/>
        <s v="9415ee2c-b54f-4faf-b45b-c3b9978f106a"/>
        <s v="bee9b9f9-d980-4b9f-8c16-b8607cdc29dd"/>
        <s v="7765a98e-365f-47a8-8873-15ee4d967a0b"/>
        <s v="8faeefe8-d2d7-4d67-9637-2c6387ce70ac"/>
        <s v="321224bc-6a05-48fa-a332-1c66d8d9da80"/>
        <s v="e7e2d1db-a980-46c8-b3c8-48fff8014951"/>
        <m/>
      </sharedItems>
    </cacheField>
    <cacheField name="CustomerID" numFmtId="0">
      <sharedItems containsBlank="1" count="180">
        <s v="a1d952b9-ce77-46c9-a08b-f5e62486096f"/>
        <s v="cd62b435-4559-412b-9fab-4861a5e87475"/>
        <s v="4566cff3-db65-43ab-ad22-32107433a602"/>
        <s v="7f9f3881-a8b6-4a15-a3fb-4f4b7e75e1ef"/>
        <s v="596febf3-9aa4-4c07-88ab-f7662388e50c"/>
        <s v="c672d9cb-b74b-48ea-bff3-908ff9790632"/>
        <s v="dc375298-2549-4d89-b752-d6e8f0a711af"/>
        <s v="8ee81a10-51c3-4f56-82b0-d43244ecdac5"/>
        <s v="6eb9203d-35ae-4742-bb1e-911b16965477"/>
        <s v="bf0d6160-338f-4cad-8123-0b5a6763b192"/>
        <s v="ac0e0eee-04eb-4dd6-bb52-3a2a532b62c0"/>
        <s v="515d5080-8725-4a15-b600-a0b1c9761f39"/>
        <s v="706c67be-d537-4a97-a512-10ad15c1beab"/>
        <s v="ad067b85-adea-4786-937c-1a59ae64c758"/>
        <s v="8052c4aa-8c4b-40e1-8d5a-42ba025adeab"/>
        <s v="d245da28-64dc-4d8d-9d1f-6f6cab7abb85"/>
        <s v="80ff4978-481e-4e21-a861-b4000fe3f313"/>
        <s v="42b384aa-9070-4b83-bab4-3a016da0af40"/>
        <s v="0aca39d0-c1c9-450c-bf56-9026ed1420ff"/>
        <s v="fcd08e95-2618-4bc4-9e53-a3a4cfe97e16"/>
        <s v="e5136dae-ecfe-4abb-b3a4-001763a5476d"/>
        <s v="2415b3cd-cfae-45da-8003-dbdff47fd89a"/>
        <s v="e9525326-8155-4e1c-8bad-6dbc399bf3d5"/>
        <s v="18405ad5-5712-4ee4-84fd-9e682ad3d596"/>
        <s v="4c71f46b-aec0-4b76-92c5-beda74b59e13"/>
        <s v="46b05e89-d7cb-4f00-b96e-d51b9a70ecce"/>
        <s v="38a0f956-bf9f-4066-9543-2f0922289e42"/>
        <s v="d0a990c4-15fd-4ee7-88b1-26b69ecef9d4"/>
        <s v="b35be8e1-a9c3-4905-9242-bcf0b3d07df3"/>
        <s v="b774a7f6-a645-42e3-af7c-6068867968ca"/>
        <s v="192ea761-a820-472a-9594-b3c2a01a1835"/>
        <s v="ee0a4bac-514b-47e0-afb3-0643ed31e7c0"/>
        <s v="bbccecfa-0eaa-433d-81c9-1fddba3792d4"/>
        <s v="d4b53af0-6d06-4d0e-b2e1-b84de575e1c5"/>
        <s v="46ee2157-1365-44f4-ae66-e5855c3779d7"/>
        <s v="1959deb4-14ea-44cb-b5a1-915e9485b006"/>
        <s v="25d277dc-e796-4782-a7ef-3e1d2fb59188"/>
        <s v="3027e6f9-f285-49fb-93a7-932583102f1b"/>
        <s v="3aea3b26-9c7a-481d-890c-b9ebb40358e0"/>
        <s v="d84a5bc4-af44-4030-9e24-d893b6f6e966"/>
        <s v="5a321a8f-6274-40e8-9713-8874fd99aead"/>
        <s v="67435b8b-3191-4bd1-a143-8adb5039c70e"/>
        <s v="5bc65488-8997-4f0b-9f7c-98bc3c2a66cd"/>
        <s v="ff2be8d4-a06b-4c87-aefa-1f4020ebc0e2"/>
        <s v="a5b44644-9115-4b94-8d6d-8175d596d31b"/>
        <s v="0e025dda-dcfd-4349-b45d-994ba4664cb3"/>
        <s v="b11cf2ec-3100-4d17-a509-d5ba99e147c6"/>
        <s v="4661672e-252f-4297-8b05-ba339f296241"/>
        <s v="01ab4a79-7c36-4fc3-93b9-758bf5edbd00"/>
        <s v="4cabc9cc-62ac-4315-b6e9-04f78686e8bc"/>
        <s v="8553b15d-bab5-41e2-b9b1-3bd3e2a7c51e"/>
        <s v="f2a42f47-7f93-4bc5-b36d-c22c2119cfc8"/>
        <s v="51eea915-f3d3-4c3e-bd09-f158a0f182e6"/>
        <s v="0a5d8031-b5a7-4be4-8d5d-63b70f2a67c7"/>
        <s v="19ffd59d-83b2-472d-9e3b-ccd79ee91948"/>
        <s v="b03346eb-bbe7-454a-b978-171587166852"/>
        <s v="328bf3ea-9e06-4458-a2dc-3c2a20859be6"/>
        <s v="9051e3a4-0947-48c0-8269-308d42f6e1b9"/>
        <s v="0b59de48-4882-496e-98d7-a9053fe88877"/>
        <s v="db3b8c62-9cf3-448b-8e67-f6f0ad9cc3a6"/>
        <s v="006bc8ad-8e59-4d6f-ab38-475a02a0f952"/>
        <s v="398f59e7-8729-418f-842b-906d50b156af"/>
        <s v="a639b900-853e-4471-8a0f-813641a7ce0d"/>
        <s v="977445c9-8561-4c71-a03c-ddf327b5dfc2"/>
        <s v="ab8adb41-5ec5-456d-a160-a01affd920c4"/>
        <s v="b7fd8f42-7477-4c83-ba82-eee3bef2f366"/>
        <s v="08d68de0-766e-42e3-9145-4e030f805140"/>
        <s v="345e77bf-4a44-4a4c-9b4f-6f5e21e39e8b"/>
        <s v="9db836e7-e5e0-4351-8a5a-37c082766fba"/>
        <s v="39a1dc8b-c9b4-4377-adb6-8eeef78d8192"/>
        <s v="989bc40e-1776-4ea5-892f-d2df497c2608"/>
        <s v="2de84462-b349-47ab-8700-7ac254586db9"/>
        <s v="e5040015-0c1f-4b62-84e4-6278ebfb2842"/>
        <s v="31bd87f8-56a1-4ab6-9a7a-716e19ec8220"/>
        <s v="d8777a29-8b63-48a6-a4d9-c01a69272eec"/>
        <s v="c773874c-adcd-4b21-9d8f-f72f3b3cb8eb"/>
        <s v="b622a6ab-2b36-4a67-852a-fde60311ee7a"/>
        <s v="b59d7d54-a0b9-4ba0-b2c4-b174c9f051a9"/>
        <s v="98aaf1ba-6661-4a2c-b7de-6279ddc742ec"/>
        <s v="ac87ecf7-ef9d-4b6a-84c4-7c1aa07eab14"/>
        <s v="f3e60614-ba5e-441d-8f9e-2cb6807bfc3d"/>
        <s v="0fd8caf3-b00a-4f52-89be-fcd2047e17af"/>
        <s v="f8ab10b6-1108-4ae2-a2b8-7cbdfe993a9a"/>
        <s v="de9fa385-96c7-41cd-abef-e3d99580386d"/>
        <s v="c3232819-ef1b-4fb8-b82c-17c22911890b"/>
        <s v="e2aa2c64-4a88-4261-aa00-886749b824c4"/>
        <s v="0518f99d-8e5b-496f-9c0b-34f0c24ee49f"/>
        <s v="77b39e16-0010-44c1-a42e-e0de5a0cb50d"/>
        <s v="eae2fd4d-7639-4f54-9b71-82d5e220e66d"/>
        <s v="65ab0594-c227-4bd9-816a-bd5336c91223"/>
        <s v="cbe5ec95-f2db-4399-a450-5e95b5f0f896"/>
        <s v="c13a8e8b-51e7-45ae-a58b-980416349ae2"/>
        <s v="72a4aaac-fd44-42a1-aaee-3e6c7cf309e2"/>
        <s v="98c0cbd2-519c-4482-9c03-a77f16684ab1"/>
        <s v="8b37abf3-4486-4871-8768-982d137116f5"/>
        <s v="d960ec46-3288-4c77-82ec-5c1304a160ee"/>
        <s v="843aafe5-e9e0-4c4e-88c3-15357434a75d"/>
        <s v="0e24031a-213b-4ac8-aba2-ca13e1134488"/>
        <s v="55bc49dc-a542-49a5-ab7d-60463db9fb46"/>
        <s v="66d3d64f-ce87-4119-bed2-2ca019d60c79"/>
        <s v="23781516-59fe-4b3b-af71-4d6cb8a012ad"/>
        <s v="889b8d90-6fd7-4dc5-b0d7-6fdce37da4c0"/>
        <s v="2ccc1c6a-36c7-484e-b583-fadb4cca5349"/>
        <s v="9893a9d5-0732-4f1a-acfc-0dac56457425"/>
        <s v="4c618332-9d39-4e0c-8fbf-8175c6b0ada6"/>
        <s v="ab24814b-7040-40d8-aa14-9a6b0fb6eb74"/>
        <s v="3460476c-1d79-410d-a906-c55059d97e1a"/>
        <s v="be63b537-602b-468d-8f5b-44bec4d517db"/>
        <s v="582a03eb-4c34-43b2-a8d8-fe3086df23a6"/>
        <s v="4869e96e-be25-4854-963b-23f56ab1a019"/>
        <s v="20e6411f-80f4-4a23-96c8-2a3ed4fe55ea"/>
        <s v="3b45412d-606b-4a6b-a950-cf1cd25d6753"/>
        <s v="8a5c8184-d7b1-44a1-bb80-2b709969932b"/>
        <s v="868ce574-ced2-49c2-a90a-6e89e6640934"/>
        <s v="3c11da88-1574-43bc-aeeb-a3913d2c26e5"/>
        <s v="8938c721-fa93-4969-8ada-be352999c69d"/>
        <s v="18bce6d7-de06-47c3-87dc-67dc5c8ffe62"/>
        <s v="6a60908f-c782-4a70-9760-68affc310ed5"/>
        <s v="432f9bfc-4c2f-4748-850a-90f385eef86e"/>
        <s v="e148184e-9b3a-41eb-9b26-f33d7dfb4bb0"/>
        <s v="d2424460-2668-4f1e-83e2-02a03ace9731"/>
        <s v="af9b8d24-2164-442d-b5dc-df1ed7d5e4a1"/>
        <s v="7eb4763b-0f54-4e8d-aadf-e151e3a76463"/>
        <s v="0dbeb864-49cc-4ff3-9ccc-3edec157aba2"/>
        <s v="b08475ba-c996-423d-9837-a8cde0c0e7ca"/>
        <s v="5016da27-a92e-4a02-8c0d-ad1bc63a16c7"/>
        <s v="f77e8ca6-870a-4191-8a37-8f36802e1308"/>
        <s v="6484f72d-36e0-4b57-b749-fc901a112e94"/>
        <s v="3d58bd4f-cc87-4a5d-a258-08c862b2ad2f"/>
        <s v="41a9aaff-9207-4a6c-81cc-76310bcf0d31"/>
        <s v="15d97f4e-fe02-4142-91c2-832282eaa6a0"/>
        <s v="3331a694-770e-4359-8789-46845e585c39"/>
        <s v="cc8645a3-a19b-4915-9cc6-2dce14049120"/>
        <s v="944fb82a-0480-4a55-a4a2-abb2c61681a4"/>
        <s v="86883d26-3510-4b82-9fc7-da6d8a684b9c"/>
        <s v="ac27451b-fbb6-4628-b02c-7f0aea75116c"/>
        <s v="40ced29c-f517-4a8f-acaf-959ed0f3b156"/>
        <s v="060e33b3-e9ae-4899-a3d3-d742591d183b"/>
        <s v="980d0516-288c-4e8a-8672-b19b88808fed"/>
        <s v="d72c51fa-89a1-4147-99f4-2dcf892fdbcc"/>
        <s v="f5d6f135-f651-402f-b38d-c5ec051c1e28"/>
        <s v="31922566-0f17-4f1d-85c9-a5e5fc1d87a1"/>
        <s v="524e9631-7dc4-489e-94e2-7b12f7cbc615"/>
        <s v="82df6f1e-6e7d-40cd-aec0-e796f8f27a63"/>
        <s v="b6c1bc20-6980-4cbf-8df2-3a9ea48ff661"/>
        <s v="c303e6ca-9244-46d6-ab9b-c32577f8bbf5"/>
        <s v="836d1925-ab48-4775-b129-86ba759b8998"/>
        <s v="bb5d5299-436f-4cea-91b1-ab3f2d3f9922"/>
        <s v="39712a14-9e71-446c-8e09-483790702516"/>
        <s v="5aef6f06-ce0f-4b73-af6a-f098779ff3ec"/>
        <s v="0f41c0a7-d3d2-4c8e-830b-125e778728d7"/>
        <s v="977f6e20-4148-4311-b44a-c4a652506525"/>
        <s v="019d6740-e346-47b9-b042-acab3646d400"/>
        <s v="2839ee13-c4a8-495e-b522-7e1772610d15"/>
        <s v="76d8905a-bbc9-401c-84e7-fc20578996f0"/>
        <s v="9617f968-1a46-4d9a-bea3-fd528b32f34b"/>
        <s v="29486f10-bb43-41fd-81d6-04068a069c06"/>
        <s v="9a8ec59b-2f40-4e75-8cd4-c3e0b5428bff"/>
        <s v="c8cf6935-9874-4470-8efb-2aaaa4ea9763"/>
        <s v="a8baf97f-b8fe-4e51-bb9e-6f7782e358bb"/>
        <s v="1fab239d-794b-447f-8caf-a58c43886f2d"/>
        <s v="19ebe822-7b55-4146-9fbf-7f30a95fcc27"/>
        <s v="9f956bf5-3b88-4a3c-8cb4-d3f138bdf033"/>
        <s v="967b5e21-3557-4672-b9fa-1329548890df"/>
        <s v="5884e18b-6ffd-48ec-8569-4ff2a752247a"/>
        <s v="3a268118-56c7-4394-b063-93cb08e65aa2"/>
        <s v="06ea8b50-0535-4c29-bc28-ff3c7c4ba7b8"/>
        <s v="b295e870-f1a9-461d-93fd-c2f7f686e10e"/>
        <s v="fdfd6a26-e160-41ca-ba3d-6a74d52e433b"/>
        <s v="a569db7e-4e9f-449e-a108-c6eef0392bd1"/>
        <s v="100acc5d-dde2-4723-b7eb-57390df1b151"/>
        <s v="dcf6561b-99b3-4dac-b1dd-cd6551f6fa4a"/>
        <s v="5091fa4c-90c5-48d0-be59-79c47d280076"/>
        <s v="f2c0e0eb-40eb-4222-8690-7ced016ccce6"/>
        <s v="3e698ca1-661f-444e-b442-838fa7c4206a"/>
        <s v="9344a240-6a23-4dd8-8923-3e0b87c3c65e"/>
        <s v="242bc6b4-f80a-4862-be57-8aaf71ffca12"/>
        <s v="96550947-3cf0-4e17-816e-b347b9a4b83a"/>
        <s v="249d97d0-0ab8-4111-a9b9-484f09733111"/>
        <m/>
      </sharedItems>
    </cacheField>
    <cacheField name="Product category" numFmtId="0">
      <sharedItems containsBlank="1" count="6">
        <s v="Accessories"/>
        <s v="Grinders &amp; Brewers"/>
        <s v="Subscriptions"/>
        <s v="Merchandise"/>
        <s v="Consumables"/>
        <m/>
      </sharedItems>
    </cacheField>
    <cacheField name="ProductName" numFmtId="0">
      <sharedItems containsBlank="1" count="26">
        <s v="Airtight Storage Container"/>
        <s v="High-Capacity French Press"/>
        <s v="Subscription Renewal Service"/>
        <s v="Monthly Dark Roast Subscription"/>
        <s v="Espresso Lovers Quarterly Pack"/>
        <s v="Gooseneck Electric Kettle"/>
        <s v="Hand Grinder (Travel Size)"/>
        <s v="Automated Drip Brewer"/>
        <s v="Daily Grind T-Shirt"/>
        <s v="Seasonal Blend Light Roast"/>
        <s v="Refillable Coffee Pods"/>
        <s v="Decaf Blend (1kg)"/>
        <s v="Espresso Bean Sampler Pack"/>
        <s v="Logo Hoodie (Black)"/>
        <s v="Insulated Travel Tumbler"/>
        <s v="Bi-Weekly Sampler Box"/>
        <s v="Branded Ceramic Mug (Large)"/>
        <s v="Cold Brew Concentrate"/>
        <s v="Digital Coffee Scale"/>
        <s v="Pour-Over Starter Kit"/>
        <s v="Minimalist Keychain"/>
        <s v="Single-Origin Ethiopian (250g)"/>
        <s v="Precision Electric Grinder"/>
        <s v="Three-Month Gift Subscription"/>
        <s v="Chemex Filters (100 pack)"/>
        <m/>
      </sharedItems>
    </cacheField>
    <cacheField name="Region" numFmtId="0">
      <sharedItems containsBlank="1" count="6">
        <s v="East"/>
        <s v="South"/>
        <s v="West"/>
        <s v="North"/>
        <e v="#N/A"/>
        <m/>
      </sharedItems>
    </cacheField>
    <cacheField name="ProductID" numFmtId="0">
      <sharedItems containsString="0" containsBlank="1" containsNumber="1" containsInteger="1" minValue="0" maxValue="1050" count="51">
        <n v="1013"/>
        <n v="1034"/>
        <n v="1050"/>
        <n v="1021"/>
        <n v="1024"/>
        <n v="1046"/>
        <n v="1012"/>
        <n v="1032"/>
        <n v="1033"/>
        <n v="1044"/>
        <n v="1027"/>
        <n v="1015"/>
        <n v="1037"/>
        <n v="1003"/>
        <n v="1005"/>
        <n v="1038"/>
        <n v="1017"/>
        <n v="1030"/>
        <n v="1040"/>
        <n v="1043"/>
        <n v="1022"/>
        <n v="1016"/>
        <n v="1029"/>
        <n v="1002"/>
        <n v="1049"/>
        <n v="1036"/>
        <n v="1028"/>
        <n v="1042"/>
        <n v="1035"/>
        <n v="1020"/>
        <n v="1004"/>
        <n v="1045"/>
        <n v="1001"/>
        <n v="1009"/>
        <n v="1008"/>
        <n v="1006"/>
        <n v="1023"/>
        <n v="1007"/>
        <n v="1010"/>
        <n v="1011"/>
        <n v="1031"/>
        <n v="1041"/>
        <n v="1014"/>
        <n v="1019"/>
        <n v="1026"/>
        <n v="1018"/>
        <n v="1047"/>
        <n v="1039"/>
        <n v="1025"/>
        <n v="1048"/>
        <m/>
      </sharedItems>
    </cacheField>
    <cacheField name="CustomerJoinDate" numFmtId="0">
      <sharedItems containsBlank="1" containsDate="1" containsMixedTypes="1" count="150">
        <d v="2023-04-30T00:00:00"/>
        <d v="2023-09-05T00:00:00"/>
        <d v="2023-12-04T00:00:00"/>
        <d v="2023-06-02T00:00:00"/>
        <d v="2023-09-24T00:00:00"/>
        <d v="2023-03-13T00:00:00"/>
        <d v="2023-10-28T00:00:00"/>
        <d v="2023-03-30T00:00:00"/>
        <d v="2023-11-21T00:00:00"/>
        <d v="2023-04-10T00:00:00"/>
        <d v="2023-11-09T00:00:00"/>
        <d v="2023-06-29T00:00:00"/>
        <d v="2023-08-23T00:00:00"/>
        <d v="2023-09-28T00:00:00"/>
        <d v="2023-04-26T00:00:00"/>
        <d v="2023-02-19T00:00:00"/>
        <d v="2023-12-16T00:00:00"/>
        <d v="2023-04-27T00:00:00"/>
        <d v="2023-08-13T00:00:00"/>
        <d v="2023-07-22T00:00:00"/>
        <d v="2023-09-23T00:00:00"/>
        <d v="2023-02-22T00:00:00"/>
        <d v="2023-06-07T00:00:00"/>
        <d v="2023-08-28T00:00:00"/>
        <d v="2023-12-22T00:00:00"/>
        <d v="2023-02-07T00:00:00"/>
        <d v="2023-02-24T00:00:00"/>
        <d v="2023-12-13T00:00:00"/>
        <d v="2023-10-07T00:00:00"/>
        <d v="2023-12-23T00:00:00"/>
        <d v="2023-07-08T00:00:00"/>
        <d v="2023-04-21T00:00:00"/>
        <d v="2023-05-24T00:00:00"/>
        <d v="2023-12-02T00:00:00"/>
        <d v="2023-05-28T00:00:00"/>
        <d v="2023-04-25T00:00:00"/>
        <d v="2023-09-02T00:00:00"/>
        <d v="2023-04-23T00:00:00"/>
        <d v="2023-12-12T00:00:00"/>
        <d v="2023-10-12T00:00:00"/>
        <d v="2023-11-11T00:00:00"/>
        <d v="2023-10-06T00:00:00"/>
        <d v="2023-06-08T00:00:00"/>
        <d v="2023-08-26T00:00:00"/>
        <d v="2023-11-07T00:00:00"/>
        <d v="2023-03-12T00:00:00"/>
        <d v="2023-02-10T00:00:00"/>
        <d v="2023-04-19T00:00:00"/>
        <d v="2023-04-17T00:00:00"/>
        <d v="2023-08-11T00:00:00"/>
        <d v="2023-09-13T00:00:00"/>
        <d v="2023-05-22T00:00:00"/>
        <d v="2023-01-15T00:00:00"/>
        <d v="2023-09-17T00:00:00"/>
        <d v="2023-05-15T00:00:00"/>
        <d v="2023-06-10T00:00:00"/>
        <d v="2023-04-12T00:00:00"/>
        <d v="2023-01-23T00:00:00"/>
        <d v="2023-07-21T00:00:00"/>
        <d v="2023-11-25T00:00:00"/>
        <d v="2023-07-27T00:00:00"/>
        <d v="2023-05-23T00:00:00"/>
        <d v="2023-07-29T00:00:00"/>
        <d v="2023-11-23T00:00:00"/>
        <d v="2023-08-03T00:00:00"/>
        <d v="2023-05-09T00:00:00"/>
        <d v="2023-10-05T00:00:00"/>
        <d v="2023-02-25T00:00:00"/>
        <d v="2023-08-05T00:00:00"/>
        <d v="2023-07-25T00:00:00"/>
        <d v="2023-10-17T00:00:00"/>
        <d v="2023-10-29T00:00:00"/>
        <d v="2023-08-21T00:00:00"/>
        <d v="2023-03-25T00:00:00"/>
        <d v="2023-10-01T00:00:00"/>
        <d v="2023-05-16T00:00:00"/>
        <d v="2023-05-01T00:00:00"/>
        <d v="2023-08-16T00:00:00"/>
        <d v="2023-05-06T00:00:00"/>
        <d v="2023-02-03T00:00:00"/>
        <d v="2023-02-02T00:00:00"/>
        <d v="2023-05-07T00:00:00"/>
        <d v="2023-04-03T00:00:00"/>
        <d v="2023-01-21T00:00:00"/>
        <d v="2023-10-22T00:00:00"/>
        <d v="2023-05-13T00:00:00"/>
        <d v="2023-12-26T00:00:00"/>
        <d v="2023-02-21T00:00:00"/>
        <d v="2023-11-22T00:00:00"/>
        <d v="2023-10-15T00:00:00"/>
        <d v="2023-06-13T00:00:00"/>
        <d v="2023-12-27T00:00:00"/>
        <d v="2023-03-08T00:00:00"/>
        <d v="2023-11-18T00:00:00"/>
        <d v="2023-03-14T00:00:00"/>
        <d v="2023-10-19T00:00:00"/>
        <d v="2023-09-21T00:00:00"/>
        <d v="2023-08-22T00:00:00"/>
        <d v="2023-08-14T00:00:00"/>
        <d v="2023-05-08T00:00:00"/>
        <d v="2023-12-17T00:00:00"/>
        <d v="2023-11-04T00:00:00"/>
        <d v="2023-01-17T00:00:00"/>
        <d v="2023-02-04T00:00:00"/>
        <d v="2023-11-12T00:00:00"/>
        <d v="2023-06-25T00:00:00"/>
        <d v="2023-09-12T00:00:00"/>
        <d v="2023-10-24T00:00:00"/>
        <d v="2023-03-21T00:00:00"/>
        <d v="2023-09-18T00:00:00"/>
        <d v="2023-10-08T00:00:00"/>
        <d v="2023-09-09T00:00:00"/>
        <d v="2023-01-11T00:00:00"/>
        <d v="2023-09-26T00:00:00"/>
        <d v="2023-01-07T00:00:00"/>
        <d v="2023-05-26T00:00:00"/>
        <e v="#N/A"/>
        <d v="2023-10-16T00:00:00"/>
        <d v="2023-10-04T00:00:00"/>
        <d v="2023-12-09T00:00:00"/>
        <d v="2023-08-01T00:00:00"/>
        <d v="2023-01-29T00:00:00"/>
        <d v="2023-12-28T00:00:00"/>
        <d v="2023-07-05T00:00:00"/>
        <d v="2023-06-06T00:00:00"/>
        <d v="2023-07-18T00:00:00"/>
        <d v="2023-06-19T00:00:00"/>
        <d v="2023-06-26T00:00:00"/>
        <d v="2023-02-12T00:00:00"/>
        <d v="2023-01-03T00:00:00"/>
        <d v="2023-07-15T00:00:00"/>
        <d v="2023-09-25T00:00:00"/>
        <d v="2023-01-13T00:00:00"/>
        <d v="2023-03-01T00:00:00"/>
        <d v="2023-03-18T00:00:00"/>
        <d v="2023-06-16T00:00:00"/>
        <d v="2023-10-02T00:00:00"/>
        <d v="2023-08-30T00:00:00"/>
        <d v="2023-08-31T00:00:00"/>
        <d v="2023-11-16T00:00:00"/>
        <d v="2023-09-08T00:00:00"/>
        <d v="2023-08-15T00:00:00"/>
        <d v="2023-10-23T00:00:00"/>
        <d v="2023-08-02T00:00:00"/>
        <d v="2023-12-11T00:00:00"/>
        <d v="2023-01-30T00:00:00"/>
        <d v="2023-11-14T00:00:00"/>
        <d v="2023-09-22T00:00:00"/>
        <d v="2023-12-19T00:00:00"/>
        <m/>
      </sharedItems>
    </cacheField>
    <cacheField name="OrderDate" numFmtId="177">
      <sharedItems containsBlank="1" containsDate="1" containsMixedTypes="1" count="299">
        <d v="2025-01-01T00:00:00"/>
        <d v="2025-02-01T00:00:00"/>
        <d v="2025-03-01T00:00:00"/>
        <d v="2025-04-01T00:00:00"/>
        <d v="2025-06-01T00:00:00"/>
        <d v="2025-07-01T00:00:00"/>
        <d v="2025-08-01T00:00:00"/>
        <d v="2025-09-01T00:00:00"/>
        <d v="2025-10-01T00:00:00"/>
        <s v="1/13/2025"/>
        <s v="1/14/2025"/>
        <s v="1/15/2025"/>
        <s v="1/16/2025"/>
        <s v="1/17/2025"/>
        <s v="1/18/2025"/>
        <s v="1/20/2025"/>
        <s v="1/21/2025"/>
        <s v="1/22/2025"/>
        <s v="1/23/2025"/>
        <s v="1/24/2025"/>
        <s v="1/27/2025"/>
        <s v="1/28/2025"/>
        <s v="1/29/2025"/>
        <s v="1/30/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10-02T00:00:00"/>
        <d v="2025-11-02T00:00:00"/>
        <d v="2025-12-02T00:00:00"/>
        <s v="2/13/2025"/>
        <s v="2/14/2025"/>
        <s v="2/15/2025"/>
        <s v="2/17/2025"/>
        <s v="2/18/2025"/>
        <s v="2/19/2025"/>
        <s v="2/20/2025"/>
        <s v="2/21/2025"/>
        <s v="2/26/2025"/>
        <s v="2/27/2025"/>
        <s v="2/28/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/13/2025"/>
        <s v="3/14/2025"/>
        <s v="3/15/2025"/>
        <s v="3/16/2025"/>
        <s v="3/17/2025"/>
        <s v="3/18/2025"/>
        <s v="3/19/2025"/>
        <s v="3/20/2025"/>
        <s v="3/21/2025"/>
        <s v="3/22/2025"/>
        <s v="3/23/2025"/>
        <s v="3/24/2025"/>
        <s v="3/25/2025"/>
        <s v="3/26/2025"/>
        <s v="3/27/2025"/>
        <s v="3/28/2025"/>
        <s v="3/29/2025"/>
        <s v="3/30/2025"/>
        <s v="3/31/2025"/>
        <d v="2025-01-04T00:00:00"/>
        <d v="2025-02-04T00:00:00"/>
        <d v="2025-03-04T00:00:00"/>
        <d v="2025-04-04T00:00:00"/>
        <d v="2025-05-04T00:00:00"/>
        <d v="2025-07-04T00:00:00"/>
        <d v="2025-08-04T00:00:00"/>
        <d v="2025-09-04T00:00:00"/>
        <d v="2025-10-04T00:00:00"/>
        <d v="2025-11-04T00:00:00"/>
        <d v="2025-12-04T00:00:00"/>
        <s v="4/14/2025"/>
        <s v="4/15/2025"/>
        <s v="4/16/2025"/>
        <s v="4/17/2025"/>
        <s v="4/18/2025"/>
        <s v="4/19/2025"/>
        <s v="4/20/2025"/>
        <s v="4/21/2025"/>
        <s v="4/22/2025"/>
        <s v="4/23/2025"/>
        <s v="4/24/2025"/>
        <s v="4/25/2025"/>
        <s v="4/27/2025"/>
        <s v="4/28/2025"/>
        <s v="4/29/2025"/>
        <s v="4/30/2025"/>
        <d v="2025-01-05T00:00:00"/>
        <d v="2025-02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/13/2025"/>
        <s v="5/14/2025"/>
        <s v="5/15/2025"/>
        <s v="5/16/2025"/>
        <s v="5/17/2025"/>
        <s v="5/19/2025"/>
        <s v="5/20/2025"/>
        <s v="5/21/2025"/>
        <s v="5/22/2025"/>
        <s v="5/23/2025"/>
        <s v="5/25/2025"/>
        <s v="5/26/2025"/>
        <s v="5/27/2025"/>
        <s v="5/28/2025"/>
        <s v="5/29/2025"/>
        <s v="5/30/2025"/>
        <s v="5/31/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s v="6/13/2025"/>
        <s v="6/14/2025"/>
        <s v="6/16/2025"/>
        <s v="6/17/2025"/>
        <s v="6/18/2025"/>
        <s v="6/19/2025"/>
        <s v="6/20/2025"/>
        <s v="6/21/2025"/>
        <s v="6/22/2025"/>
        <s v="6/23/2025"/>
        <s v="6/24/2025"/>
        <s v="6/25/2025"/>
        <s v="6/26/2025"/>
        <s v="6/27/2025"/>
        <s v="6/28/2025"/>
        <s v="6/30/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/13/2025"/>
        <s v="7/14/2025"/>
        <s v="7/15/2025"/>
        <s v="7/16/2025"/>
        <s v="7/17/2025"/>
        <s v="7/18/2025"/>
        <s v="7/19/2025"/>
        <s v="7/20/2025"/>
        <s v="7/21/2025"/>
        <s v="7/22/2025"/>
        <s v="7/23/2025"/>
        <s v="7/24/2025"/>
        <s v="7/25/2025"/>
        <s v="7/27/2025"/>
        <s v="7/28/2025"/>
        <s v="7/29/2025"/>
        <s v="7/30/2025"/>
        <s v="7/31/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/13/2025"/>
        <s v="8/14/2025"/>
        <s v="8/15/2025"/>
        <s v="8/16/2025"/>
        <s v="8/17/2025"/>
        <s v="8/18/2025"/>
        <s v="8/19/2025"/>
        <s v="8/20/2025"/>
        <s v="8/21/2025"/>
        <s v="8/22/2025"/>
        <s v="8/23/2025"/>
        <s v="8/24/2025"/>
        <s v="8/25/2025"/>
        <s v="8/26/2025"/>
        <s v="8/27/2025"/>
        <s v="8/28/2025"/>
        <s v="8/29/2025"/>
        <s v="8/31/2025"/>
        <d v="2025-01-09T00:00:00"/>
        <d v="2025-02-09T00:00:00"/>
        <d v="2025-03-09T00:00:00"/>
        <d v="2025-04-09T00:00:00"/>
        <d v="2025-05-09T00:00:00"/>
        <d v="2025-08-09T00:00:00"/>
        <d v="2025-09-09T00:00:00"/>
        <d v="2025-10-09T00:00:00"/>
        <d v="2025-11-09T00:00:00"/>
        <d v="2025-12-09T00:00:00"/>
        <s v="9/14/2025"/>
        <s v="9/15/2025"/>
        <s v="9/16/2025"/>
        <s v="9/17/2025"/>
        <s v="9/18/2025"/>
        <s v="9/19/2025"/>
        <s v="9/20/2025"/>
        <s v="9/22/2025"/>
        <s v="9/23/2025"/>
        <s v="9/24/2025"/>
        <s v="9/25/2025"/>
        <s v="9/26/2025"/>
        <s v="9/29/2025"/>
        <s v="9/30/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2-10T00:00:00"/>
        <s v="10/13/2025"/>
        <s v="10/14/2025"/>
        <s v="10/15/2025"/>
        <s v="10/16/2025"/>
        <s v="10/17/2025"/>
        <s v="10/18/2025"/>
        <s v="10/20/2025"/>
        <s v="10/21/2025"/>
        <s v="10/22/2025"/>
        <s v="10/23/2025"/>
        <s v="10/24/2025"/>
        <s v="10/25/2025"/>
        <s v="10/27/2025"/>
        <s v="10/28/2025"/>
        <s v="10/29/2025"/>
        <s v="10/30/2025"/>
        <s v="10/31/2025"/>
        <d v="2025-02-11T00:00:00"/>
        <d v="2025-03-11T00:00:00"/>
        <d v="2025-04-11T00:00:00"/>
        <d v="2025-05-11T00:00:00"/>
        <d v="2025-06-11T00:00:00"/>
        <d v="2025-07-11T00:00:00"/>
        <d v="2025-10-11T00:00:00"/>
        <d v="2025-11-11T00:00:00"/>
        <d v="2025-12-11T00:00:00"/>
        <s v="11/13/2025"/>
        <s v="11/14/2025"/>
        <s v="11/15/2025"/>
        <s v="11/16/2025"/>
        <s v="11/17/2025"/>
        <s v="11/18/2025"/>
        <s v="11/19/2025"/>
        <s v="11/20/2025"/>
        <s v="11/21/2025"/>
        <s v="11/22/2025"/>
        <s v="11/23/2025"/>
        <s v="11/24/2025"/>
        <s v="11/25/2025"/>
        <s v="11/26/2025"/>
        <s v="11/27/2025"/>
        <s v="11/28/2025"/>
        <s v="11/29/2025"/>
        <s v="11/30/2025"/>
        <m/>
      </sharedItems>
    </cacheField>
    <cacheField name="Quantity" numFmtId="0">
      <sharedItems containsString="0" containsBlank="1" containsNumber="1" containsInteger="1" minValue="0" maxValue="4" count="5">
        <n v="2"/>
        <n v="1"/>
        <n v="4"/>
        <n v="3"/>
        <m/>
      </sharedItems>
    </cacheField>
    <cacheField name="Revenue" numFmtId="0">
      <sharedItems containsString="0" containsBlank="1" containsNumber="1" minValue="0" maxValue="1353.44" count="101">
        <n v="122.08"/>
        <n v="338.36"/>
        <n v="293.64"/>
        <n v="183.78"/>
        <n v="224.61"/>
        <n v="61.26"/>
        <n v="104.61"/>
        <n v="299.48"/>
        <n v="254.72"/>
        <n v="235.76"/>
        <n v="64.11"/>
        <n v="106.59"/>
        <n v="72.39"/>
        <n v="69.74"/>
        <n v="121.05"/>
        <n v="19.06"/>
        <n v="57.18"/>
        <n v="60.92"/>
        <n v="85.48"/>
        <n v="21.37"/>
        <n v="161.4"/>
        <n v="48.26"/>
        <n v="129.84"/>
        <n v="177.54"/>
        <n v="86.4"/>
        <n v="70.47"/>
        <n v="96.52"/>
        <n v="142.12"/>
        <n v="80.49"/>
        <n v="35.53"/>
        <n v="210.46"/>
        <n v="74.87"/>
        <n v="82.11"/>
        <n v="93.96"/>
        <n v="220.23"/>
        <n v="19.49"/>
        <n v="676.72"/>
        <n v="471.52"/>
        <n v="928.8"/>
        <n v="71.06"/>
        <n v="173.12"/>
        <n v="130.42"/>
        <n v="509.44"/>
        <n v="77.96"/>
        <n v="149.74"/>
        <n v="109.48"/>
        <n v="105.23"/>
        <n v="76.24"/>
        <n v="43.28"/>
        <n v="27.37"/>
        <n v="139.48"/>
        <n v="696.6"/>
        <n v="43.2"/>
        <n v="24.1"/>
        <n v="1353.44"/>
        <n v="42.74"/>
        <n v="73.41"/>
        <n v="107.32"/>
        <n v="23.49"/>
        <n v="172.8"/>
        <n v="65.21"/>
        <n v="46.98"/>
        <n v="244.16"/>
        <n v="245.04"/>
        <n v="38.98"/>
        <n v="232.2"/>
        <n v="54.74"/>
        <n v="96.4"/>
        <n v="45.69"/>
        <n v="260.84"/>
        <n v="58.47"/>
        <n v="464.4"/>
        <n v="266.31"/>
        <n v="146.82"/>
        <n v="122.52"/>
        <n v="195.63"/>
        <n v="80.7"/>
        <n v="72.3"/>
        <n v="53.66"/>
        <n v="707.28"/>
        <n v="355.08"/>
        <n v="129.6"/>
        <n v="943.04"/>
        <n v="1018.88"/>
        <n v="26.83"/>
        <n v="48.2"/>
        <n v="86.56"/>
        <n v="38.12"/>
        <n v="88.77"/>
        <n v="40.35"/>
        <n v="1015.08"/>
        <n v="764.16"/>
        <n v="30.46"/>
        <n v="61.04"/>
        <n v="24.13"/>
        <n v="420.92"/>
        <n v="15.23"/>
        <n v="315.69"/>
        <n v="183.12"/>
        <n v="34.87"/>
        <m/>
      </sharedItems>
    </cacheField>
    <cacheField name="COGS" numFmtId="0">
      <sharedItems containsString="0" containsBlank="1" containsNumber="1" minValue="0" maxValue="592.68" count="101">
        <n v="51.41"/>
        <n v="148.17"/>
        <n v="109.16"/>
        <n v="105.44"/>
        <n v="57.58"/>
        <n v="35.15"/>
        <n v="77.91"/>
        <n v="76.78"/>
        <n v="130.28"/>
        <n v="132.48"/>
        <n v="24.78"/>
        <n v="17.79"/>
        <n v="27.88"/>
        <n v="51.94"/>
        <n v="38.58"/>
        <n v="11.97"/>
        <n v="35.9"/>
        <n v="53.59"/>
        <n v="33.04"/>
        <n v="8.26"/>
        <n v="51.44"/>
        <n v="18.59"/>
        <n v="62.47"/>
        <n v="47.72"/>
        <n v="62.22"/>
        <n v="30.26"/>
        <n v="37.18"/>
        <n v="23.72"/>
        <n v="43.96"/>
        <n v="5.93"/>
        <n v="149.49"/>
        <n v="19.2"/>
        <n v="72.27"/>
        <n v="40.35"/>
        <n v="81.87"/>
        <n v="12.71"/>
        <n v="296.34"/>
        <n v="264.97"/>
        <n v="313.54"/>
        <n v="11.86"/>
        <n v="83.29"/>
        <n v="55.22"/>
        <n v="260.57"/>
        <n v="50.82"/>
        <n v="38.39"/>
        <n v="96.36"/>
        <n v="74.74"/>
        <n v="47.87"/>
        <n v="20.82"/>
        <n v="24.09"/>
        <n v="103.88"/>
        <n v="235.16"/>
        <n v="31.11"/>
        <n v="21.21"/>
        <n v="592.68"/>
        <n v="16.52"/>
        <n v="27.29"/>
        <n v="58.61"/>
        <n v="10.09"/>
        <n v="124.43"/>
        <n v="27.61"/>
        <n v="20.17"/>
        <n v="102.83"/>
        <n v="140.58"/>
        <n v="25.41"/>
        <n v="78.39"/>
        <n v="48.18"/>
        <n v="84.83"/>
        <n v="40.19"/>
        <n v="110.44"/>
        <n v="38.12"/>
        <n v="156.77"/>
        <n v="71.58"/>
        <n v="54.58"/>
        <n v="70.29"/>
        <n v="82.83"/>
        <n v="25.72"/>
        <n v="63.62"/>
        <n v="29.3"/>
        <n v="397.45"/>
        <n v="95.44"/>
        <n v="93.32"/>
        <n v="529.94"/>
        <n v="521.14"/>
        <n v="14.65"/>
        <n v="42.42"/>
        <n v="41.65"/>
        <n v="23.94"/>
        <n v="23.86"/>
        <n v="12.86"/>
        <n v="444.51"/>
        <n v="390.85"/>
        <n v="26.8"/>
        <n v="25.71"/>
        <n v="9.3"/>
        <n v="298.98"/>
        <n v="13.4"/>
        <n v="224.24"/>
        <n v="77.12"/>
        <n v="25.97"/>
        <m/>
      </sharedItems>
    </cacheField>
    <cacheField name="UnitPrice" numFmtId="0">
      <sharedItems containsString="0" containsBlank="1" containsNumber="1" minValue="0" maxValue="338.36" count="26">
        <n v="61.04"/>
        <n v="338.36"/>
        <n v="73.41"/>
        <n v="61.26"/>
        <n v="74.87"/>
        <n v="34.87"/>
        <n v="254.72"/>
        <n v="235.76"/>
        <n v="21.37"/>
        <n v="35.53"/>
        <n v="24.13"/>
        <n v="40.35"/>
        <n v="19.06"/>
        <n v="15.23"/>
        <n v="43.28"/>
        <n v="88.77"/>
        <n v="43.2"/>
        <n v="23.49"/>
        <n v="26.83"/>
        <n v="105.23"/>
        <n v="27.37"/>
        <n v="19.49"/>
        <n v="232.2"/>
        <n v="65.21"/>
        <n v="24.1"/>
        <m/>
      </sharedItems>
    </cacheField>
    <cacheField name="Profit" numFmtId="0">
      <sharedItems containsString="0" containsBlank="1" containsNumber="1" minValue="0" maxValue="760.76" count="101">
        <n v="70.67"/>
        <n v="190.19"/>
        <n v="184.48"/>
        <n v="78.34"/>
        <n v="167.03"/>
        <n v="26.11"/>
        <n v="26.7"/>
        <n v="222.7"/>
        <n v="124.44"/>
        <n v="103.28"/>
        <n v="39.33"/>
        <n v="88.8"/>
        <n v="44.51"/>
        <n v="17.8"/>
        <n v="82.47"/>
        <n v="7.09"/>
        <n v="21.28"/>
        <n v="7.33"/>
        <n v="52.44"/>
        <n v="13.11"/>
        <n v="109.96"/>
        <n v="29.67"/>
        <n v="67.37"/>
        <n v="129.82"/>
        <n v="24.18"/>
        <n v="40.21"/>
        <n v="59.34"/>
        <n v="118.4"/>
        <n v="36.53"/>
        <n v="29.6"/>
        <n v="60.97"/>
        <n v="55.67"/>
        <n v="9.84"/>
        <n v="53.61"/>
        <n v="138.36"/>
        <n v="6.78"/>
        <n v="380.38"/>
        <n v="206.55"/>
        <n v="615.26"/>
        <n v="59.2"/>
        <n v="89.83"/>
        <n v="75.2"/>
        <n v="248.87"/>
        <n v="27.14"/>
        <n v="111.35"/>
        <n v="13.12"/>
        <n v="30.49"/>
        <n v="28.37"/>
        <n v="22.46"/>
        <n v="3.28"/>
        <n v="35.6"/>
        <n v="461.44"/>
        <n v="12.09"/>
        <n v="2.89"/>
        <n v="760.76"/>
        <n v="26.22"/>
        <n v="46.12"/>
        <n v="48.71"/>
        <n v="13.4"/>
        <n v="48.37"/>
        <n v="37.6"/>
        <n v="26.81"/>
        <n v="141.33"/>
        <n v="104.46"/>
        <n v="13.57"/>
        <n v="153.81"/>
        <n v="6.56"/>
        <n v="11.57"/>
        <n v="5.5"/>
        <n v="150.4"/>
        <n v="20.35"/>
        <n v="307.63"/>
        <n v="194.73"/>
        <n v="92.24"/>
        <n v="52.23"/>
        <n v="112.8"/>
        <n v="54.98"/>
        <n v="8.68"/>
        <n v="24.36"/>
        <n v="309.83"/>
        <n v="259.64"/>
        <n v="36.28"/>
        <n v="413.1"/>
        <n v="497.74"/>
        <n v="12.18"/>
        <n v="5.78"/>
        <n v="44.91"/>
        <n v="14.18"/>
        <n v="64.91"/>
        <n v="27.49"/>
        <n v="570.57"/>
        <n v="373.31"/>
        <n v="3.66"/>
        <n v="35.33"/>
        <n v="14.83"/>
        <n v="121.94"/>
        <n v="1.83"/>
        <n v="91.45"/>
        <n v="106"/>
        <n v="8.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9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</r>
  <r>
    <x v="2"/>
    <x v="2"/>
    <x v="2"/>
    <x v="2"/>
    <x v="0"/>
    <x v="2"/>
    <x v="2"/>
    <x v="0"/>
    <x v="2"/>
    <x v="2"/>
    <x v="2"/>
    <x v="2"/>
  </r>
  <r>
    <x v="3"/>
    <x v="3"/>
    <x v="2"/>
    <x v="3"/>
    <x v="1"/>
    <x v="3"/>
    <x v="3"/>
    <x v="0"/>
    <x v="3"/>
    <x v="3"/>
    <x v="3"/>
    <x v="3"/>
  </r>
  <r>
    <x v="4"/>
    <x v="4"/>
    <x v="2"/>
    <x v="4"/>
    <x v="2"/>
    <x v="4"/>
    <x v="4"/>
    <x v="0"/>
    <x v="3"/>
    <x v="4"/>
    <x v="4"/>
    <x v="4"/>
  </r>
  <r>
    <x v="5"/>
    <x v="5"/>
    <x v="2"/>
    <x v="3"/>
    <x v="2"/>
    <x v="5"/>
    <x v="5"/>
    <x v="1"/>
    <x v="1"/>
    <x v="5"/>
    <x v="5"/>
    <x v="3"/>
  </r>
  <r>
    <x v="6"/>
    <x v="6"/>
    <x v="0"/>
    <x v="5"/>
    <x v="3"/>
    <x v="6"/>
    <x v="6"/>
    <x v="1"/>
    <x v="3"/>
    <x v="6"/>
    <x v="6"/>
    <x v="5"/>
  </r>
  <r>
    <x v="7"/>
    <x v="7"/>
    <x v="2"/>
    <x v="4"/>
    <x v="0"/>
    <x v="4"/>
    <x v="7"/>
    <x v="1"/>
    <x v="2"/>
    <x v="7"/>
    <x v="7"/>
    <x v="4"/>
  </r>
  <r>
    <x v="8"/>
    <x v="8"/>
    <x v="1"/>
    <x v="6"/>
    <x v="0"/>
    <x v="7"/>
    <x v="8"/>
    <x v="1"/>
    <x v="1"/>
    <x v="8"/>
    <x v="8"/>
    <x v="6"/>
  </r>
  <r>
    <x v="9"/>
    <x v="9"/>
    <x v="1"/>
    <x v="7"/>
    <x v="1"/>
    <x v="8"/>
    <x v="9"/>
    <x v="2"/>
    <x v="1"/>
    <x v="9"/>
    <x v="9"/>
    <x v="7"/>
  </r>
  <r>
    <x v="10"/>
    <x v="10"/>
    <x v="2"/>
    <x v="3"/>
    <x v="0"/>
    <x v="3"/>
    <x v="10"/>
    <x v="2"/>
    <x v="1"/>
    <x v="5"/>
    <x v="5"/>
    <x v="3"/>
  </r>
  <r>
    <x v="11"/>
    <x v="11"/>
    <x v="3"/>
    <x v="8"/>
    <x v="2"/>
    <x v="9"/>
    <x v="11"/>
    <x v="3"/>
    <x v="3"/>
    <x v="10"/>
    <x v="10"/>
    <x v="8"/>
  </r>
  <r>
    <x v="12"/>
    <x v="12"/>
    <x v="2"/>
    <x v="4"/>
    <x v="0"/>
    <x v="4"/>
    <x v="12"/>
    <x v="4"/>
    <x v="2"/>
    <x v="7"/>
    <x v="7"/>
    <x v="4"/>
  </r>
  <r>
    <x v="13"/>
    <x v="13"/>
    <x v="4"/>
    <x v="9"/>
    <x v="2"/>
    <x v="10"/>
    <x v="13"/>
    <x v="4"/>
    <x v="3"/>
    <x v="11"/>
    <x v="11"/>
    <x v="9"/>
  </r>
  <r>
    <x v="14"/>
    <x v="14"/>
    <x v="0"/>
    <x v="10"/>
    <x v="0"/>
    <x v="11"/>
    <x v="14"/>
    <x v="4"/>
    <x v="3"/>
    <x v="12"/>
    <x v="12"/>
    <x v="10"/>
  </r>
  <r>
    <x v="15"/>
    <x v="15"/>
    <x v="0"/>
    <x v="5"/>
    <x v="0"/>
    <x v="12"/>
    <x v="15"/>
    <x v="4"/>
    <x v="0"/>
    <x v="13"/>
    <x v="13"/>
    <x v="5"/>
  </r>
  <r>
    <x v="16"/>
    <x v="16"/>
    <x v="2"/>
    <x v="4"/>
    <x v="0"/>
    <x v="4"/>
    <x v="16"/>
    <x v="5"/>
    <x v="3"/>
    <x v="4"/>
    <x v="4"/>
    <x v="4"/>
  </r>
  <r>
    <x v="17"/>
    <x v="17"/>
    <x v="4"/>
    <x v="11"/>
    <x v="0"/>
    <x v="13"/>
    <x v="17"/>
    <x v="5"/>
    <x v="3"/>
    <x v="14"/>
    <x v="14"/>
    <x v="11"/>
  </r>
  <r>
    <x v="18"/>
    <x v="18"/>
    <x v="4"/>
    <x v="12"/>
    <x v="0"/>
    <x v="14"/>
    <x v="18"/>
    <x v="5"/>
    <x v="1"/>
    <x v="15"/>
    <x v="15"/>
    <x v="12"/>
  </r>
  <r>
    <x v="19"/>
    <x v="19"/>
    <x v="4"/>
    <x v="12"/>
    <x v="3"/>
    <x v="14"/>
    <x v="19"/>
    <x v="5"/>
    <x v="3"/>
    <x v="16"/>
    <x v="16"/>
    <x v="12"/>
  </r>
  <r>
    <x v="20"/>
    <x v="20"/>
    <x v="0"/>
    <x v="0"/>
    <x v="3"/>
    <x v="15"/>
    <x v="20"/>
    <x v="5"/>
    <x v="0"/>
    <x v="0"/>
    <x v="0"/>
    <x v="0"/>
  </r>
  <r>
    <x v="21"/>
    <x v="15"/>
    <x v="3"/>
    <x v="13"/>
    <x v="0"/>
    <x v="16"/>
    <x v="15"/>
    <x v="5"/>
    <x v="2"/>
    <x v="17"/>
    <x v="17"/>
    <x v="13"/>
  </r>
  <r>
    <x v="22"/>
    <x v="21"/>
    <x v="3"/>
    <x v="8"/>
    <x v="2"/>
    <x v="9"/>
    <x v="21"/>
    <x v="5"/>
    <x v="2"/>
    <x v="18"/>
    <x v="18"/>
    <x v="8"/>
  </r>
  <r>
    <x v="23"/>
    <x v="22"/>
    <x v="4"/>
    <x v="12"/>
    <x v="2"/>
    <x v="17"/>
    <x v="22"/>
    <x v="5"/>
    <x v="1"/>
    <x v="15"/>
    <x v="15"/>
    <x v="12"/>
  </r>
  <r>
    <x v="24"/>
    <x v="23"/>
    <x v="3"/>
    <x v="8"/>
    <x v="2"/>
    <x v="9"/>
    <x v="23"/>
    <x v="6"/>
    <x v="1"/>
    <x v="19"/>
    <x v="19"/>
    <x v="8"/>
  </r>
  <r>
    <x v="25"/>
    <x v="24"/>
    <x v="4"/>
    <x v="11"/>
    <x v="2"/>
    <x v="13"/>
    <x v="24"/>
    <x v="6"/>
    <x v="2"/>
    <x v="20"/>
    <x v="20"/>
    <x v="11"/>
  </r>
  <r>
    <x v="26"/>
    <x v="25"/>
    <x v="0"/>
    <x v="10"/>
    <x v="2"/>
    <x v="18"/>
    <x v="25"/>
    <x v="7"/>
    <x v="0"/>
    <x v="21"/>
    <x v="21"/>
    <x v="10"/>
  </r>
  <r>
    <x v="27"/>
    <x v="26"/>
    <x v="3"/>
    <x v="14"/>
    <x v="2"/>
    <x v="19"/>
    <x v="12"/>
    <x v="7"/>
    <x v="3"/>
    <x v="22"/>
    <x v="22"/>
    <x v="14"/>
  </r>
  <r>
    <x v="28"/>
    <x v="27"/>
    <x v="2"/>
    <x v="15"/>
    <x v="0"/>
    <x v="20"/>
    <x v="26"/>
    <x v="7"/>
    <x v="0"/>
    <x v="23"/>
    <x v="23"/>
    <x v="15"/>
  </r>
  <r>
    <x v="29"/>
    <x v="28"/>
    <x v="3"/>
    <x v="16"/>
    <x v="0"/>
    <x v="21"/>
    <x v="27"/>
    <x v="8"/>
    <x v="0"/>
    <x v="24"/>
    <x v="24"/>
    <x v="16"/>
  </r>
  <r>
    <x v="30"/>
    <x v="12"/>
    <x v="4"/>
    <x v="17"/>
    <x v="0"/>
    <x v="22"/>
    <x v="12"/>
    <x v="8"/>
    <x v="3"/>
    <x v="25"/>
    <x v="25"/>
    <x v="17"/>
  </r>
  <r>
    <x v="31"/>
    <x v="29"/>
    <x v="0"/>
    <x v="10"/>
    <x v="3"/>
    <x v="11"/>
    <x v="28"/>
    <x v="8"/>
    <x v="2"/>
    <x v="26"/>
    <x v="26"/>
    <x v="10"/>
  </r>
  <r>
    <x v="32"/>
    <x v="30"/>
    <x v="4"/>
    <x v="9"/>
    <x v="2"/>
    <x v="23"/>
    <x v="29"/>
    <x v="8"/>
    <x v="2"/>
    <x v="27"/>
    <x v="27"/>
    <x v="9"/>
  </r>
  <r>
    <x v="33"/>
    <x v="31"/>
    <x v="2"/>
    <x v="4"/>
    <x v="0"/>
    <x v="24"/>
    <x v="30"/>
    <x v="8"/>
    <x v="3"/>
    <x v="4"/>
    <x v="4"/>
    <x v="4"/>
  </r>
  <r>
    <x v="34"/>
    <x v="32"/>
    <x v="0"/>
    <x v="18"/>
    <x v="2"/>
    <x v="25"/>
    <x v="31"/>
    <x v="9"/>
    <x v="3"/>
    <x v="28"/>
    <x v="28"/>
    <x v="18"/>
  </r>
  <r>
    <x v="35"/>
    <x v="33"/>
    <x v="4"/>
    <x v="9"/>
    <x v="3"/>
    <x v="10"/>
    <x v="32"/>
    <x v="9"/>
    <x v="1"/>
    <x v="29"/>
    <x v="29"/>
    <x v="9"/>
  </r>
  <r>
    <x v="36"/>
    <x v="34"/>
    <x v="3"/>
    <x v="8"/>
    <x v="0"/>
    <x v="9"/>
    <x v="33"/>
    <x v="9"/>
    <x v="2"/>
    <x v="18"/>
    <x v="18"/>
    <x v="8"/>
  </r>
  <r>
    <x v="37"/>
    <x v="22"/>
    <x v="4"/>
    <x v="11"/>
    <x v="2"/>
    <x v="26"/>
    <x v="22"/>
    <x v="9"/>
    <x v="2"/>
    <x v="20"/>
    <x v="20"/>
    <x v="11"/>
  </r>
  <r>
    <x v="38"/>
    <x v="16"/>
    <x v="3"/>
    <x v="13"/>
    <x v="0"/>
    <x v="27"/>
    <x v="16"/>
    <x v="10"/>
    <x v="2"/>
    <x v="17"/>
    <x v="17"/>
    <x v="13"/>
  </r>
  <r>
    <x v="39"/>
    <x v="35"/>
    <x v="1"/>
    <x v="19"/>
    <x v="0"/>
    <x v="28"/>
    <x v="34"/>
    <x v="10"/>
    <x v="0"/>
    <x v="30"/>
    <x v="30"/>
    <x v="19"/>
  </r>
  <r>
    <x v="40"/>
    <x v="36"/>
    <x v="2"/>
    <x v="4"/>
    <x v="2"/>
    <x v="24"/>
    <x v="35"/>
    <x v="10"/>
    <x v="1"/>
    <x v="31"/>
    <x v="31"/>
    <x v="4"/>
  </r>
  <r>
    <x v="41"/>
    <x v="23"/>
    <x v="3"/>
    <x v="20"/>
    <x v="2"/>
    <x v="29"/>
    <x v="23"/>
    <x v="10"/>
    <x v="3"/>
    <x v="32"/>
    <x v="32"/>
    <x v="20"/>
  </r>
  <r>
    <x v="42"/>
    <x v="37"/>
    <x v="4"/>
    <x v="17"/>
    <x v="0"/>
    <x v="30"/>
    <x v="36"/>
    <x v="11"/>
    <x v="2"/>
    <x v="33"/>
    <x v="33"/>
    <x v="17"/>
  </r>
  <r>
    <x v="43"/>
    <x v="38"/>
    <x v="3"/>
    <x v="20"/>
    <x v="3"/>
    <x v="31"/>
    <x v="37"/>
    <x v="11"/>
    <x v="3"/>
    <x v="32"/>
    <x v="32"/>
    <x v="20"/>
  </r>
  <r>
    <x v="44"/>
    <x v="33"/>
    <x v="2"/>
    <x v="2"/>
    <x v="3"/>
    <x v="2"/>
    <x v="32"/>
    <x v="12"/>
    <x v="3"/>
    <x v="34"/>
    <x v="34"/>
    <x v="2"/>
  </r>
  <r>
    <x v="45"/>
    <x v="39"/>
    <x v="4"/>
    <x v="21"/>
    <x v="0"/>
    <x v="32"/>
    <x v="38"/>
    <x v="13"/>
    <x v="1"/>
    <x v="35"/>
    <x v="35"/>
    <x v="21"/>
  </r>
  <r>
    <x v="46"/>
    <x v="40"/>
    <x v="1"/>
    <x v="1"/>
    <x v="1"/>
    <x v="33"/>
    <x v="39"/>
    <x v="13"/>
    <x v="0"/>
    <x v="36"/>
    <x v="36"/>
    <x v="1"/>
  </r>
  <r>
    <x v="47"/>
    <x v="32"/>
    <x v="1"/>
    <x v="7"/>
    <x v="2"/>
    <x v="34"/>
    <x v="31"/>
    <x v="13"/>
    <x v="0"/>
    <x v="37"/>
    <x v="37"/>
    <x v="7"/>
  </r>
  <r>
    <x v="48"/>
    <x v="41"/>
    <x v="1"/>
    <x v="22"/>
    <x v="2"/>
    <x v="35"/>
    <x v="40"/>
    <x v="13"/>
    <x v="2"/>
    <x v="38"/>
    <x v="38"/>
    <x v="22"/>
  </r>
  <r>
    <x v="49"/>
    <x v="42"/>
    <x v="4"/>
    <x v="9"/>
    <x v="0"/>
    <x v="23"/>
    <x v="41"/>
    <x v="13"/>
    <x v="0"/>
    <x v="39"/>
    <x v="39"/>
    <x v="9"/>
  </r>
  <r>
    <x v="50"/>
    <x v="43"/>
    <x v="3"/>
    <x v="14"/>
    <x v="1"/>
    <x v="19"/>
    <x v="42"/>
    <x v="13"/>
    <x v="2"/>
    <x v="40"/>
    <x v="40"/>
    <x v="14"/>
  </r>
  <r>
    <x v="51"/>
    <x v="43"/>
    <x v="2"/>
    <x v="23"/>
    <x v="1"/>
    <x v="36"/>
    <x v="42"/>
    <x v="13"/>
    <x v="0"/>
    <x v="41"/>
    <x v="41"/>
    <x v="23"/>
  </r>
  <r>
    <x v="52"/>
    <x v="44"/>
    <x v="1"/>
    <x v="6"/>
    <x v="3"/>
    <x v="37"/>
    <x v="43"/>
    <x v="13"/>
    <x v="0"/>
    <x v="42"/>
    <x v="42"/>
    <x v="6"/>
  </r>
  <r>
    <x v="53"/>
    <x v="45"/>
    <x v="0"/>
    <x v="10"/>
    <x v="2"/>
    <x v="11"/>
    <x v="44"/>
    <x v="13"/>
    <x v="0"/>
    <x v="21"/>
    <x v="21"/>
    <x v="10"/>
  </r>
  <r>
    <x v="54"/>
    <x v="46"/>
    <x v="4"/>
    <x v="21"/>
    <x v="2"/>
    <x v="32"/>
    <x v="45"/>
    <x v="14"/>
    <x v="2"/>
    <x v="43"/>
    <x v="43"/>
    <x v="21"/>
  </r>
  <r>
    <x v="55"/>
    <x v="47"/>
    <x v="2"/>
    <x v="4"/>
    <x v="2"/>
    <x v="4"/>
    <x v="46"/>
    <x v="15"/>
    <x v="0"/>
    <x v="44"/>
    <x v="44"/>
    <x v="4"/>
  </r>
  <r>
    <x v="56"/>
    <x v="48"/>
    <x v="3"/>
    <x v="20"/>
    <x v="0"/>
    <x v="31"/>
    <x v="18"/>
    <x v="15"/>
    <x v="2"/>
    <x v="45"/>
    <x v="45"/>
    <x v="20"/>
  </r>
  <r>
    <x v="57"/>
    <x v="49"/>
    <x v="1"/>
    <x v="19"/>
    <x v="0"/>
    <x v="38"/>
    <x v="47"/>
    <x v="15"/>
    <x v="1"/>
    <x v="46"/>
    <x v="46"/>
    <x v="19"/>
  </r>
  <r>
    <x v="58"/>
    <x v="50"/>
    <x v="4"/>
    <x v="12"/>
    <x v="2"/>
    <x v="14"/>
    <x v="48"/>
    <x v="16"/>
    <x v="2"/>
    <x v="47"/>
    <x v="47"/>
    <x v="12"/>
  </r>
  <r>
    <x v="59"/>
    <x v="51"/>
    <x v="3"/>
    <x v="14"/>
    <x v="0"/>
    <x v="19"/>
    <x v="40"/>
    <x v="16"/>
    <x v="1"/>
    <x v="48"/>
    <x v="48"/>
    <x v="14"/>
  </r>
  <r>
    <x v="60"/>
    <x v="15"/>
    <x v="0"/>
    <x v="18"/>
    <x v="0"/>
    <x v="39"/>
    <x v="15"/>
    <x v="16"/>
    <x v="3"/>
    <x v="28"/>
    <x v="28"/>
    <x v="18"/>
  </r>
  <r>
    <x v="61"/>
    <x v="52"/>
    <x v="3"/>
    <x v="20"/>
    <x v="0"/>
    <x v="29"/>
    <x v="49"/>
    <x v="17"/>
    <x v="1"/>
    <x v="49"/>
    <x v="49"/>
    <x v="20"/>
  </r>
  <r>
    <x v="62"/>
    <x v="53"/>
    <x v="0"/>
    <x v="5"/>
    <x v="0"/>
    <x v="6"/>
    <x v="50"/>
    <x v="18"/>
    <x v="2"/>
    <x v="50"/>
    <x v="50"/>
    <x v="5"/>
  </r>
  <r>
    <x v="63"/>
    <x v="54"/>
    <x v="1"/>
    <x v="1"/>
    <x v="3"/>
    <x v="33"/>
    <x v="51"/>
    <x v="18"/>
    <x v="1"/>
    <x v="1"/>
    <x v="1"/>
    <x v="1"/>
  </r>
  <r>
    <x v="64"/>
    <x v="6"/>
    <x v="1"/>
    <x v="22"/>
    <x v="3"/>
    <x v="40"/>
    <x v="6"/>
    <x v="18"/>
    <x v="3"/>
    <x v="51"/>
    <x v="51"/>
    <x v="22"/>
  </r>
  <r>
    <x v="65"/>
    <x v="30"/>
    <x v="3"/>
    <x v="16"/>
    <x v="2"/>
    <x v="41"/>
    <x v="29"/>
    <x v="18"/>
    <x v="1"/>
    <x v="52"/>
    <x v="52"/>
    <x v="16"/>
  </r>
  <r>
    <x v="66"/>
    <x v="16"/>
    <x v="1"/>
    <x v="19"/>
    <x v="0"/>
    <x v="38"/>
    <x v="16"/>
    <x v="19"/>
    <x v="0"/>
    <x v="30"/>
    <x v="30"/>
    <x v="19"/>
  </r>
  <r>
    <x v="67"/>
    <x v="9"/>
    <x v="0"/>
    <x v="24"/>
    <x v="1"/>
    <x v="42"/>
    <x v="9"/>
    <x v="19"/>
    <x v="1"/>
    <x v="53"/>
    <x v="53"/>
    <x v="24"/>
  </r>
  <r>
    <x v="68"/>
    <x v="55"/>
    <x v="1"/>
    <x v="1"/>
    <x v="2"/>
    <x v="1"/>
    <x v="52"/>
    <x v="19"/>
    <x v="2"/>
    <x v="54"/>
    <x v="54"/>
    <x v="1"/>
  </r>
  <r>
    <x v="69"/>
    <x v="52"/>
    <x v="3"/>
    <x v="14"/>
    <x v="0"/>
    <x v="19"/>
    <x v="49"/>
    <x v="19"/>
    <x v="1"/>
    <x v="48"/>
    <x v="48"/>
    <x v="14"/>
  </r>
  <r>
    <x v="70"/>
    <x v="56"/>
    <x v="0"/>
    <x v="0"/>
    <x v="2"/>
    <x v="0"/>
    <x v="53"/>
    <x v="19"/>
    <x v="0"/>
    <x v="0"/>
    <x v="0"/>
    <x v="0"/>
  </r>
  <r>
    <x v="71"/>
    <x v="32"/>
    <x v="3"/>
    <x v="8"/>
    <x v="2"/>
    <x v="9"/>
    <x v="31"/>
    <x v="20"/>
    <x v="0"/>
    <x v="55"/>
    <x v="55"/>
    <x v="8"/>
  </r>
  <r>
    <x v="72"/>
    <x v="57"/>
    <x v="2"/>
    <x v="2"/>
    <x v="2"/>
    <x v="2"/>
    <x v="54"/>
    <x v="20"/>
    <x v="1"/>
    <x v="56"/>
    <x v="56"/>
    <x v="2"/>
  </r>
  <r>
    <x v="73"/>
    <x v="58"/>
    <x v="1"/>
    <x v="1"/>
    <x v="0"/>
    <x v="1"/>
    <x v="55"/>
    <x v="20"/>
    <x v="1"/>
    <x v="1"/>
    <x v="1"/>
    <x v="1"/>
  </r>
  <r>
    <x v="74"/>
    <x v="59"/>
    <x v="4"/>
    <x v="12"/>
    <x v="2"/>
    <x v="14"/>
    <x v="56"/>
    <x v="21"/>
    <x v="3"/>
    <x v="16"/>
    <x v="16"/>
    <x v="12"/>
  </r>
  <r>
    <x v="75"/>
    <x v="60"/>
    <x v="1"/>
    <x v="1"/>
    <x v="0"/>
    <x v="33"/>
    <x v="57"/>
    <x v="21"/>
    <x v="1"/>
    <x v="1"/>
    <x v="1"/>
    <x v="1"/>
  </r>
  <r>
    <x v="76"/>
    <x v="61"/>
    <x v="0"/>
    <x v="18"/>
    <x v="2"/>
    <x v="39"/>
    <x v="58"/>
    <x v="21"/>
    <x v="2"/>
    <x v="57"/>
    <x v="57"/>
    <x v="18"/>
  </r>
  <r>
    <x v="77"/>
    <x v="62"/>
    <x v="2"/>
    <x v="23"/>
    <x v="0"/>
    <x v="36"/>
    <x v="59"/>
    <x v="21"/>
    <x v="0"/>
    <x v="41"/>
    <x v="41"/>
    <x v="23"/>
  </r>
  <r>
    <x v="78"/>
    <x v="63"/>
    <x v="4"/>
    <x v="17"/>
    <x v="2"/>
    <x v="30"/>
    <x v="60"/>
    <x v="22"/>
    <x v="1"/>
    <x v="58"/>
    <x v="58"/>
    <x v="17"/>
  </r>
  <r>
    <x v="79"/>
    <x v="64"/>
    <x v="4"/>
    <x v="9"/>
    <x v="2"/>
    <x v="10"/>
    <x v="61"/>
    <x v="22"/>
    <x v="1"/>
    <x v="29"/>
    <x v="29"/>
    <x v="9"/>
  </r>
  <r>
    <x v="80"/>
    <x v="39"/>
    <x v="3"/>
    <x v="14"/>
    <x v="0"/>
    <x v="19"/>
    <x v="38"/>
    <x v="22"/>
    <x v="1"/>
    <x v="48"/>
    <x v="48"/>
    <x v="14"/>
  </r>
  <r>
    <x v="81"/>
    <x v="1"/>
    <x v="3"/>
    <x v="16"/>
    <x v="1"/>
    <x v="41"/>
    <x v="1"/>
    <x v="22"/>
    <x v="2"/>
    <x v="59"/>
    <x v="59"/>
    <x v="16"/>
  </r>
  <r>
    <x v="82"/>
    <x v="4"/>
    <x v="3"/>
    <x v="8"/>
    <x v="2"/>
    <x v="43"/>
    <x v="4"/>
    <x v="22"/>
    <x v="0"/>
    <x v="55"/>
    <x v="55"/>
    <x v="8"/>
  </r>
  <r>
    <x v="83"/>
    <x v="10"/>
    <x v="2"/>
    <x v="23"/>
    <x v="0"/>
    <x v="36"/>
    <x v="10"/>
    <x v="22"/>
    <x v="1"/>
    <x v="60"/>
    <x v="60"/>
    <x v="23"/>
  </r>
  <r>
    <x v="84"/>
    <x v="57"/>
    <x v="4"/>
    <x v="17"/>
    <x v="2"/>
    <x v="22"/>
    <x v="54"/>
    <x v="23"/>
    <x v="0"/>
    <x v="61"/>
    <x v="61"/>
    <x v="17"/>
  </r>
  <r>
    <x v="85"/>
    <x v="45"/>
    <x v="0"/>
    <x v="0"/>
    <x v="2"/>
    <x v="15"/>
    <x v="44"/>
    <x v="23"/>
    <x v="2"/>
    <x v="62"/>
    <x v="62"/>
    <x v="0"/>
  </r>
  <r>
    <x v="86"/>
    <x v="65"/>
    <x v="1"/>
    <x v="6"/>
    <x v="1"/>
    <x v="7"/>
    <x v="62"/>
    <x v="24"/>
    <x v="0"/>
    <x v="42"/>
    <x v="42"/>
    <x v="6"/>
  </r>
  <r>
    <x v="87"/>
    <x v="66"/>
    <x v="2"/>
    <x v="3"/>
    <x v="0"/>
    <x v="3"/>
    <x v="63"/>
    <x v="25"/>
    <x v="2"/>
    <x v="63"/>
    <x v="63"/>
    <x v="3"/>
  </r>
  <r>
    <x v="88"/>
    <x v="67"/>
    <x v="4"/>
    <x v="21"/>
    <x v="0"/>
    <x v="44"/>
    <x v="64"/>
    <x v="26"/>
    <x v="1"/>
    <x v="35"/>
    <x v="35"/>
    <x v="21"/>
  </r>
  <r>
    <x v="89"/>
    <x v="68"/>
    <x v="4"/>
    <x v="21"/>
    <x v="0"/>
    <x v="32"/>
    <x v="65"/>
    <x v="26"/>
    <x v="0"/>
    <x v="64"/>
    <x v="64"/>
    <x v="21"/>
  </r>
  <r>
    <x v="90"/>
    <x v="69"/>
    <x v="3"/>
    <x v="16"/>
    <x v="1"/>
    <x v="41"/>
    <x v="66"/>
    <x v="26"/>
    <x v="1"/>
    <x v="52"/>
    <x v="52"/>
    <x v="16"/>
  </r>
  <r>
    <x v="91"/>
    <x v="70"/>
    <x v="1"/>
    <x v="1"/>
    <x v="3"/>
    <x v="1"/>
    <x v="7"/>
    <x v="26"/>
    <x v="1"/>
    <x v="1"/>
    <x v="1"/>
    <x v="1"/>
  </r>
  <r>
    <x v="92"/>
    <x v="33"/>
    <x v="1"/>
    <x v="22"/>
    <x v="3"/>
    <x v="40"/>
    <x v="32"/>
    <x v="26"/>
    <x v="1"/>
    <x v="65"/>
    <x v="65"/>
    <x v="22"/>
  </r>
  <r>
    <x v="93"/>
    <x v="71"/>
    <x v="3"/>
    <x v="16"/>
    <x v="2"/>
    <x v="21"/>
    <x v="57"/>
    <x v="27"/>
    <x v="2"/>
    <x v="59"/>
    <x v="59"/>
    <x v="16"/>
  </r>
  <r>
    <x v="94"/>
    <x v="72"/>
    <x v="1"/>
    <x v="7"/>
    <x v="2"/>
    <x v="34"/>
    <x v="67"/>
    <x v="27"/>
    <x v="0"/>
    <x v="37"/>
    <x v="37"/>
    <x v="7"/>
  </r>
  <r>
    <x v="95"/>
    <x v="73"/>
    <x v="3"/>
    <x v="20"/>
    <x v="0"/>
    <x v="31"/>
    <x v="68"/>
    <x v="27"/>
    <x v="0"/>
    <x v="66"/>
    <x v="66"/>
    <x v="20"/>
  </r>
  <r>
    <x v="96"/>
    <x v="74"/>
    <x v="4"/>
    <x v="11"/>
    <x v="2"/>
    <x v="13"/>
    <x v="69"/>
    <x v="27"/>
    <x v="3"/>
    <x v="14"/>
    <x v="14"/>
    <x v="11"/>
  </r>
  <r>
    <x v="97"/>
    <x v="75"/>
    <x v="0"/>
    <x v="24"/>
    <x v="2"/>
    <x v="42"/>
    <x v="70"/>
    <x v="27"/>
    <x v="2"/>
    <x v="67"/>
    <x v="67"/>
    <x v="24"/>
  </r>
  <r>
    <x v="98"/>
    <x v="36"/>
    <x v="3"/>
    <x v="14"/>
    <x v="2"/>
    <x v="45"/>
    <x v="35"/>
    <x v="28"/>
    <x v="1"/>
    <x v="48"/>
    <x v="48"/>
    <x v="14"/>
  </r>
  <r>
    <x v="99"/>
    <x v="76"/>
    <x v="3"/>
    <x v="13"/>
    <x v="2"/>
    <x v="16"/>
    <x v="71"/>
    <x v="28"/>
    <x v="3"/>
    <x v="68"/>
    <x v="68"/>
    <x v="13"/>
  </r>
  <r>
    <x v="100"/>
    <x v="75"/>
    <x v="3"/>
    <x v="20"/>
    <x v="2"/>
    <x v="29"/>
    <x v="70"/>
    <x v="28"/>
    <x v="1"/>
    <x v="49"/>
    <x v="49"/>
    <x v="20"/>
  </r>
  <r>
    <x v="101"/>
    <x v="56"/>
    <x v="4"/>
    <x v="12"/>
    <x v="2"/>
    <x v="14"/>
    <x v="53"/>
    <x v="28"/>
    <x v="1"/>
    <x v="15"/>
    <x v="15"/>
    <x v="12"/>
  </r>
  <r>
    <x v="102"/>
    <x v="0"/>
    <x v="1"/>
    <x v="19"/>
    <x v="0"/>
    <x v="38"/>
    <x v="0"/>
    <x v="29"/>
    <x v="1"/>
    <x v="46"/>
    <x v="46"/>
    <x v="19"/>
  </r>
  <r>
    <x v="103"/>
    <x v="77"/>
    <x v="1"/>
    <x v="22"/>
    <x v="2"/>
    <x v="40"/>
    <x v="28"/>
    <x v="29"/>
    <x v="2"/>
    <x v="38"/>
    <x v="38"/>
    <x v="22"/>
  </r>
  <r>
    <x v="104"/>
    <x v="78"/>
    <x v="1"/>
    <x v="19"/>
    <x v="0"/>
    <x v="28"/>
    <x v="72"/>
    <x v="30"/>
    <x v="0"/>
    <x v="30"/>
    <x v="30"/>
    <x v="19"/>
  </r>
  <r>
    <x v="105"/>
    <x v="79"/>
    <x v="2"/>
    <x v="2"/>
    <x v="2"/>
    <x v="2"/>
    <x v="73"/>
    <x v="30"/>
    <x v="3"/>
    <x v="34"/>
    <x v="34"/>
    <x v="2"/>
  </r>
  <r>
    <x v="106"/>
    <x v="80"/>
    <x v="4"/>
    <x v="12"/>
    <x v="0"/>
    <x v="17"/>
    <x v="31"/>
    <x v="30"/>
    <x v="1"/>
    <x v="15"/>
    <x v="15"/>
    <x v="12"/>
  </r>
  <r>
    <x v="107"/>
    <x v="81"/>
    <x v="2"/>
    <x v="23"/>
    <x v="2"/>
    <x v="36"/>
    <x v="74"/>
    <x v="30"/>
    <x v="2"/>
    <x v="69"/>
    <x v="69"/>
    <x v="23"/>
  </r>
  <r>
    <x v="108"/>
    <x v="36"/>
    <x v="4"/>
    <x v="21"/>
    <x v="2"/>
    <x v="44"/>
    <x v="35"/>
    <x v="30"/>
    <x v="3"/>
    <x v="70"/>
    <x v="70"/>
    <x v="21"/>
  </r>
  <r>
    <x v="109"/>
    <x v="9"/>
    <x v="3"/>
    <x v="14"/>
    <x v="1"/>
    <x v="19"/>
    <x v="9"/>
    <x v="30"/>
    <x v="3"/>
    <x v="22"/>
    <x v="22"/>
    <x v="14"/>
  </r>
  <r>
    <x v="110"/>
    <x v="51"/>
    <x v="1"/>
    <x v="22"/>
    <x v="0"/>
    <x v="35"/>
    <x v="40"/>
    <x v="30"/>
    <x v="0"/>
    <x v="71"/>
    <x v="71"/>
    <x v="22"/>
  </r>
  <r>
    <x v="111"/>
    <x v="82"/>
    <x v="4"/>
    <x v="17"/>
    <x v="0"/>
    <x v="22"/>
    <x v="75"/>
    <x v="30"/>
    <x v="1"/>
    <x v="58"/>
    <x v="58"/>
    <x v="17"/>
  </r>
  <r>
    <x v="112"/>
    <x v="83"/>
    <x v="2"/>
    <x v="15"/>
    <x v="2"/>
    <x v="46"/>
    <x v="76"/>
    <x v="30"/>
    <x v="3"/>
    <x v="72"/>
    <x v="72"/>
    <x v="15"/>
  </r>
  <r>
    <x v="113"/>
    <x v="84"/>
    <x v="0"/>
    <x v="24"/>
    <x v="0"/>
    <x v="47"/>
    <x v="77"/>
    <x v="31"/>
    <x v="2"/>
    <x v="67"/>
    <x v="67"/>
    <x v="24"/>
  </r>
  <r>
    <x v="114"/>
    <x v="85"/>
    <x v="2"/>
    <x v="2"/>
    <x v="2"/>
    <x v="2"/>
    <x v="78"/>
    <x v="32"/>
    <x v="0"/>
    <x v="73"/>
    <x v="73"/>
    <x v="2"/>
  </r>
  <r>
    <x v="115"/>
    <x v="41"/>
    <x v="2"/>
    <x v="4"/>
    <x v="2"/>
    <x v="24"/>
    <x v="40"/>
    <x v="32"/>
    <x v="1"/>
    <x v="31"/>
    <x v="31"/>
    <x v="4"/>
  </r>
  <r>
    <x v="116"/>
    <x v="42"/>
    <x v="3"/>
    <x v="8"/>
    <x v="0"/>
    <x v="43"/>
    <x v="41"/>
    <x v="32"/>
    <x v="3"/>
    <x v="10"/>
    <x v="10"/>
    <x v="8"/>
  </r>
  <r>
    <x v="117"/>
    <x v="4"/>
    <x v="0"/>
    <x v="10"/>
    <x v="2"/>
    <x v="18"/>
    <x v="4"/>
    <x v="32"/>
    <x v="0"/>
    <x v="21"/>
    <x v="21"/>
    <x v="10"/>
  </r>
  <r>
    <x v="118"/>
    <x v="86"/>
    <x v="0"/>
    <x v="5"/>
    <x v="2"/>
    <x v="6"/>
    <x v="69"/>
    <x v="32"/>
    <x v="2"/>
    <x v="50"/>
    <x v="50"/>
    <x v="5"/>
  </r>
  <r>
    <x v="119"/>
    <x v="87"/>
    <x v="4"/>
    <x v="21"/>
    <x v="2"/>
    <x v="32"/>
    <x v="79"/>
    <x v="33"/>
    <x v="3"/>
    <x v="70"/>
    <x v="70"/>
    <x v="21"/>
  </r>
  <r>
    <x v="120"/>
    <x v="88"/>
    <x v="0"/>
    <x v="5"/>
    <x v="2"/>
    <x v="12"/>
    <x v="12"/>
    <x v="33"/>
    <x v="3"/>
    <x v="6"/>
    <x v="6"/>
    <x v="5"/>
  </r>
  <r>
    <x v="121"/>
    <x v="42"/>
    <x v="3"/>
    <x v="8"/>
    <x v="0"/>
    <x v="43"/>
    <x v="41"/>
    <x v="33"/>
    <x v="3"/>
    <x v="10"/>
    <x v="10"/>
    <x v="8"/>
  </r>
  <r>
    <x v="122"/>
    <x v="89"/>
    <x v="2"/>
    <x v="3"/>
    <x v="2"/>
    <x v="5"/>
    <x v="80"/>
    <x v="34"/>
    <x v="0"/>
    <x v="74"/>
    <x v="74"/>
    <x v="3"/>
  </r>
  <r>
    <x v="123"/>
    <x v="65"/>
    <x v="2"/>
    <x v="23"/>
    <x v="1"/>
    <x v="36"/>
    <x v="62"/>
    <x v="34"/>
    <x v="3"/>
    <x v="75"/>
    <x v="75"/>
    <x v="23"/>
  </r>
  <r>
    <x v="124"/>
    <x v="90"/>
    <x v="0"/>
    <x v="5"/>
    <x v="2"/>
    <x v="12"/>
    <x v="81"/>
    <x v="34"/>
    <x v="2"/>
    <x v="50"/>
    <x v="50"/>
    <x v="5"/>
  </r>
  <r>
    <x v="125"/>
    <x v="91"/>
    <x v="3"/>
    <x v="20"/>
    <x v="1"/>
    <x v="29"/>
    <x v="82"/>
    <x v="34"/>
    <x v="2"/>
    <x v="45"/>
    <x v="45"/>
    <x v="20"/>
  </r>
  <r>
    <x v="126"/>
    <x v="92"/>
    <x v="4"/>
    <x v="11"/>
    <x v="2"/>
    <x v="26"/>
    <x v="43"/>
    <x v="34"/>
    <x v="0"/>
    <x v="76"/>
    <x v="76"/>
    <x v="11"/>
  </r>
  <r>
    <x v="127"/>
    <x v="33"/>
    <x v="3"/>
    <x v="16"/>
    <x v="3"/>
    <x v="21"/>
    <x v="32"/>
    <x v="34"/>
    <x v="1"/>
    <x v="52"/>
    <x v="52"/>
    <x v="16"/>
  </r>
  <r>
    <x v="128"/>
    <x v="24"/>
    <x v="3"/>
    <x v="20"/>
    <x v="2"/>
    <x v="31"/>
    <x v="24"/>
    <x v="34"/>
    <x v="1"/>
    <x v="49"/>
    <x v="49"/>
    <x v="20"/>
  </r>
  <r>
    <x v="129"/>
    <x v="72"/>
    <x v="1"/>
    <x v="22"/>
    <x v="2"/>
    <x v="40"/>
    <x v="67"/>
    <x v="35"/>
    <x v="1"/>
    <x v="65"/>
    <x v="65"/>
    <x v="22"/>
  </r>
  <r>
    <x v="130"/>
    <x v="93"/>
    <x v="2"/>
    <x v="2"/>
    <x v="2"/>
    <x v="2"/>
    <x v="83"/>
    <x v="35"/>
    <x v="0"/>
    <x v="73"/>
    <x v="73"/>
    <x v="2"/>
  </r>
  <r>
    <x v="131"/>
    <x v="94"/>
    <x v="0"/>
    <x v="24"/>
    <x v="1"/>
    <x v="42"/>
    <x v="84"/>
    <x v="35"/>
    <x v="3"/>
    <x v="77"/>
    <x v="77"/>
    <x v="24"/>
  </r>
  <r>
    <x v="132"/>
    <x v="95"/>
    <x v="4"/>
    <x v="9"/>
    <x v="1"/>
    <x v="10"/>
    <x v="85"/>
    <x v="36"/>
    <x v="1"/>
    <x v="29"/>
    <x v="29"/>
    <x v="9"/>
  </r>
  <r>
    <x v="133"/>
    <x v="96"/>
    <x v="1"/>
    <x v="6"/>
    <x v="0"/>
    <x v="7"/>
    <x v="51"/>
    <x v="36"/>
    <x v="1"/>
    <x v="8"/>
    <x v="8"/>
    <x v="6"/>
  </r>
  <r>
    <x v="134"/>
    <x v="97"/>
    <x v="0"/>
    <x v="18"/>
    <x v="0"/>
    <x v="39"/>
    <x v="86"/>
    <x v="36"/>
    <x v="0"/>
    <x v="78"/>
    <x v="78"/>
    <x v="18"/>
  </r>
  <r>
    <x v="135"/>
    <x v="98"/>
    <x v="1"/>
    <x v="7"/>
    <x v="1"/>
    <x v="8"/>
    <x v="87"/>
    <x v="37"/>
    <x v="3"/>
    <x v="79"/>
    <x v="79"/>
    <x v="7"/>
  </r>
  <r>
    <x v="136"/>
    <x v="99"/>
    <x v="2"/>
    <x v="15"/>
    <x v="1"/>
    <x v="46"/>
    <x v="88"/>
    <x v="37"/>
    <x v="2"/>
    <x v="80"/>
    <x v="80"/>
    <x v="15"/>
  </r>
  <r>
    <x v="137"/>
    <x v="67"/>
    <x v="3"/>
    <x v="16"/>
    <x v="0"/>
    <x v="21"/>
    <x v="64"/>
    <x v="38"/>
    <x v="3"/>
    <x v="81"/>
    <x v="81"/>
    <x v="16"/>
  </r>
  <r>
    <x v="138"/>
    <x v="11"/>
    <x v="1"/>
    <x v="7"/>
    <x v="2"/>
    <x v="34"/>
    <x v="11"/>
    <x v="38"/>
    <x v="0"/>
    <x v="37"/>
    <x v="37"/>
    <x v="7"/>
  </r>
  <r>
    <x v="139"/>
    <x v="100"/>
    <x v="3"/>
    <x v="14"/>
    <x v="0"/>
    <x v="19"/>
    <x v="89"/>
    <x v="38"/>
    <x v="2"/>
    <x v="40"/>
    <x v="40"/>
    <x v="14"/>
  </r>
  <r>
    <x v="140"/>
    <x v="64"/>
    <x v="4"/>
    <x v="11"/>
    <x v="2"/>
    <x v="13"/>
    <x v="61"/>
    <x v="38"/>
    <x v="3"/>
    <x v="14"/>
    <x v="14"/>
    <x v="11"/>
  </r>
  <r>
    <x v="141"/>
    <x v="47"/>
    <x v="1"/>
    <x v="6"/>
    <x v="2"/>
    <x v="7"/>
    <x v="46"/>
    <x v="38"/>
    <x v="1"/>
    <x v="8"/>
    <x v="8"/>
    <x v="6"/>
  </r>
  <r>
    <x v="142"/>
    <x v="90"/>
    <x v="4"/>
    <x v="12"/>
    <x v="2"/>
    <x v="17"/>
    <x v="81"/>
    <x v="38"/>
    <x v="1"/>
    <x v="15"/>
    <x v="15"/>
    <x v="12"/>
  </r>
  <r>
    <x v="143"/>
    <x v="101"/>
    <x v="2"/>
    <x v="4"/>
    <x v="3"/>
    <x v="4"/>
    <x v="90"/>
    <x v="38"/>
    <x v="0"/>
    <x v="44"/>
    <x v="44"/>
    <x v="4"/>
  </r>
  <r>
    <x v="144"/>
    <x v="92"/>
    <x v="2"/>
    <x v="3"/>
    <x v="2"/>
    <x v="3"/>
    <x v="43"/>
    <x v="38"/>
    <x v="2"/>
    <x v="63"/>
    <x v="63"/>
    <x v="3"/>
  </r>
  <r>
    <x v="145"/>
    <x v="28"/>
    <x v="1"/>
    <x v="6"/>
    <x v="0"/>
    <x v="7"/>
    <x v="27"/>
    <x v="39"/>
    <x v="0"/>
    <x v="42"/>
    <x v="42"/>
    <x v="6"/>
  </r>
  <r>
    <x v="146"/>
    <x v="88"/>
    <x v="1"/>
    <x v="7"/>
    <x v="2"/>
    <x v="34"/>
    <x v="12"/>
    <x v="39"/>
    <x v="3"/>
    <x v="79"/>
    <x v="79"/>
    <x v="7"/>
  </r>
  <r>
    <x v="147"/>
    <x v="102"/>
    <x v="1"/>
    <x v="7"/>
    <x v="0"/>
    <x v="34"/>
    <x v="91"/>
    <x v="39"/>
    <x v="3"/>
    <x v="79"/>
    <x v="79"/>
    <x v="7"/>
  </r>
  <r>
    <x v="148"/>
    <x v="103"/>
    <x v="3"/>
    <x v="14"/>
    <x v="1"/>
    <x v="19"/>
    <x v="92"/>
    <x v="39"/>
    <x v="2"/>
    <x v="40"/>
    <x v="40"/>
    <x v="14"/>
  </r>
  <r>
    <x v="149"/>
    <x v="104"/>
    <x v="1"/>
    <x v="7"/>
    <x v="2"/>
    <x v="8"/>
    <x v="93"/>
    <x v="39"/>
    <x v="2"/>
    <x v="82"/>
    <x v="82"/>
    <x v="7"/>
  </r>
  <r>
    <x v="150"/>
    <x v="105"/>
    <x v="4"/>
    <x v="21"/>
    <x v="0"/>
    <x v="32"/>
    <x v="94"/>
    <x v="39"/>
    <x v="3"/>
    <x v="70"/>
    <x v="70"/>
    <x v="21"/>
  </r>
  <r>
    <x v="151"/>
    <x v="94"/>
    <x v="3"/>
    <x v="16"/>
    <x v="1"/>
    <x v="21"/>
    <x v="84"/>
    <x v="39"/>
    <x v="2"/>
    <x v="59"/>
    <x v="59"/>
    <x v="16"/>
  </r>
  <r>
    <x v="152"/>
    <x v="99"/>
    <x v="2"/>
    <x v="15"/>
    <x v="1"/>
    <x v="20"/>
    <x v="88"/>
    <x v="39"/>
    <x v="3"/>
    <x v="72"/>
    <x v="72"/>
    <x v="15"/>
  </r>
  <r>
    <x v="153"/>
    <x v="106"/>
    <x v="3"/>
    <x v="8"/>
    <x v="2"/>
    <x v="43"/>
    <x v="95"/>
    <x v="40"/>
    <x v="1"/>
    <x v="19"/>
    <x v="19"/>
    <x v="8"/>
  </r>
  <r>
    <x v="154"/>
    <x v="75"/>
    <x v="1"/>
    <x v="22"/>
    <x v="2"/>
    <x v="40"/>
    <x v="70"/>
    <x v="40"/>
    <x v="1"/>
    <x v="65"/>
    <x v="65"/>
    <x v="22"/>
  </r>
  <r>
    <x v="155"/>
    <x v="30"/>
    <x v="3"/>
    <x v="14"/>
    <x v="2"/>
    <x v="19"/>
    <x v="29"/>
    <x v="40"/>
    <x v="2"/>
    <x v="40"/>
    <x v="40"/>
    <x v="14"/>
  </r>
  <r>
    <x v="156"/>
    <x v="107"/>
    <x v="0"/>
    <x v="10"/>
    <x v="3"/>
    <x v="18"/>
    <x v="83"/>
    <x v="40"/>
    <x v="0"/>
    <x v="21"/>
    <x v="21"/>
    <x v="10"/>
  </r>
  <r>
    <x v="157"/>
    <x v="108"/>
    <x v="2"/>
    <x v="3"/>
    <x v="0"/>
    <x v="3"/>
    <x v="96"/>
    <x v="41"/>
    <x v="3"/>
    <x v="3"/>
    <x v="3"/>
    <x v="3"/>
  </r>
  <r>
    <x v="158"/>
    <x v="109"/>
    <x v="3"/>
    <x v="20"/>
    <x v="2"/>
    <x v="29"/>
    <x v="79"/>
    <x v="41"/>
    <x v="2"/>
    <x v="45"/>
    <x v="45"/>
    <x v="20"/>
  </r>
  <r>
    <x v="159"/>
    <x v="58"/>
    <x v="4"/>
    <x v="11"/>
    <x v="0"/>
    <x v="13"/>
    <x v="55"/>
    <x v="41"/>
    <x v="0"/>
    <x v="76"/>
    <x v="76"/>
    <x v="11"/>
  </r>
  <r>
    <x v="160"/>
    <x v="110"/>
    <x v="4"/>
    <x v="12"/>
    <x v="0"/>
    <x v="14"/>
    <x v="5"/>
    <x v="41"/>
    <x v="3"/>
    <x v="16"/>
    <x v="16"/>
    <x v="12"/>
  </r>
  <r>
    <x v="161"/>
    <x v="89"/>
    <x v="4"/>
    <x v="21"/>
    <x v="2"/>
    <x v="32"/>
    <x v="80"/>
    <x v="42"/>
    <x v="3"/>
    <x v="70"/>
    <x v="70"/>
    <x v="21"/>
  </r>
  <r>
    <x v="162"/>
    <x v="111"/>
    <x v="4"/>
    <x v="21"/>
    <x v="0"/>
    <x v="44"/>
    <x v="19"/>
    <x v="42"/>
    <x v="2"/>
    <x v="43"/>
    <x v="43"/>
    <x v="21"/>
  </r>
  <r>
    <x v="163"/>
    <x v="112"/>
    <x v="1"/>
    <x v="1"/>
    <x v="3"/>
    <x v="1"/>
    <x v="97"/>
    <x v="42"/>
    <x v="0"/>
    <x v="36"/>
    <x v="36"/>
    <x v="1"/>
  </r>
  <r>
    <x v="164"/>
    <x v="44"/>
    <x v="1"/>
    <x v="7"/>
    <x v="3"/>
    <x v="34"/>
    <x v="43"/>
    <x v="42"/>
    <x v="0"/>
    <x v="37"/>
    <x v="37"/>
    <x v="7"/>
  </r>
  <r>
    <x v="165"/>
    <x v="65"/>
    <x v="3"/>
    <x v="8"/>
    <x v="1"/>
    <x v="9"/>
    <x v="62"/>
    <x v="43"/>
    <x v="3"/>
    <x v="10"/>
    <x v="10"/>
    <x v="8"/>
  </r>
  <r>
    <x v="166"/>
    <x v="94"/>
    <x v="0"/>
    <x v="24"/>
    <x v="1"/>
    <x v="47"/>
    <x v="84"/>
    <x v="43"/>
    <x v="2"/>
    <x v="67"/>
    <x v="67"/>
    <x v="24"/>
  </r>
  <r>
    <x v="167"/>
    <x v="63"/>
    <x v="3"/>
    <x v="8"/>
    <x v="2"/>
    <x v="9"/>
    <x v="60"/>
    <x v="44"/>
    <x v="0"/>
    <x v="55"/>
    <x v="55"/>
    <x v="8"/>
  </r>
  <r>
    <x v="168"/>
    <x v="89"/>
    <x v="1"/>
    <x v="6"/>
    <x v="2"/>
    <x v="7"/>
    <x v="80"/>
    <x v="44"/>
    <x v="2"/>
    <x v="83"/>
    <x v="83"/>
    <x v="6"/>
  </r>
  <r>
    <x v="169"/>
    <x v="113"/>
    <x v="2"/>
    <x v="23"/>
    <x v="2"/>
    <x v="36"/>
    <x v="98"/>
    <x v="44"/>
    <x v="3"/>
    <x v="75"/>
    <x v="75"/>
    <x v="23"/>
  </r>
  <r>
    <x v="170"/>
    <x v="6"/>
    <x v="4"/>
    <x v="9"/>
    <x v="3"/>
    <x v="10"/>
    <x v="6"/>
    <x v="44"/>
    <x v="3"/>
    <x v="11"/>
    <x v="11"/>
    <x v="9"/>
  </r>
  <r>
    <x v="171"/>
    <x v="114"/>
    <x v="1"/>
    <x v="19"/>
    <x v="1"/>
    <x v="28"/>
    <x v="99"/>
    <x v="44"/>
    <x v="0"/>
    <x v="30"/>
    <x v="30"/>
    <x v="19"/>
  </r>
  <r>
    <x v="172"/>
    <x v="16"/>
    <x v="2"/>
    <x v="2"/>
    <x v="0"/>
    <x v="48"/>
    <x v="16"/>
    <x v="45"/>
    <x v="2"/>
    <x v="2"/>
    <x v="2"/>
    <x v="2"/>
  </r>
  <r>
    <x v="173"/>
    <x v="115"/>
    <x v="0"/>
    <x v="18"/>
    <x v="2"/>
    <x v="39"/>
    <x v="100"/>
    <x v="45"/>
    <x v="1"/>
    <x v="84"/>
    <x v="84"/>
    <x v="18"/>
  </r>
  <r>
    <x v="174"/>
    <x v="51"/>
    <x v="2"/>
    <x v="2"/>
    <x v="0"/>
    <x v="2"/>
    <x v="40"/>
    <x v="45"/>
    <x v="2"/>
    <x v="2"/>
    <x v="2"/>
    <x v="2"/>
  </r>
  <r>
    <x v="175"/>
    <x v="104"/>
    <x v="4"/>
    <x v="12"/>
    <x v="2"/>
    <x v="17"/>
    <x v="93"/>
    <x v="45"/>
    <x v="2"/>
    <x v="47"/>
    <x v="47"/>
    <x v="12"/>
  </r>
  <r>
    <x v="176"/>
    <x v="76"/>
    <x v="3"/>
    <x v="20"/>
    <x v="2"/>
    <x v="31"/>
    <x v="71"/>
    <x v="45"/>
    <x v="1"/>
    <x v="49"/>
    <x v="49"/>
    <x v="20"/>
  </r>
  <r>
    <x v="177"/>
    <x v="116"/>
    <x v="0"/>
    <x v="24"/>
    <x v="3"/>
    <x v="42"/>
    <x v="101"/>
    <x v="45"/>
    <x v="0"/>
    <x v="85"/>
    <x v="85"/>
    <x v="24"/>
  </r>
  <r>
    <x v="178"/>
    <x v="101"/>
    <x v="3"/>
    <x v="14"/>
    <x v="3"/>
    <x v="45"/>
    <x v="90"/>
    <x v="46"/>
    <x v="0"/>
    <x v="86"/>
    <x v="86"/>
    <x v="14"/>
  </r>
  <r>
    <x v="179"/>
    <x v="37"/>
    <x v="2"/>
    <x v="2"/>
    <x v="0"/>
    <x v="48"/>
    <x v="36"/>
    <x v="47"/>
    <x v="1"/>
    <x v="56"/>
    <x v="56"/>
    <x v="2"/>
  </r>
  <r>
    <x v="180"/>
    <x v="117"/>
    <x v="0"/>
    <x v="18"/>
    <x v="2"/>
    <x v="39"/>
    <x v="102"/>
    <x v="47"/>
    <x v="0"/>
    <x v="78"/>
    <x v="78"/>
    <x v="18"/>
  </r>
  <r>
    <x v="181"/>
    <x v="52"/>
    <x v="1"/>
    <x v="6"/>
    <x v="0"/>
    <x v="7"/>
    <x v="49"/>
    <x v="47"/>
    <x v="1"/>
    <x v="8"/>
    <x v="8"/>
    <x v="6"/>
  </r>
  <r>
    <x v="182"/>
    <x v="113"/>
    <x v="4"/>
    <x v="21"/>
    <x v="2"/>
    <x v="32"/>
    <x v="98"/>
    <x v="48"/>
    <x v="2"/>
    <x v="43"/>
    <x v="43"/>
    <x v="21"/>
  </r>
  <r>
    <x v="183"/>
    <x v="107"/>
    <x v="3"/>
    <x v="8"/>
    <x v="3"/>
    <x v="43"/>
    <x v="83"/>
    <x v="48"/>
    <x v="1"/>
    <x v="19"/>
    <x v="19"/>
    <x v="8"/>
  </r>
  <r>
    <x v="184"/>
    <x v="1"/>
    <x v="1"/>
    <x v="1"/>
    <x v="1"/>
    <x v="1"/>
    <x v="1"/>
    <x v="49"/>
    <x v="2"/>
    <x v="54"/>
    <x v="54"/>
    <x v="1"/>
  </r>
  <r>
    <x v="185"/>
    <x v="86"/>
    <x v="1"/>
    <x v="19"/>
    <x v="2"/>
    <x v="38"/>
    <x v="69"/>
    <x v="49"/>
    <x v="0"/>
    <x v="30"/>
    <x v="30"/>
    <x v="19"/>
  </r>
  <r>
    <x v="186"/>
    <x v="118"/>
    <x v="1"/>
    <x v="6"/>
    <x v="3"/>
    <x v="7"/>
    <x v="103"/>
    <x v="50"/>
    <x v="1"/>
    <x v="8"/>
    <x v="8"/>
    <x v="6"/>
  </r>
  <r>
    <x v="187"/>
    <x v="19"/>
    <x v="1"/>
    <x v="7"/>
    <x v="3"/>
    <x v="8"/>
    <x v="19"/>
    <x v="50"/>
    <x v="3"/>
    <x v="79"/>
    <x v="79"/>
    <x v="7"/>
  </r>
  <r>
    <x v="188"/>
    <x v="63"/>
    <x v="3"/>
    <x v="16"/>
    <x v="2"/>
    <x v="41"/>
    <x v="60"/>
    <x v="51"/>
    <x v="0"/>
    <x v="24"/>
    <x v="24"/>
    <x v="16"/>
  </r>
  <r>
    <x v="189"/>
    <x v="0"/>
    <x v="1"/>
    <x v="1"/>
    <x v="0"/>
    <x v="1"/>
    <x v="0"/>
    <x v="51"/>
    <x v="0"/>
    <x v="36"/>
    <x v="36"/>
    <x v="1"/>
  </r>
  <r>
    <x v="190"/>
    <x v="5"/>
    <x v="0"/>
    <x v="24"/>
    <x v="2"/>
    <x v="42"/>
    <x v="5"/>
    <x v="52"/>
    <x v="2"/>
    <x v="67"/>
    <x v="67"/>
    <x v="24"/>
  </r>
  <r>
    <x v="191"/>
    <x v="28"/>
    <x v="0"/>
    <x v="24"/>
    <x v="0"/>
    <x v="42"/>
    <x v="27"/>
    <x v="52"/>
    <x v="3"/>
    <x v="77"/>
    <x v="77"/>
    <x v="24"/>
  </r>
  <r>
    <x v="192"/>
    <x v="119"/>
    <x v="2"/>
    <x v="2"/>
    <x v="2"/>
    <x v="2"/>
    <x v="58"/>
    <x v="52"/>
    <x v="2"/>
    <x v="2"/>
    <x v="2"/>
    <x v="2"/>
  </r>
  <r>
    <x v="193"/>
    <x v="109"/>
    <x v="4"/>
    <x v="12"/>
    <x v="2"/>
    <x v="14"/>
    <x v="79"/>
    <x v="52"/>
    <x v="0"/>
    <x v="87"/>
    <x v="87"/>
    <x v="12"/>
  </r>
  <r>
    <x v="194"/>
    <x v="110"/>
    <x v="1"/>
    <x v="6"/>
    <x v="0"/>
    <x v="7"/>
    <x v="5"/>
    <x v="52"/>
    <x v="0"/>
    <x v="42"/>
    <x v="42"/>
    <x v="6"/>
  </r>
  <r>
    <x v="195"/>
    <x v="64"/>
    <x v="3"/>
    <x v="14"/>
    <x v="2"/>
    <x v="19"/>
    <x v="61"/>
    <x v="53"/>
    <x v="0"/>
    <x v="86"/>
    <x v="86"/>
    <x v="14"/>
  </r>
  <r>
    <x v="196"/>
    <x v="57"/>
    <x v="2"/>
    <x v="15"/>
    <x v="2"/>
    <x v="46"/>
    <x v="54"/>
    <x v="53"/>
    <x v="1"/>
    <x v="88"/>
    <x v="88"/>
    <x v="15"/>
  </r>
  <r>
    <x v="197"/>
    <x v="120"/>
    <x v="4"/>
    <x v="11"/>
    <x v="0"/>
    <x v="26"/>
    <x v="66"/>
    <x v="54"/>
    <x v="1"/>
    <x v="89"/>
    <x v="89"/>
    <x v="11"/>
  </r>
  <r>
    <x v="198"/>
    <x v="47"/>
    <x v="2"/>
    <x v="23"/>
    <x v="2"/>
    <x v="49"/>
    <x v="46"/>
    <x v="55"/>
    <x v="0"/>
    <x v="41"/>
    <x v="41"/>
    <x v="23"/>
  </r>
  <r>
    <x v="199"/>
    <x v="75"/>
    <x v="4"/>
    <x v="12"/>
    <x v="2"/>
    <x v="17"/>
    <x v="70"/>
    <x v="55"/>
    <x v="2"/>
    <x v="47"/>
    <x v="47"/>
    <x v="12"/>
  </r>
  <r>
    <x v="200"/>
    <x v="78"/>
    <x v="3"/>
    <x v="14"/>
    <x v="0"/>
    <x v="45"/>
    <x v="72"/>
    <x v="56"/>
    <x v="0"/>
    <x v="86"/>
    <x v="86"/>
    <x v="14"/>
  </r>
  <r>
    <x v="201"/>
    <x v="113"/>
    <x v="1"/>
    <x v="7"/>
    <x v="2"/>
    <x v="34"/>
    <x v="98"/>
    <x v="56"/>
    <x v="2"/>
    <x v="82"/>
    <x v="82"/>
    <x v="7"/>
  </r>
  <r>
    <x v="202"/>
    <x v="66"/>
    <x v="1"/>
    <x v="6"/>
    <x v="0"/>
    <x v="7"/>
    <x v="63"/>
    <x v="56"/>
    <x v="0"/>
    <x v="42"/>
    <x v="42"/>
    <x v="6"/>
  </r>
  <r>
    <x v="203"/>
    <x v="121"/>
    <x v="3"/>
    <x v="8"/>
    <x v="2"/>
    <x v="43"/>
    <x v="104"/>
    <x v="56"/>
    <x v="0"/>
    <x v="55"/>
    <x v="55"/>
    <x v="8"/>
  </r>
  <r>
    <x v="204"/>
    <x v="122"/>
    <x v="4"/>
    <x v="21"/>
    <x v="3"/>
    <x v="44"/>
    <x v="105"/>
    <x v="57"/>
    <x v="1"/>
    <x v="35"/>
    <x v="35"/>
    <x v="21"/>
  </r>
  <r>
    <x v="205"/>
    <x v="13"/>
    <x v="4"/>
    <x v="9"/>
    <x v="2"/>
    <x v="23"/>
    <x v="13"/>
    <x v="57"/>
    <x v="0"/>
    <x v="39"/>
    <x v="39"/>
    <x v="9"/>
  </r>
  <r>
    <x v="206"/>
    <x v="88"/>
    <x v="0"/>
    <x v="18"/>
    <x v="2"/>
    <x v="39"/>
    <x v="12"/>
    <x v="57"/>
    <x v="0"/>
    <x v="78"/>
    <x v="78"/>
    <x v="18"/>
  </r>
  <r>
    <x v="207"/>
    <x v="75"/>
    <x v="1"/>
    <x v="1"/>
    <x v="2"/>
    <x v="33"/>
    <x v="70"/>
    <x v="57"/>
    <x v="3"/>
    <x v="90"/>
    <x v="90"/>
    <x v="1"/>
  </r>
  <r>
    <x v="208"/>
    <x v="63"/>
    <x v="3"/>
    <x v="20"/>
    <x v="2"/>
    <x v="31"/>
    <x v="60"/>
    <x v="58"/>
    <x v="3"/>
    <x v="32"/>
    <x v="32"/>
    <x v="20"/>
  </r>
  <r>
    <x v="209"/>
    <x v="47"/>
    <x v="1"/>
    <x v="7"/>
    <x v="2"/>
    <x v="34"/>
    <x v="46"/>
    <x v="58"/>
    <x v="1"/>
    <x v="9"/>
    <x v="9"/>
    <x v="7"/>
  </r>
  <r>
    <x v="210"/>
    <x v="17"/>
    <x v="2"/>
    <x v="23"/>
    <x v="0"/>
    <x v="49"/>
    <x v="17"/>
    <x v="58"/>
    <x v="3"/>
    <x v="75"/>
    <x v="75"/>
    <x v="23"/>
  </r>
  <r>
    <x v="211"/>
    <x v="114"/>
    <x v="3"/>
    <x v="20"/>
    <x v="1"/>
    <x v="29"/>
    <x v="99"/>
    <x v="58"/>
    <x v="3"/>
    <x v="32"/>
    <x v="32"/>
    <x v="20"/>
  </r>
  <r>
    <x v="212"/>
    <x v="34"/>
    <x v="4"/>
    <x v="21"/>
    <x v="0"/>
    <x v="32"/>
    <x v="33"/>
    <x v="58"/>
    <x v="2"/>
    <x v="43"/>
    <x v="43"/>
    <x v="21"/>
  </r>
  <r>
    <x v="213"/>
    <x v="123"/>
    <x v="3"/>
    <x v="20"/>
    <x v="3"/>
    <x v="29"/>
    <x v="106"/>
    <x v="59"/>
    <x v="3"/>
    <x v="32"/>
    <x v="32"/>
    <x v="20"/>
  </r>
  <r>
    <x v="214"/>
    <x v="92"/>
    <x v="2"/>
    <x v="2"/>
    <x v="2"/>
    <x v="48"/>
    <x v="43"/>
    <x v="59"/>
    <x v="2"/>
    <x v="2"/>
    <x v="2"/>
    <x v="2"/>
  </r>
  <r>
    <x v="215"/>
    <x v="15"/>
    <x v="0"/>
    <x v="18"/>
    <x v="0"/>
    <x v="25"/>
    <x v="15"/>
    <x v="59"/>
    <x v="1"/>
    <x v="84"/>
    <x v="84"/>
    <x v="18"/>
  </r>
  <r>
    <x v="216"/>
    <x v="116"/>
    <x v="1"/>
    <x v="22"/>
    <x v="3"/>
    <x v="40"/>
    <x v="101"/>
    <x v="59"/>
    <x v="1"/>
    <x v="65"/>
    <x v="65"/>
    <x v="22"/>
  </r>
  <r>
    <x v="217"/>
    <x v="124"/>
    <x v="4"/>
    <x v="17"/>
    <x v="1"/>
    <x v="30"/>
    <x v="107"/>
    <x v="60"/>
    <x v="0"/>
    <x v="61"/>
    <x v="61"/>
    <x v="17"/>
  </r>
  <r>
    <x v="218"/>
    <x v="68"/>
    <x v="1"/>
    <x v="1"/>
    <x v="0"/>
    <x v="33"/>
    <x v="65"/>
    <x v="60"/>
    <x v="2"/>
    <x v="54"/>
    <x v="54"/>
    <x v="1"/>
  </r>
  <r>
    <x v="219"/>
    <x v="41"/>
    <x v="3"/>
    <x v="14"/>
    <x v="2"/>
    <x v="19"/>
    <x v="40"/>
    <x v="61"/>
    <x v="3"/>
    <x v="22"/>
    <x v="22"/>
    <x v="14"/>
  </r>
  <r>
    <x v="220"/>
    <x v="5"/>
    <x v="1"/>
    <x v="6"/>
    <x v="2"/>
    <x v="37"/>
    <x v="5"/>
    <x v="62"/>
    <x v="1"/>
    <x v="8"/>
    <x v="8"/>
    <x v="6"/>
  </r>
  <r>
    <x v="221"/>
    <x v="72"/>
    <x v="1"/>
    <x v="6"/>
    <x v="2"/>
    <x v="37"/>
    <x v="67"/>
    <x v="62"/>
    <x v="3"/>
    <x v="91"/>
    <x v="91"/>
    <x v="6"/>
  </r>
  <r>
    <x v="222"/>
    <x v="79"/>
    <x v="2"/>
    <x v="4"/>
    <x v="2"/>
    <x v="24"/>
    <x v="73"/>
    <x v="62"/>
    <x v="1"/>
    <x v="31"/>
    <x v="31"/>
    <x v="4"/>
  </r>
  <r>
    <x v="223"/>
    <x v="119"/>
    <x v="2"/>
    <x v="2"/>
    <x v="2"/>
    <x v="48"/>
    <x v="58"/>
    <x v="62"/>
    <x v="1"/>
    <x v="56"/>
    <x v="56"/>
    <x v="2"/>
  </r>
  <r>
    <x v="224"/>
    <x v="125"/>
    <x v="3"/>
    <x v="13"/>
    <x v="1"/>
    <x v="27"/>
    <x v="106"/>
    <x v="62"/>
    <x v="0"/>
    <x v="92"/>
    <x v="92"/>
    <x v="13"/>
  </r>
  <r>
    <x v="225"/>
    <x v="78"/>
    <x v="2"/>
    <x v="3"/>
    <x v="0"/>
    <x v="3"/>
    <x v="72"/>
    <x v="63"/>
    <x v="0"/>
    <x v="74"/>
    <x v="74"/>
    <x v="3"/>
  </r>
  <r>
    <x v="226"/>
    <x v="126"/>
    <x v="0"/>
    <x v="0"/>
    <x v="2"/>
    <x v="15"/>
    <x v="108"/>
    <x v="63"/>
    <x v="1"/>
    <x v="93"/>
    <x v="93"/>
    <x v="0"/>
  </r>
  <r>
    <x v="227"/>
    <x v="60"/>
    <x v="2"/>
    <x v="23"/>
    <x v="0"/>
    <x v="36"/>
    <x v="57"/>
    <x v="63"/>
    <x v="0"/>
    <x v="41"/>
    <x v="41"/>
    <x v="23"/>
  </r>
  <r>
    <x v="228"/>
    <x v="8"/>
    <x v="2"/>
    <x v="2"/>
    <x v="0"/>
    <x v="48"/>
    <x v="8"/>
    <x v="63"/>
    <x v="1"/>
    <x v="56"/>
    <x v="56"/>
    <x v="2"/>
  </r>
  <r>
    <x v="229"/>
    <x v="99"/>
    <x v="4"/>
    <x v="17"/>
    <x v="1"/>
    <x v="22"/>
    <x v="88"/>
    <x v="63"/>
    <x v="2"/>
    <x v="33"/>
    <x v="33"/>
    <x v="17"/>
  </r>
  <r>
    <x v="230"/>
    <x v="127"/>
    <x v="0"/>
    <x v="10"/>
    <x v="3"/>
    <x v="11"/>
    <x v="109"/>
    <x v="64"/>
    <x v="3"/>
    <x v="12"/>
    <x v="12"/>
    <x v="10"/>
  </r>
  <r>
    <x v="231"/>
    <x v="128"/>
    <x v="4"/>
    <x v="21"/>
    <x v="2"/>
    <x v="44"/>
    <x v="25"/>
    <x v="64"/>
    <x v="3"/>
    <x v="70"/>
    <x v="70"/>
    <x v="21"/>
  </r>
  <r>
    <x v="232"/>
    <x v="129"/>
    <x v="0"/>
    <x v="5"/>
    <x v="2"/>
    <x v="6"/>
    <x v="110"/>
    <x v="65"/>
    <x v="0"/>
    <x v="13"/>
    <x v="13"/>
    <x v="5"/>
  </r>
  <r>
    <x v="233"/>
    <x v="130"/>
    <x v="3"/>
    <x v="16"/>
    <x v="2"/>
    <x v="21"/>
    <x v="111"/>
    <x v="65"/>
    <x v="2"/>
    <x v="59"/>
    <x v="59"/>
    <x v="16"/>
  </r>
  <r>
    <x v="234"/>
    <x v="91"/>
    <x v="1"/>
    <x v="1"/>
    <x v="1"/>
    <x v="1"/>
    <x v="82"/>
    <x v="65"/>
    <x v="3"/>
    <x v="90"/>
    <x v="90"/>
    <x v="1"/>
  </r>
  <r>
    <x v="235"/>
    <x v="74"/>
    <x v="4"/>
    <x v="12"/>
    <x v="2"/>
    <x v="17"/>
    <x v="69"/>
    <x v="65"/>
    <x v="1"/>
    <x v="15"/>
    <x v="15"/>
    <x v="12"/>
  </r>
  <r>
    <x v="236"/>
    <x v="101"/>
    <x v="4"/>
    <x v="17"/>
    <x v="3"/>
    <x v="22"/>
    <x v="90"/>
    <x v="65"/>
    <x v="3"/>
    <x v="25"/>
    <x v="25"/>
    <x v="17"/>
  </r>
  <r>
    <x v="237"/>
    <x v="131"/>
    <x v="1"/>
    <x v="1"/>
    <x v="0"/>
    <x v="33"/>
    <x v="112"/>
    <x v="65"/>
    <x v="1"/>
    <x v="1"/>
    <x v="1"/>
    <x v="1"/>
  </r>
  <r>
    <x v="238"/>
    <x v="42"/>
    <x v="4"/>
    <x v="12"/>
    <x v="0"/>
    <x v="14"/>
    <x v="41"/>
    <x v="65"/>
    <x v="1"/>
    <x v="15"/>
    <x v="15"/>
    <x v="12"/>
  </r>
  <r>
    <x v="239"/>
    <x v="7"/>
    <x v="4"/>
    <x v="21"/>
    <x v="0"/>
    <x v="32"/>
    <x v="7"/>
    <x v="65"/>
    <x v="2"/>
    <x v="43"/>
    <x v="43"/>
    <x v="21"/>
  </r>
  <r>
    <x v="240"/>
    <x v="46"/>
    <x v="1"/>
    <x v="1"/>
    <x v="2"/>
    <x v="33"/>
    <x v="45"/>
    <x v="65"/>
    <x v="3"/>
    <x v="90"/>
    <x v="90"/>
    <x v="1"/>
  </r>
  <r>
    <x v="241"/>
    <x v="31"/>
    <x v="0"/>
    <x v="0"/>
    <x v="0"/>
    <x v="15"/>
    <x v="30"/>
    <x v="65"/>
    <x v="1"/>
    <x v="93"/>
    <x v="93"/>
    <x v="0"/>
  </r>
  <r>
    <x v="242"/>
    <x v="132"/>
    <x v="2"/>
    <x v="3"/>
    <x v="2"/>
    <x v="3"/>
    <x v="113"/>
    <x v="66"/>
    <x v="3"/>
    <x v="3"/>
    <x v="3"/>
    <x v="3"/>
  </r>
  <r>
    <x v="243"/>
    <x v="30"/>
    <x v="0"/>
    <x v="0"/>
    <x v="2"/>
    <x v="0"/>
    <x v="29"/>
    <x v="66"/>
    <x v="0"/>
    <x v="0"/>
    <x v="0"/>
    <x v="0"/>
  </r>
  <r>
    <x v="244"/>
    <x v="47"/>
    <x v="1"/>
    <x v="1"/>
    <x v="2"/>
    <x v="1"/>
    <x v="46"/>
    <x v="67"/>
    <x v="3"/>
    <x v="90"/>
    <x v="90"/>
    <x v="1"/>
  </r>
  <r>
    <x v="245"/>
    <x v="110"/>
    <x v="3"/>
    <x v="20"/>
    <x v="0"/>
    <x v="29"/>
    <x v="5"/>
    <x v="67"/>
    <x v="1"/>
    <x v="49"/>
    <x v="49"/>
    <x v="20"/>
  </r>
  <r>
    <x v="246"/>
    <x v="133"/>
    <x v="2"/>
    <x v="15"/>
    <x v="0"/>
    <x v="46"/>
    <x v="114"/>
    <x v="68"/>
    <x v="1"/>
    <x v="88"/>
    <x v="88"/>
    <x v="15"/>
  </r>
  <r>
    <x v="247"/>
    <x v="0"/>
    <x v="0"/>
    <x v="10"/>
    <x v="0"/>
    <x v="18"/>
    <x v="0"/>
    <x v="69"/>
    <x v="1"/>
    <x v="94"/>
    <x v="94"/>
    <x v="10"/>
  </r>
  <r>
    <x v="248"/>
    <x v="131"/>
    <x v="0"/>
    <x v="0"/>
    <x v="0"/>
    <x v="0"/>
    <x v="112"/>
    <x v="69"/>
    <x v="1"/>
    <x v="93"/>
    <x v="93"/>
    <x v="0"/>
  </r>
  <r>
    <x v="249"/>
    <x v="32"/>
    <x v="1"/>
    <x v="19"/>
    <x v="2"/>
    <x v="28"/>
    <x v="31"/>
    <x v="69"/>
    <x v="2"/>
    <x v="95"/>
    <x v="95"/>
    <x v="19"/>
  </r>
  <r>
    <x v="250"/>
    <x v="110"/>
    <x v="1"/>
    <x v="7"/>
    <x v="0"/>
    <x v="34"/>
    <x v="5"/>
    <x v="69"/>
    <x v="0"/>
    <x v="37"/>
    <x v="37"/>
    <x v="7"/>
  </r>
  <r>
    <x v="251"/>
    <x v="134"/>
    <x v="3"/>
    <x v="13"/>
    <x v="0"/>
    <x v="27"/>
    <x v="115"/>
    <x v="70"/>
    <x v="1"/>
    <x v="96"/>
    <x v="96"/>
    <x v="13"/>
  </r>
  <r>
    <x v="252"/>
    <x v="91"/>
    <x v="1"/>
    <x v="6"/>
    <x v="1"/>
    <x v="7"/>
    <x v="82"/>
    <x v="70"/>
    <x v="1"/>
    <x v="8"/>
    <x v="8"/>
    <x v="6"/>
  </r>
  <r>
    <x v="253"/>
    <x v="58"/>
    <x v="1"/>
    <x v="19"/>
    <x v="0"/>
    <x v="28"/>
    <x v="55"/>
    <x v="70"/>
    <x v="0"/>
    <x v="30"/>
    <x v="30"/>
    <x v="19"/>
  </r>
  <r>
    <x v="254"/>
    <x v="63"/>
    <x v="0"/>
    <x v="24"/>
    <x v="2"/>
    <x v="47"/>
    <x v="60"/>
    <x v="71"/>
    <x v="0"/>
    <x v="85"/>
    <x v="85"/>
    <x v="24"/>
  </r>
  <r>
    <x v="255"/>
    <x v="15"/>
    <x v="0"/>
    <x v="0"/>
    <x v="0"/>
    <x v="0"/>
    <x v="15"/>
    <x v="71"/>
    <x v="2"/>
    <x v="62"/>
    <x v="62"/>
    <x v="0"/>
  </r>
  <r>
    <x v="256"/>
    <x v="27"/>
    <x v="4"/>
    <x v="17"/>
    <x v="0"/>
    <x v="22"/>
    <x v="26"/>
    <x v="71"/>
    <x v="3"/>
    <x v="25"/>
    <x v="25"/>
    <x v="17"/>
  </r>
  <r>
    <x v="257"/>
    <x v="42"/>
    <x v="4"/>
    <x v="11"/>
    <x v="0"/>
    <x v="13"/>
    <x v="41"/>
    <x v="72"/>
    <x v="2"/>
    <x v="20"/>
    <x v="20"/>
    <x v="11"/>
  </r>
  <r>
    <x v="258"/>
    <x v="135"/>
    <x v="1"/>
    <x v="7"/>
    <x v="4"/>
    <x v="34"/>
    <x v="116"/>
    <x v="72"/>
    <x v="1"/>
    <x v="9"/>
    <x v="9"/>
    <x v="7"/>
  </r>
  <r>
    <x v="259"/>
    <x v="136"/>
    <x v="0"/>
    <x v="10"/>
    <x v="1"/>
    <x v="11"/>
    <x v="117"/>
    <x v="72"/>
    <x v="0"/>
    <x v="21"/>
    <x v="21"/>
    <x v="10"/>
  </r>
  <r>
    <x v="260"/>
    <x v="47"/>
    <x v="2"/>
    <x v="2"/>
    <x v="2"/>
    <x v="2"/>
    <x v="46"/>
    <x v="73"/>
    <x v="0"/>
    <x v="73"/>
    <x v="73"/>
    <x v="2"/>
  </r>
  <r>
    <x v="261"/>
    <x v="101"/>
    <x v="2"/>
    <x v="4"/>
    <x v="3"/>
    <x v="4"/>
    <x v="90"/>
    <x v="73"/>
    <x v="0"/>
    <x v="44"/>
    <x v="44"/>
    <x v="4"/>
  </r>
  <r>
    <x v="262"/>
    <x v="82"/>
    <x v="4"/>
    <x v="11"/>
    <x v="0"/>
    <x v="26"/>
    <x v="75"/>
    <x v="73"/>
    <x v="0"/>
    <x v="76"/>
    <x v="76"/>
    <x v="11"/>
  </r>
  <r>
    <x v="263"/>
    <x v="137"/>
    <x v="3"/>
    <x v="13"/>
    <x v="1"/>
    <x v="27"/>
    <x v="118"/>
    <x v="73"/>
    <x v="1"/>
    <x v="96"/>
    <x v="96"/>
    <x v="13"/>
  </r>
  <r>
    <x v="264"/>
    <x v="138"/>
    <x v="4"/>
    <x v="11"/>
    <x v="2"/>
    <x v="26"/>
    <x v="119"/>
    <x v="74"/>
    <x v="0"/>
    <x v="76"/>
    <x v="76"/>
    <x v="11"/>
  </r>
  <r>
    <x v="265"/>
    <x v="24"/>
    <x v="1"/>
    <x v="6"/>
    <x v="2"/>
    <x v="37"/>
    <x v="24"/>
    <x v="75"/>
    <x v="3"/>
    <x v="91"/>
    <x v="91"/>
    <x v="6"/>
  </r>
  <r>
    <x v="266"/>
    <x v="100"/>
    <x v="4"/>
    <x v="17"/>
    <x v="0"/>
    <x v="22"/>
    <x v="89"/>
    <x v="76"/>
    <x v="0"/>
    <x v="61"/>
    <x v="61"/>
    <x v="17"/>
  </r>
  <r>
    <x v="267"/>
    <x v="66"/>
    <x v="2"/>
    <x v="23"/>
    <x v="0"/>
    <x v="49"/>
    <x v="63"/>
    <x v="76"/>
    <x v="0"/>
    <x v="41"/>
    <x v="41"/>
    <x v="23"/>
  </r>
  <r>
    <x v="268"/>
    <x v="137"/>
    <x v="4"/>
    <x v="17"/>
    <x v="1"/>
    <x v="22"/>
    <x v="118"/>
    <x v="76"/>
    <x v="2"/>
    <x v="33"/>
    <x v="33"/>
    <x v="17"/>
  </r>
  <r>
    <x v="269"/>
    <x v="77"/>
    <x v="1"/>
    <x v="22"/>
    <x v="2"/>
    <x v="40"/>
    <x v="28"/>
    <x v="76"/>
    <x v="2"/>
    <x v="38"/>
    <x v="38"/>
    <x v="22"/>
  </r>
  <r>
    <x v="270"/>
    <x v="79"/>
    <x v="3"/>
    <x v="16"/>
    <x v="2"/>
    <x v="41"/>
    <x v="73"/>
    <x v="77"/>
    <x v="1"/>
    <x v="52"/>
    <x v="52"/>
    <x v="16"/>
  </r>
  <r>
    <x v="271"/>
    <x v="59"/>
    <x v="0"/>
    <x v="24"/>
    <x v="2"/>
    <x v="42"/>
    <x v="56"/>
    <x v="77"/>
    <x v="1"/>
    <x v="53"/>
    <x v="53"/>
    <x v="24"/>
  </r>
  <r>
    <x v="272"/>
    <x v="139"/>
    <x v="3"/>
    <x v="20"/>
    <x v="3"/>
    <x v="29"/>
    <x v="31"/>
    <x v="77"/>
    <x v="3"/>
    <x v="32"/>
    <x v="32"/>
    <x v="20"/>
  </r>
  <r>
    <x v="273"/>
    <x v="19"/>
    <x v="3"/>
    <x v="13"/>
    <x v="3"/>
    <x v="16"/>
    <x v="19"/>
    <x v="77"/>
    <x v="3"/>
    <x v="68"/>
    <x v="68"/>
    <x v="13"/>
  </r>
  <r>
    <x v="274"/>
    <x v="140"/>
    <x v="1"/>
    <x v="22"/>
    <x v="0"/>
    <x v="40"/>
    <x v="120"/>
    <x v="77"/>
    <x v="1"/>
    <x v="65"/>
    <x v="65"/>
    <x v="22"/>
  </r>
  <r>
    <x v="275"/>
    <x v="141"/>
    <x v="1"/>
    <x v="6"/>
    <x v="2"/>
    <x v="7"/>
    <x v="121"/>
    <x v="77"/>
    <x v="2"/>
    <x v="83"/>
    <x v="83"/>
    <x v="6"/>
  </r>
  <r>
    <x v="276"/>
    <x v="34"/>
    <x v="0"/>
    <x v="10"/>
    <x v="0"/>
    <x v="11"/>
    <x v="33"/>
    <x v="77"/>
    <x v="3"/>
    <x v="12"/>
    <x v="12"/>
    <x v="10"/>
  </r>
  <r>
    <x v="277"/>
    <x v="142"/>
    <x v="1"/>
    <x v="1"/>
    <x v="1"/>
    <x v="33"/>
    <x v="122"/>
    <x v="77"/>
    <x v="2"/>
    <x v="54"/>
    <x v="54"/>
    <x v="1"/>
  </r>
  <r>
    <x v="278"/>
    <x v="143"/>
    <x v="2"/>
    <x v="4"/>
    <x v="0"/>
    <x v="24"/>
    <x v="123"/>
    <x v="78"/>
    <x v="3"/>
    <x v="4"/>
    <x v="4"/>
    <x v="4"/>
  </r>
  <r>
    <x v="279"/>
    <x v="80"/>
    <x v="1"/>
    <x v="19"/>
    <x v="0"/>
    <x v="38"/>
    <x v="31"/>
    <x v="78"/>
    <x v="2"/>
    <x v="95"/>
    <x v="95"/>
    <x v="19"/>
  </r>
  <r>
    <x v="280"/>
    <x v="87"/>
    <x v="4"/>
    <x v="21"/>
    <x v="2"/>
    <x v="32"/>
    <x v="79"/>
    <x v="78"/>
    <x v="0"/>
    <x v="64"/>
    <x v="64"/>
    <x v="21"/>
  </r>
  <r>
    <x v="281"/>
    <x v="106"/>
    <x v="2"/>
    <x v="2"/>
    <x v="2"/>
    <x v="48"/>
    <x v="95"/>
    <x v="78"/>
    <x v="0"/>
    <x v="73"/>
    <x v="73"/>
    <x v="2"/>
  </r>
  <r>
    <x v="282"/>
    <x v="144"/>
    <x v="1"/>
    <x v="6"/>
    <x v="2"/>
    <x v="37"/>
    <x v="124"/>
    <x v="78"/>
    <x v="3"/>
    <x v="91"/>
    <x v="91"/>
    <x v="6"/>
  </r>
  <r>
    <x v="283"/>
    <x v="145"/>
    <x v="2"/>
    <x v="2"/>
    <x v="0"/>
    <x v="2"/>
    <x v="125"/>
    <x v="78"/>
    <x v="3"/>
    <x v="34"/>
    <x v="34"/>
    <x v="2"/>
  </r>
  <r>
    <x v="284"/>
    <x v="142"/>
    <x v="4"/>
    <x v="12"/>
    <x v="1"/>
    <x v="14"/>
    <x v="122"/>
    <x v="78"/>
    <x v="1"/>
    <x v="15"/>
    <x v="15"/>
    <x v="12"/>
  </r>
  <r>
    <x v="285"/>
    <x v="12"/>
    <x v="2"/>
    <x v="15"/>
    <x v="0"/>
    <x v="20"/>
    <x v="12"/>
    <x v="79"/>
    <x v="0"/>
    <x v="23"/>
    <x v="23"/>
    <x v="15"/>
  </r>
  <r>
    <x v="286"/>
    <x v="58"/>
    <x v="1"/>
    <x v="19"/>
    <x v="0"/>
    <x v="38"/>
    <x v="55"/>
    <x v="79"/>
    <x v="3"/>
    <x v="97"/>
    <x v="97"/>
    <x v="19"/>
  </r>
  <r>
    <x v="287"/>
    <x v="10"/>
    <x v="4"/>
    <x v="11"/>
    <x v="0"/>
    <x v="13"/>
    <x v="10"/>
    <x v="79"/>
    <x v="0"/>
    <x v="76"/>
    <x v="76"/>
    <x v="11"/>
  </r>
  <r>
    <x v="288"/>
    <x v="127"/>
    <x v="1"/>
    <x v="7"/>
    <x v="3"/>
    <x v="34"/>
    <x v="109"/>
    <x v="80"/>
    <x v="2"/>
    <x v="82"/>
    <x v="82"/>
    <x v="7"/>
  </r>
  <r>
    <x v="289"/>
    <x v="146"/>
    <x v="2"/>
    <x v="23"/>
    <x v="1"/>
    <x v="36"/>
    <x v="126"/>
    <x v="80"/>
    <x v="2"/>
    <x v="69"/>
    <x v="69"/>
    <x v="23"/>
  </r>
  <r>
    <x v="290"/>
    <x v="102"/>
    <x v="0"/>
    <x v="10"/>
    <x v="0"/>
    <x v="11"/>
    <x v="91"/>
    <x v="80"/>
    <x v="3"/>
    <x v="12"/>
    <x v="12"/>
    <x v="10"/>
  </r>
  <r>
    <x v="291"/>
    <x v="130"/>
    <x v="1"/>
    <x v="19"/>
    <x v="2"/>
    <x v="28"/>
    <x v="111"/>
    <x v="80"/>
    <x v="0"/>
    <x v="30"/>
    <x v="30"/>
    <x v="19"/>
  </r>
  <r>
    <x v="292"/>
    <x v="6"/>
    <x v="0"/>
    <x v="10"/>
    <x v="3"/>
    <x v="18"/>
    <x v="6"/>
    <x v="80"/>
    <x v="1"/>
    <x v="94"/>
    <x v="94"/>
    <x v="10"/>
  </r>
  <r>
    <x v="293"/>
    <x v="26"/>
    <x v="2"/>
    <x v="23"/>
    <x v="2"/>
    <x v="36"/>
    <x v="12"/>
    <x v="80"/>
    <x v="1"/>
    <x v="60"/>
    <x v="60"/>
    <x v="23"/>
  </r>
  <r>
    <x v="294"/>
    <x v="107"/>
    <x v="1"/>
    <x v="19"/>
    <x v="3"/>
    <x v="38"/>
    <x v="83"/>
    <x v="80"/>
    <x v="1"/>
    <x v="46"/>
    <x v="46"/>
    <x v="19"/>
  </r>
  <r>
    <x v="295"/>
    <x v="71"/>
    <x v="3"/>
    <x v="20"/>
    <x v="2"/>
    <x v="29"/>
    <x v="57"/>
    <x v="81"/>
    <x v="0"/>
    <x v="66"/>
    <x v="66"/>
    <x v="20"/>
  </r>
  <r>
    <x v="296"/>
    <x v="106"/>
    <x v="4"/>
    <x v="11"/>
    <x v="2"/>
    <x v="26"/>
    <x v="95"/>
    <x v="81"/>
    <x v="3"/>
    <x v="14"/>
    <x v="14"/>
    <x v="11"/>
  </r>
  <r>
    <x v="297"/>
    <x v="127"/>
    <x v="3"/>
    <x v="20"/>
    <x v="3"/>
    <x v="29"/>
    <x v="109"/>
    <x v="82"/>
    <x v="0"/>
    <x v="66"/>
    <x v="66"/>
    <x v="20"/>
  </r>
  <r>
    <x v="298"/>
    <x v="147"/>
    <x v="4"/>
    <x v="21"/>
    <x v="0"/>
    <x v="32"/>
    <x v="127"/>
    <x v="82"/>
    <x v="0"/>
    <x v="64"/>
    <x v="64"/>
    <x v="21"/>
  </r>
  <r>
    <x v="299"/>
    <x v="85"/>
    <x v="0"/>
    <x v="0"/>
    <x v="2"/>
    <x v="0"/>
    <x v="78"/>
    <x v="82"/>
    <x v="3"/>
    <x v="98"/>
    <x v="98"/>
    <x v="0"/>
  </r>
  <r>
    <x v="300"/>
    <x v="148"/>
    <x v="0"/>
    <x v="0"/>
    <x v="3"/>
    <x v="15"/>
    <x v="128"/>
    <x v="82"/>
    <x v="2"/>
    <x v="62"/>
    <x v="62"/>
    <x v="0"/>
  </r>
  <r>
    <x v="301"/>
    <x v="136"/>
    <x v="1"/>
    <x v="7"/>
    <x v="1"/>
    <x v="8"/>
    <x v="117"/>
    <x v="82"/>
    <x v="2"/>
    <x v="82"/>
    <x v="82"/>
    <x v="7"/>
  </r>
  <r>
    <x v="302"/>
    <x v="129"/>
    <x v="1"/>
    <x v="22"/>
    <x v="2"/>
    <x v="40"/>
    <x v="110"/>
    <x v="83"/>
    <x v="0"/>
    <x v="71"/>
    <x v="71"/>
    <x v="22"/>
  </r>
  <r>
    <x v="303"/>
    <x v="18"/>
    <x v="2"/>
    <x v="15"/>
    <x v="0"/>
    <x v="46"/>
    <x v="18"/>
    <x v="83"/>
    <x v="3"/>
    <x v="72"/>
    <x v="72"/>
    <x v="15"/>
  </r>
  <r>
    <x v="304"/>
    <x v="109"/>
    <x v="3"/>
    <x v="13"/>
    <x v="2"/>
    <x v="16"/>
    <x v="79"/>
    <x v="83"/>
    <x v="3"/>
    <x v="68"/>
    <x v="68"/>
    <x v="13"/>
  </r>
  <r>
    <x v="305"/>
    <x v="104"/>
    <x v="2"/>
    <x v="3"/>
    <x v="2"/>
    <x v="5"/>
    <x v="93"/>
    <x v="83"/>
    <x v="2"/>
    <x v="63"/>
    <x v="63"/>
    <x v="3"/>
  </r>
  <r>
    <x v="306"/>
    <x v="125"/>
    <x v="4"/>
    <x v="17"/>
    <x v="1"/>
    <x v="22"/>
    <x v="106"/>
    <x v="83"/>
    <x v="0"/>
    <x v="61"/>
    <x v="61"/>
    <x v="17"/>
  </r>
  <r>
    <x v="307"/>
    <x v="4"/>
    <x v="2"/>
    <x v="3"/>
    <x v="2"/>
    <x v="3"/>
    <x v="4"/>
    <x v="83"/>
    <x v="2"/>
    <x v="63"/>
    <x v="63"/>
    <x v="3"/>
  </r>
  <r>
    <x v="308"/>
    <x v="67"/>
    <x v="0"/>
    <x v="18"/>
    <x v="0"/>
    <x v="25"/>
    <x v="64"/>
    <x v="84"/>
    <x v="2"/>
    <x v="57"/>
    <x v="57"/>
    <x v="18"/>
  </r>
  <r>
    <x v="309"/>
    <x v="149"/>
    <x v="4"/>
    <x v="11"/>
    <x v="2"/>
    <x v="26"/>
    <x v="129"/>
    <x v="84"/>
    <x v="0"/>
    <x v="76"/>
    <x v="76"/>
    <x v="11"/>
  </r>
  <r>
    <x v="310"/>
    <x v="150"/>
    <x v="1"/>
    <x v="19"/>
    <x v="1"/>
    <x v="38"/>
    <x v="130"/>
    <x v="84"/>
    <x v="2"/>
    <x v="95"/>
    <x v="95"/>
    <x v="19"/>
  </r>
  <r>
    <x v="311"/>
    <x v="151"/>
    <x v="4"/>
    <x v="11"/>
    <x v="0"/>
    <x v="13"/>
    <x v="131"/>
    <x v="84"/>
    <x v="3"/>
    <x v="14"/>
    <x v="14"/>
    <x v="11"/>
  </r>
  <r>
    <x v="312"/>
    <x v="45"/>
    <x v="1"/>
    <x v="1"/>
    <x v="2"/>
    <x v="1"/>
    <x v="44"/>
    <x v="84"/>
    <x v="1"/>
    <x v="1"/>
    <x v="1"/>
    <x v="1"/>
  </r>
  <r>
    <x v="313"/>
    <x v="77"/>
    <x v="2"/>
    <x v="3"/>
    <x v="2"/>
    <x v="5"/>
    <x v="28"/>
    <x v="85"/>
    <x v="2"/>
    <x v="63"/>
    <x v="63"/>
    <x v="3"/>
  </r>
  <r>
    <x v="314"/>
    <x v="62"/>
    <x v="1"/>
    <x v="6"/>
    <x v="0"/>
    <x v="7"/>
    <x v="59"/>
    <x v="85"/>
    <x v="3"/>
    <x v="91"/>
    <x v="91"/>
    <x v="6"/>
  </r>
  <r>
    <x v="315"/>
    <x v="13"/>
    <x v="0"/>
    <x v="0"/>
    <x v="2"/>
    <x v="0"/>
    <x v="13"/>
    <x v="86"/>
    <x v="0"/>
    <x v="0"/>
    <x v="0"/>
    <x v="0"/>
  </r>
  <r>
    <x v="316"/>
    <x v="9"/>
    <x v="1"/>
    <x v="6"/>
    <x v="1"/>
    <x v="37"/>
    <x v="9"/>
    <x v="86"/>
    <x v="0"/>
    <x v="42"/>
    <x v="42"/>
    <x v="6"/>
  </r>
  <r>
    <x v="317"/>
    <x v="68"/>
    <x v="4"/>
    <x v="12"/>
    <x v="0"/>
    <x v="17"/>
    <x v="65"/>
    <x v="86"/>
    <x v="2"/>
    <x v="47"/>
    <x v="47"/>
    <x v="12"/>
  </r>
  <r>
    <x v="318"/>
    <x v="38"/>
    <x v="1"/>
    <x v="22"/>
    <x v="3"/>
    <x v="35"/>
    <x v="37"/>
    <x v="86"/>
    <x v="2"/>
    <x v="38"/>
    <x v="38"/>
    <x v="22"/>
  </r>
  <r>
    <x v="319"/>
    <x v="29"/>
    <x v="0"/>
    <x v="5"/>
    <x v="3"/>
    <x v="12"/>
    <x v="28"/>
    <x v="86"/>
    <x v="2"/>
    <x v="50"/>
    <x v="50"/>
    <x v="5"/>
  </r>
  <r>
    <x v="320"/>
    <x v="83"/>
    <x v="1"/>
    <x v="1"/>
    <x v="2"/>
    <x v="1"/>
    <x v="76"/>
    <x v="86"/>
    <x v="3"/>
    <x v="90"/>
    <x v="90"/>
    <x v="1"/>
  </r>
  <r>
    <x v="321"/>
    <x v="94"/>
    <x v="3"/>
    <x v="13"/>
    <x v="1"/>
    <x v="27"/>
    <x v="84"/>
    <x v="87"/>
    <x v="0"/>
    <x v="92"/>
    <x v="92"/>
    <x v="13"/>
  </r>
  <r>
    <x v="322"/>
    <x v="16"/>
    <x v="2"/>
    <x v="2"/>
    <x v="0"/>
    <x v="48"/>
    <x v="16"/>
    <x v="88"/>
    <x v="3"/>
    <x v="34"/>
    <x v="34"/>
    <x v="2"/>
  </r>
  <r>
    <x v="323"/>
    <x v="37"/>
    <x v="0"/>
    <x v="10"/>
    <x v="0"/>
    <x v="18"/>
    <x v="36"/>
    <x v="88"/>
    <x v="1"/>
    <x v="94"/>
    <x v="94"/>
    <x v="10"/>
  </r>
  <r>
    <x v="324"/>
    <x v="152"/>
    <x v="4"/>
    <x v="17"/>
    <x v="2"/>
    <x v="22"/>
    <x v="132"/>
    <x v="88"/>
    <x v="1"/>
    <x v="58"/>
    <x v="58"/>
    <x v="17"/>
  </r>
  <r>
    <x v="325"/>
    <x v="17"/>
    <x v="1"/>
    <x v="1"/>
    <x v="0"/>
    <x v="1"/>
    <x v="17"/>
    <x v="88"/>
    <x v="1"/>
    <x v="1"/>
    <x v="1"/>
    <x v="1"/>
  </r>
  <r>
    <x v="326"/>
    <x v="9"/>
    <x v="2"/>
    <x v="23"/>
    <x v="1"/>
    <x v="36"/>
    <x v="9"/>
    <x v="88"/>
    <x v="2"/>
    <x v="69"/>
    <x v="69"/>
    <x v="23"/>
  </r>
  <r>
    <x v="327"/>
    <x v="120"/>
    <x v="3"/>
    <x v="16"/>
    <x v="0"/>
    <x v="21"/>
    <x v="66"/>
    <x v="88"/>
    <x v="3"/>
    <x v="81"/>
    <x v="81"/>
    <x v="16"/>
  </r>
  <r>
    <x v="328"/>
    <x v="30"/>
    <x v="1"/>
    <x v="7"/>
    <x v="2"/>
    <x v="34"/>
    <x v="29"/>
    <x v="88"/>
    <x v="3"/>
    <x v="79"/>
    <x v="79"/>
    <x v="7"/>
  </r>
  <r>
    <x v="329"/>
    <x v="80"/>
    <x v="1"/>
    <x v="7"/>
    <x v="0"/>
    <x v="8"/>
    <x v="31"/>
    <x v="89"/>
    <x v="2"/>
    <x v="82"/>
    <x v="82"/>
    <x v="7"/>
  </r>
  <r>
    <x v="330"/>
    <x v="153"/>
    <x v="1"/>
    <x v="1"/>
    <x v="2"/>
    <x v="1"/>
    <x v="94"/>
    <x v="89"/>
    <x v="0"/>
    <x v="36"/>
    <x v="36"/>
    <x v="1"/>
  </r>
  <r>
    <x v="331"/>
    <x v="145"/>
    <x v="3"/>
    <x v="13"/>
    <x v="0"/>
    <x v="27"/>
    <x v="125"/>
    <x v="89"/>
    <x v="3"/>
    <x v="68"/>
    <x v="68"/>
    <x v="13"/>
  </r>
  <r>
    <x v="332"/>
    <x v="107"/>
    <x v="2"/>
    <x v="2"/>
    <x v="3"/>
    <x v="48"/>
    <x v="83"/>
    <x v="89"/>
    <x v="0"/>
    <x v="73"/>
    <x v="73"/>
    <x v="2"/>
  </r>
  <r>
    <x v="333"/>
    <x v="95"/>
    <x v="3"/>
    <x v="8"/>
    <x v="1"/>
    <x v="9"/>
    <x v="85"/>
    <x v="90"/>
    <x v="0"/>
    <x v="55"/>
    <x v="55"/>
    <x v="8"/>
  </r>
  <r>
    <x v="334"/>
    <x v="87"/>
    <x v="2"/>
    <x v="3"/>
    <x v="2"/>
    <x v="5"/>
    <x v="79"/>
    <x v="90"/>
    <x v="3"/>
    <x v="3"/>
    <x v="3"/>
    <x v="3"/>
  </r>
  <r>
    <x v="335"/>
    <x v="151"/>
    <x v="1"/>
    <x v="19"/>
    <x v="0"/>
    <x v="28"/>
    <x v="131"/>
    <x v="90"/>
    <x v="3"/>
    <x v="97"/>
    <x v="97"/>
    <x v="19"/>
  </r>
  <r>
    <x v="336"/>
    <x v="75"/>
    <x v="1"/>
    <x v="7"/>
    <x v="2"/>
    <x v="8"/>
    <x v="70"/>
    <x v="90"/>
    <x v="3"/>
    <x v="79"/>
    <x v="79"/>
    <x v="7"/>
  </r>
  <r>
    <x v="337"/>
    <x v="148"/>
    <x v="1"/>
    <x v="19"/>
    <x v="3"/>
    <x v="38"/>
    <x v="128"/>
    <x v="90"/>
    <x v="2"/>
    <x v="95"/>
    <x v="95"/>
    <x v="19"/>
  </r>
  <r>
    <x v="338"/>
    <x v="31"/>
    <x v="3"/>
    <x v="14"/>
    <x v="0"/>
    <x v="19"/>
    <x v="30"/>
    <x v="90"/>
    <x v="3"/>
    <x v="22"/>
    <x v="22"/>
    <x v="14"/>
  </r>
  <r>
    <x v="339"/>
    <x v="31"/>
    <x v="1"/>
    <x v="6"/>
    <x v="0"/>
    <x v="7"/>
    <x v="30"/>
    <x v="90"/>
    <x v="0"/>
    <x v="42"/>
    <x v="42"/>
    <x v="6"/>
  </r>
  <r>
    <x v="340"/>
    <x v="38"/>
    <x v="0"/>
    <x v="18"/>
    <x v="3"/>
    <x v="39"/>
    <x v="37"/>
    <x v="91"/>
    <x v="0"/>
    <x v="78"/>
    <x v="78"/>
    <x v="18"/>
  </r>
  <r>
    <x v="341"/>
    <x v="109"/>
    <x v="3"/>
    <x v="13"/>
    <x v="2"/>
    <x v="16"/>
    <x v="79"/>
    <x v="91"/>
    <x v="3"/>
    <x v="68"/>
    <x v="68"/>
    <x v="13"/>
  </r>
  <r>
    <x v="342"/>
    <x v="4"/>
    <x v="2"/>
    <x v="23"/>
    <x v="2"/>
    <x v="49"/>
    <x v="4"/>
    <x v="91"/>
    <x v="1"/>
    <x v="60"/>
    <x v="60"/>
    <x v="23"/>
  </r>
  <r>
    <x v="343"/>
    <x v="137"/>
    <x v="2"/>
    <x v="2"/>
    <x v="1"/>
    <x v="2"/>
    <x v="118"/>
    <x v="91"/>
    <x v="1"/>
    <x v="56"/>
    <x v="56"/>
    <x v="2"/>
  </r>
  <r>
    <x v="344"/>
    <x v="154"/>
    <x v="0"/>
    <x v="24"/>
    <x v="0"/>
    <x v="47"/>
    <x v="133"/>
    <x v="91"/>
    <x v="1"/>
    <x v="53"/>
    <x v="53"/>
    <x v="24"/>
  </r>
  <r>
    <x v="345"/>
    <x v="155"/>
    <x v="0"/>
    <x v="0"/>
    <x v="2"/>
    <x v="15"/>
    <x v="134"/>
    <x v="91"/>
    <x v="2"/>
    <x v="62"/>
    <x v="62"/>
    <x v="0"/>
  </r>
  <r>
    <x v="346"/>
    <x v="127"/>
    <x v="0"/>
    <x v="18"/>
    <x v="3"/>
    <x v="39"/>
    <x v="109"/>
    <x v="92"/>
    <x v="0"/>
    <x v="78"/>
    <x v="78"/>
    <x v="18"/>
  </r>
  <r>
    <x v="347"/>
    <x v="139"/>
    <x v="2"/>
    <x v="23"/>
    <x v="3"/>
    <x v="36"/>
    <x v="31"/>
    <x v="92"/>
    <x v="0"/>
    <x v="41"/>
    <x v="41"/>
    <x v="23"/>
  </r>
  <r>
    <x v="348"/>
    <x v="103"/>
    <x v="2"/>
    <x v="15"/>
    <x v="1"/>
    <x v="20"/>
    <x v="92"/>
    <x v="92"/>
    <x v="2"/>
    <x v="80"/>
    <x v="80"/>
    <x v="15"/>
  </r>
  <r>
    <x v="349"/>
    <x v="74"/>
    <x v="4"/>
    <x v="17"/>
    <x v="2"/>
    <x v="22"/>
    <x v="69"/>
    <x v="92"/>
    <x v="2"/>
    <x v="33"/>
    <x v="33"/>
    <x v="17"/>
  </r>
  <r>
    <x v="350"/>
    <x v="19"/>
    <x v="4"/>
    <x v="17"/>
    <x v="3"/>
    <x v="22"/>
    <x v="19"/>
    <x v="92"/>
    <x v="3"/>
    <x v="25"/>
    <x v="25"/>
    <x v="17"/>
  </r>
  <r>
    <x v="351"/>
    <x v="120"/>
    <x v="2"/>
    <x v="15"/>
    <x v="0"/>
    <x v="46"/>
    <x v="66"/>
    <x v="92"/>
    <x v="3"/>
    <x v="72"/>
    <x v="72"/>
    <x v="15"/>
  </r>
  <r>
    <x v="352"/>
    <x v="61"/>
    <x v="4"/>
    <x v="9"/>
    <x v="2"/>
    <x v="10"/>
    <x v="58"/>
    <x v="92"/>
    <x v="2"/>
    <x v="27"/>
    <x v="27"/>
    <x v="9"/>
  </r>
  <r>
    <x v="353"/>
    <x v="104"/>
    <x v="4"/>
    <x v="17"/>
    <x v="2"/>
    <x v="30"/>
    <x v="93"/>
    <x v="93"/>
    <x v="1"/>
    <x v="58"/>
    <x v="58"/>
    <x v="17"/>
  </r>
  <r>
    <x v="354"/>
    <x v="60"/>
    <x v="2"/>
    <x v="15"/>
    <x v="0"/>
    <x v="20"/>
    <x v="57"/>
    <x v="93"/>
    <x v="2"/>
    <x v="80"/>
    <x v="80"/>
    <x v="15"/>
  </r>
  <r>
    <x v="355"/>
    <x v="110"/>
    <x v="4"/>
    <x v="9"/>
    <x v="0"/>
    <x v="10"/>
    <x v="5"/>
    <x v="93"/>
    <x v="2"/>
    <x v="27"/>
    <x v="27"/>
    <x v="9"/>
  </r>
  <r>
    <x v="356"/>
    <x v="80"/>
    <x v="4"/>
    <x v="9"/>
    <x v="0"/>
    <x v="23"/>
    <x v="31"/>
    <x v="94"/>
    <x v="0"/>
    <x v="39"/>
    <x v="39"/>
    <x v="9"/>
  </r>
  <r>
    <x v="357"/>
    <x v="62"/>
    <x v="3"/>
    <x v="20"/>
    <x v="0"/>
    <x v="29"/>
    <x v="59"/>
    <x v="94"/>
    <x v="1"/>
    <x v="49"/>
    <x v="49"/>
    <x v="20"/>
  </r>
  <r>
    <x v="358"/>
    <x v="156"/>
    <x v="0"/>
    <x v="18"/>
    <x v="2"/>
    <x v="39"/>
    <x v="135"/>
    <x v="95"/>
    <x v="3"/>
    <x v="28"/>
    <x v="28"/>
    <x v="18"/>
  </r>
  <r>
    <x v="359"/>
    <x v="129"/>
    <x v="1"/>
    <x v="19"/>
    <x v="2"/>
    <x v="28"/>
    <x v="110"/>
    <x v="95"/>
    <x v="2"/>
    <x v="95"/>
    <x v="95"/>
    <x v="19"/>
  </r>
  <r>
    <x v="360"/>
    <x v="44"/>
    <x v="1"/>
    <x v="1"/>
    <x v="3"/>
    <x v="1"/>
    <x v="43"/>
    <x v="95"/>
    <x v="1"/>
    <x v="1"/>
    <x v="1"/>
    <x v="1"/>
  </r>
  <r>
    <x v="361"/>
    <x v="146"/>
    <x v="4"/>
    <x v="11"/>
    <x v="1"/>
    <x v="26"/>
    <x v="126"/>
    <x v="96"/>
    <x v="3"/>
    <x v="14"/>
    <x v="14"/>
    <x v="11"/>
  </r>
  <r>
    <x v="362"/>
    <x v="157"/>
    <x v="2"/>
    <x v="2"/>
    <x v="2"/>
    <x v="2"/>
    <x v="136"/>
    <x v="96"/>
    <x v="1"/>
    <x v="56"/>
    <x v="56"/>
    <x v="2"/>
  </r>
  <r>
    <x v="363"/>
    <x v="65"/>
    <x v="2"/>
    <x v="15"/>
    <x v="1"/>
    <x v="20"/>
    <x v="62"/>
    <x v="96"/>
    <x v="0"/>
    <x v="23"/>
    <x v="23"/>
    <x v="15"/>
  </r>
  <r>
    <x v="364"/>
    <x v="32"/>
    <x v="3"/>
    <x v="8"/>
    <x v="2"/>
    <x v="9"/>
    <x v="31"/>
    <x v="96"/>
    <x v="1"/>
    <x v="19"/>
    <x v="19"/>
    <x v="8"/>
  </r>
  <r>
    <x v="365"/>
    <x v="2"/>
    <x v="3"/>
    <x v="8"/>
    <x v="0"/>
    <x v="43"/>
    <x v="2"/>
    <x v="96"/>
    <x v="2"/>
    <x v="18"/>
    <x v="18"/>
    <x v="8"/>
  </r>
  <r>
    <x v="366"/>
    <x v="116"/>
    <x v="1"/>
    <x v="1"/>
    <x v="3"/>
    <x v="33"/>
    <x v="101"/>
    <x v="96"/>
    <x v="0"/>
    <x v="36"/>
    <x v="36"/>
    <x v="1"/>
  </r>
  <r>
    <x v="367"/>
    <x v="53"/>
    <x v="4"/>
    <x v="11"/>
    <x v="0"/>
    <x v="13"/>
    <x v="50"/>
    <x v="97"/>
    <x v="3"/>
    <x v="14"/>
    <x v="14"/>
    <x v="11"/>
  </r>
  <r>
    <x v="368"/>
    <x v="152"/>
    <x v="2"/>
    <x v="15"/>
    <x v="2"/>
    <x v="46"/>
    <x v="132"/>
    <x v="97"/>
    <x v="0"/>
    <x v="23"/>
    <x v="23"/>
    <x v="15"/>
  </r>
  <r>
    <x v="369"/>
    <x v="91"/>
    <x v="3"/>
    <x v="13"/>
    <x v="1"/>
    <x v="16"/>
    <x v="82"/>
    <x v="97"/>
    <x v="0"/>
    <x v="92"/>
    <x v="92"/>
    <x v="13"/>
  </r>
  <r>
    <x v="370"/>
    <x v="40"/>
    <x v="2"/>
    <x v="2"/>
    <x v="1"/>
    <x v="48"/>
    <x v="39"/>
    <x v="97"/>
    <x v="3"/>
    <x v="34"/>
    <x v="34"/>
    <x v="2"/>
  </r>
  <r>
    <x v="371"/>
    <x v="158"/>
    <x v="2"/>
    <x v="4"/>
    <x v="3"/>
    <x v="24"/>
    <x v="137"/>
    <x v="97"/>
    <x v="1"/>
    <x v="31"/>
    <x v="31"/>
    <x v="4"/>
  </r>
  <r>
    <x v="372"/>
    <x v="154"/>
    <x v="3"/>
    <x v="14"/>
    <x v="0"/>
    <x v="19"/>
    <x v="133"/>
    <x v="97"/>
    <x v="2"/>
    <x v="40"/>
    <x v="40"/>
    <x v="14"/>
  </r>
  <r>
    <x v="373"/>
    <x v="72"/>
    <x v="2"/>
    <x v="3"/>
    <x v="2"/>
    <x v="5"/>
    <x v="67"/>
    <x v="98"/>
    <x v="2"/>
    <x v="63"/>
    <x v="63"/>
    <x v="3"/>
  </r>
  <r>
    <x v="374"/>
    <x v="28"/>
    <x v="3"/>
    <x v="8"/>
    <x v="0"/>
    <x v="43"/>
    <x v="27"/>
    <x v="98"/>
    <x v="3"/>
    <x v="10"/>
    <x v="10"/>
    <x v="8"/>
  </r>
  <r>
    <x v="375"/>
    <x v="28"/>
    <x v="2"/>
    <x v="3"/>
    <x v="0"/>
    <x v="5"/>
    <x v="27"/>
    <x v="98"/>
    <x v="1"/>
    <x v="5"/>
    <x v="5"/>
    <x v="3"/>
  </r>
  <r>
    <x v="376"/>
    <x v="13"/>
    <x v="2"/>
    <x v="15"/>
    <x v="2"/>
    <x v="20"/>
    <x v="13"/>
    <x v="98"/>
    <x v="0"/>
    <x v="23"/>
    <x v="23"/>
    <x v="15"/>
  </r>
  <r>
    <x v="377"/>
    <x v="138"/>
    <x v="0"/>
    <x v="5"/>
    <x v="2"/>
    <x v="12"/>
    <x v="119"/>
    <x v="98"/>
    <x v="2"/>
    <x v="50"/>
    <x v="50"/>
    <x v="5"/>
  </r>
  <r>
    <x v="378"/>
    <x v="81"/>
    <x v="4"/>
    <x v="12"/>
    <x v="2"/>
    <x v="14"/>
    <x v="74"/>
    <x v="98"/>
    <x v="1"/>
    <x v="15"/>
    <x v="15"/>
    <x v="12"/>
  </r>
  <r>
    <x v="379"/>
    <x v="106"/>
    <x v="2"/>
    <x v="2"/>
    <x v="2"/>
    <x v="2"/>
    <x v="95"/>
    <x v="98"/>
    <x v="2"/>
    <x v="2"/>
    <x v="2"/>
    <x v="2"/>
  </r>
  <r>
    <x v="380"/>
    <x v="0"/>
    <x v="0"/>
    <x v="24"/>
    <x v="0"/>
    <x v="42"/>
    <x v="0"/>
    <x v="99"/>
    <x v="3"/>
    <x v="77"/>
    <x v="77"/>
    <x v="24"/>
  </r>
  <r>
    <x v="381"/>
    <x v="159"/>
    <x v="3"/>
    <x v="13"/>
    <x v="0"/>
    <x v="27"/>
    <x v="138"/>
    <x v="99"/>
    <x v="2"/>
    <x v="17"/>
    <x v="17"/>
    <x v="13"/>
  </r>
  <r>
    <x v="382"/>
    <x v="37"/>
    <x v="2"/>
    <x v="2"/>
    <x v="0"/>
    <x v="48"/>
    <x v="36"/>
    <x v="99"/>
    <x v="3"/>
    <x v="34"/>
    <x v="34"/>
    <x v="2"/>
  </r>
  <r>
    <x v="383"/>
    <x v="35"/>
    <x v="4"/>
    <x v="12"/>
    <x v="0"/>
    <x v="17"/>
    <x v="34"/>
    <x v="99"/>
    <x v="3"/>
    <x v="16"/>
    <x v="16"/>
    <x v="12"/>
  </r>
  <r>
    <x v="384"/>
    <x v="117"/>
    <x v="0"/>
    <x v="10"/>
    <x v="2"/>
    <x v="18"/>
    <x v="102"/>
    <x v="99"/>
    <x v="1"/>
    <x v="94"/>
    <x v="94"/>
    <x v="10"/>
  </r>
  <r>
    <x v="385"/>
    <x v="134"/>
    <x v="3"/>
    <x v="14"/>
    <x v="0"/>
    <x v="45"/>
    <x v="115"/>
    <x v="99"/>
    <x v="0"/>
    <x v="86"/>
    <x v="86"/>
    <x v="14"/>
  </r>
  <r>
    <x v="386"/>
    <x v="160"/>
    <x v="4"/>
    <x v="21"/>
    <x v="2"/>
    <x v="44"/>
    <x v="139"/>
    <x v="99"/>
    <x v="2"/>
    <x v="43"/>
    <x v="43"/>
    <x v="21"/>
  </r>
  <r>
    <x v="387"/>
    <x v="77"/>
    <x v="0"/>
    <x v="18"/>
    <x v="2"/>
    <x v="39"/>
    <x v="28"/>
    <x v="99"/>
    <x v="0"/>
    <x v="78"/>
    <x v="78"/>
    <x v="18"/>
  </r>
  <r>
    <x v="388"/>
    <x v="67"/>
    <x v="2"/>
    <x v="15"/>
    <x v="0"/>
    <x v="20"/>
    <x v="64"/>
    <x v="100"/>
    <x v="0"/>
    <x v="23"/>
    <x v="23"/>
    <x v="15"/>
  </r>
  <r>
    <x v="389"/>
    <x v="11"/>
    <x v="1"/>
    <x v="22"/>
    <x v="2"/>
    <x v="35"/>
    <x v="11"/>
    <x v="100"/>
    <x v="0"/>
    <x v="71"/>
    <x v="71"/>
    <x v="22"/>
  </r>
  <r>
    <x v="390"/>
    <x v="132"/>
    <x v="3"/>
    <x v="16"/>
    <x v="2"/>
    <x v="21"/>
    <x v="113"/>
    <x v="101"/>
    <x v="1"/>
    <x v="52"/>
    <x v="52"/>
    <x v="16"/>
  </r>
  <r>
    <x v="391"/>
    <x v="113"/>
    <x v="4"/>
    <x v="17"/>
    <x v="2"/>
    <x v="22"/>
    <x v="98"/>
    <x v="101"/>
    <x v="3"/>
    <x v="25"/>
    <x v="25"/>
    <x v="17"/>
  </r>
  <r>
    <x v="392"/>
    <x v="85"/>
    <x v="0"/>
    <x v="24"/>
    <x v="2"/>
    <x v="42"/>
    <x v="78"/>
    <x v="101"/>
    <x v="2"/>
    <x v="67"/>
    <x v="67"/>
    <x v="24"/>
  </r>
  <r>
    <x v="393"/>
    <x v="70"/>
    <x v="4"/>
    <x v="21"/>
    <x v="3"/>
    <x v="44"/>
    <x v="7"/>
    <x v="101"/>
    <x v="2"/>
    <x v="43"/>
    <x v="43"/>
    <x v="21"/>
  </r>
  <r>
    <x v="394"/>
    <x v="46"/>
    <x v="2"/>
    <x v="15"/>
    <x v="2"/>
    <x v="20"/>
    <x v="45"/>
    <x v="101"/>
    <x v="2"/>
    <x v="80"/>
    <x v="80"/>
    <x v="15"/>
  </r>
  <r>
    <x v="395"/>
    <x v="8"/>
    <x v="3"/>
    <x v="20"/>
    <x v="0"/>
    <x v="31"/>
    <x v="8"/>
    <x v="101"/>
    <x v="3"/>
    <x v="32"/>
    <x v="32"/>
    <x v="20"/>
  </r>
  <r>
    <x v="396"/>
    <x v="161"/>
    <x v="3"/>
    <x v="13"/>
    <x v="2"/>
    <x v="16"/>
    <x v="140"/>
    <x v="102"/>
    <x v="2"/>
    <x v="17"/>
    <x v="17"/>
    <x v="13"/>
  </r>
  <r>
    <x v="397"/>
    <x v="79"/>
    <x v="1"/>
    <x v="19"/>
    <x v="2"/>
    <x v="28"/>
    <x v="73"/>
    <x v="102"/>
    <x v="0"/>
    <x v="30"/>
    <x v="30"/>
    <x v="19"/>
  </r>
  <r>
    <x v="398"/>
    <x v="127"/>
    <x v="4"/>
    <x v="17"/>
    <x v="3"/>
    <x v="22"/>
    <x v="109"/>
    <x v="102"/>
    <x v="1"/>
    <x v="58"/>
    <x v="58"/>
    <x v="17"/>
  </r>
  <r>
    <x v="399"/>
    <x v="33"/>
    <x v="3"/>
    <x v="16"/>
    <x v="3"/>
    <x v="21"/>
    <x v="32"/>
    <x v="102"/>
    <x v="0"/>
    <x v="24"/>
    <x v="24"/>
    <x v="16"/>
  </r>
  <r>
    <x v="400"/>
    <x v="158"/>
    <x v="0"/>
    <x v="5"/>
    <x v="3"/>
    <x v="6"/>
    <x v="137"/>
    <x v="102"/>
    <x v="3"/>
    <x v="6"/>
    <x v="6"/>
    <x v="5"/>
  </r>
  <r>
    <x v="401"/>
    <x v="63"/>
    <x v="3"/>
    <x v="8"/>
    <x v="2"/>
    <x v="43"/>
    <x v="60"/>
    <x v="103"/>
    <x v="0"/>
    <x v="55"/>
    <x v="55"/>
    <x v="8"/>
  </r>
  <r>
    <x v="402"/>
    <x v="78"/>
    <x v="0"/>
    <x v="10"/>
    <x v="0"/>
    <x v="11"/>
    <x v="72"/>
    <x v="103"/>
    <x v="2"/>
    <x v="26"/>
    <x v="26"/>
    <x v="10"/>
  </r>
  <r>
    <x v="403"/>
    <x v="85"/>
    <x v="1"/>
    <x v="1"/>
    <x v="2"/>
    <x v="33"/>
    <x v="78"/>
    <x v="103"/>
    <x v="2"/>
    <x v="54"/>
    <x v="54"/>
    <x v="1"/>
  </r>
  <r>
    <x v="404"/>
    <x v="120"/>
    <x v="1"/>
    <x v="22"/>
    <x v="0"/>
    <x v="35"/>
    <x v="66"/>
    <x v="103"/>
    <x v="1"/>
    <x v="65"/>
    <x v="65"/>
    <x v="22"/>
  </r>
  <r>
    <x v="405"/>
    <x v="77"/>
    <x v="2"/>
    <x v="23"/>
    <x v="2"/>
    <x v="36"/>
    <x v="28"/>
    <x v="103"/>
    <x v="3"/>
    <x v="75"/>
    <x v="75"/>
    <x v="23"/>
  </r>
  <r>
    <x v="406"/>
    <x v="63"/>
    <x v="0"/>
    <x v="10"/>
    <x v="2"/>
    <x v="11"/>
    <x v="60"/>
    <x v="104"/>
    <x v="3"/>
    <x v="12"/>
    <x v="12"/>
    <x v="10"/>
  </r>
  <r>
    <x v="407"/>
    <x v="26"/>
    <x v="4"/>
    <x v="21"/>
    <x v="2"/>
    <x v="44"/>
    <x v="12"/>
    <x v="104"/>
    <x v="2"/>
    <x v="43"/>
    <x v="43"/>
    <x v="21"/>
  </r>
  <r>
    <x v="408"/>
    <x v="44"/>
    <x v="0"/>
    <x v="10"/>
    <x v="3"/>
    <x v="11"/>
    <x v="43"/>
    <x v="104"/>
    <x v="3"/>
    <x v="12"/>
    <x v="12"/>
    <x v="10"/>
  </r>
  <r>
    <x v="409"/>
    <x v="162"/>
    <x v="3"/>
    <x v="20"/>
    <x v="3"/>
    <x v="29"/>
    <x v="126"/>
    <x v="104"/>
    <x v="3"/>
    <x v="32"/>
    <x v="32"/>
    <x v="20"/>
  </r>
  <r>
    <x v="410"/>
    <x v="163"/>
    <x v="2"/>
    <x v="15"/>
    <x v="2"/>
    <x v="46"/>
    <x v="35"/>
    <x v="105"/>
    <x v="2"/>
    <x v="80"/>
    <x v="80"/>
    <x v="15"/>
  </r>
  <r>
    <x v="411"/>
    <x v="159"/>
    <x v="0"/>
    <x v="5"/>
    <x v="0"/>
    <x v="12"/>
    <x v="138"/>
    <x v="105"/>
    <x v="3"/>
    <x v="6"/>
    <x v="6"/>
    <x v="5"/>
  </r>
  <r>
    <x v="412"/>
    <x v="35"/>
    <x v="2"/>
    <x v="23"/>
    <x v="0"/>
    <x v="49"/>
    <x v="34"/>
    <x v="105"/>
    <x v="3"/>
    <x v="75"/>
    <x v="75"/>
    <x v="23"/>
  </r>
  <r>
    <x v="413"/>
    <x v="39"/>
    <x v="3"/>
    <x v="14"/>
    <x v="0"/>
    <x v="45"/>
    <x v="38"/>
    <x v="105"/>
    <x v="1"/>
    <x v="48"/>
    <x v="48"/>
    <x v="14"/>
  </r>
  <r>
    <x v="414"/>
    <x v="23"/>
    <x v="0"/>
    <x v="24"/>
    <x v="2"/>
    <x v="42"/>
    <x v="23"/>
    <x v="105"/>
    <x v="2"/>
    <x v="67"/>
    <x v="67"/>
    <x v="24"/>
  </r>
  <r>
    <x v="415"/>
    <x v="49"/>
    <x v="0"/>
    <x v="10"/>
    <x v="0"/>
    <x v="18"/>
    <x v="47"/>
    <x v="106"/>
    <x v="0"/>
    <x v="21"/>
    <x v="21"/>
    <x v="10"/>
  </r>
  <r>
    <x v="416"/>
    <x v="15"/>
    <x v="3"/>
    <x v="20"/>
    <x v="0"/>
    <x v="31"/>
    <x v="15"/>
    <x v="107"/>
    <x v="0"/>
    <x v="66"/>
    <x v="66"/>
    <x v="20"/>
  </r>
  <r>
    <x v="417"/>
    <x v="42"/>
    <x v="0"/>
    <x v="10"/>
    <x v="0"/>
    <x v="18"/>
    <x v="41"/>
    <x v="107"/>
    <x v="1"/>
    <x v="94"/>
    <x v="94"/>
    <x v="10"/>
  </r>
  <r>
    <x v="418"/>
    <x v="114"/>
    <x v="2"/>
    <x v="15"/>
    <x v="1"/>
    <x v="20"/>
    <x v="99"/>
    <x v="107"/>
    <x v="0"/>
    <x v="23"/>
    <x v="23"/>
    <x v="15"/>
  </r>
  <r>
    <x v="419"/>
    <x v="120"/>
    <x v="4"/>
    <x v="21"/>
    <x v="0"/>
    <x v="44"/>
    <x v="66"/>
    <x v="107"/>
    <x v="1"/>
    <x v="35"/>
    <x v="35"/>
    <x v="21"/>
  </r>
  <r>
    <x v="420"/>
    <x v="30"/>
    <x v="1"/>
    <x v="22"/>
    <x v="2"/>
    <x v="35"/>
    <x v="29"/>
    <x v="107"/>
    <x v="2"/>
    <x v="38"/>
    <x v="38"/>
    <x v="22"/>
  </r>
  <r>
    <x v="421"/>
    <x v="100"/>
    <x v="1"/>
    <x v="7"/>
    <x v="0"/>
    <x v="8"/>
    <x v="89"/>
    <x v="108"/>
    <x v="3"/>
    <x v="79"/>
    <x v="79"/>
    <x v="7"/>
  </r>
  <r>
    <x v="422"/>
    <x v="6"/>
    <x v="2"/>
    <x v="4"/>
    <x v="3"/>
    <x v="24"/>
    <x v="6"/>
    <x v="108"/>
    <x v="1"/>
    <x v="31"/>
    <x v="31"/>
    <x v="4"/>
  </r>
  <r>
    <x v="423"/>
    <x v="129"/>
    <x v="0"/>
    <x v="0"/>
    <x v="2"/>
    <x v="0"/>
    <x v="110"/>
    <x v="109"/>
    <x v="1"/>
    <x v="93"/>
    <x v="93"/>
    <x v="0"/>
  </r>
  <r>
    <x v="424"/>
    <x v="126"/>
    <x v="3"/>
    <x v="20"/>
    <x v="2"/>
    <x v="29"/>
    <x v="108"/>
    <x v="109"/>
    <x v="3"/>
    <x v="32"/>
    <x v="32"/>
    <x v="20"/>
  </r>
  <r>
    <x v="425"/>
    <x v="152"/>
    <x v="3"/>
    <x v="13"/>
    <x v="2"/>
    <x v="16"/>
    <x v="132"/>
    <x v="109"/>
    <x v="0"/>
    <x v="92"/>
    <x v="92"/>
    <x v="13"/>
  </r>
  <r>
    <x v="426"/>
    <x v="123"/>
    <x v="3"/>
    <x v="16"/>
    <x v="3"/>
    <x v="41"/>
    <x v="106"/>
    <x v="109"/>
    <x v="1"/>
    <x v="52"/>
    <x v="52"/>
    <x v="16"/>
  </r>
  <r>
    <x v="427"/>
    <x v="49"/>
    <x v="2"/>
    <x v="4"/>
    <x v="0"/>
    <x v="24"/>
    <x v="47"/>
    <x v="109"/>
    <x v="1"/>
    <x v="31"/>
    <x v="31"/>
    <x v="4"/>
  </r>
  <r>
    <x v="428"/>
    <x v="159"/>
    <x v="4"/>
    <x v="11"/>
    <x v="0"/>
    <x v="13"/>
    <x v="138"/>
    <x v="110"/>
    <x v="2"/>
    <x v="20"/>
    <x v="20"/>
    <x v="11"/>
  </r>
  <r>
    <x v="429"/>
    <x v="80"/>
    <x v="1"/>
    <x v="22"/>
    <x v="0"/>
    <x v="40"/>
    <x v="31"/>
    <x v="110"/>
    <x v="1"/>
    <x v="65"/>
    <x v="65"/>
    <x v="22"/>
  </r>
  <r>
    <x v="430"/>
    <x v="146"/>
    <x v="1"/>
    <x v="6"/>
    <x v="1"/>
    <x v="7"/>
    <x v="126"/>
    <x v="110"/>
    <x v="3"/>
    <x v="91"/>
    <x v="91"/>
    <x v="6"/>
  </r>
  <r>
    <x v="431"/>
    <x v="96"/>
    <x v="4"/>
    <x v="21"/>
    <x v="0"/>
    <x v="44"/>
    <x v="51"/>
    <x v="110"/>
    <x v="0"/>
    <x v="64"/>
    <x v="64"/>
    <x v="21"/>
  </r>
  <r>
    <x v="432"/>
    <x v="147"/>
    <x v="4"/>
    <x v="21"/>
    <x v="0"/>
    <x v="32"/>
    <x v="127"/>
    <x v="110"/>
    <x v="2"/>
    <x v="43"/>
    <x v="43"/>
    <x v="21"/>
  </r>
  <r>
    <x v="433"/>
    <x v="36"/>
    <x v="0"/>
    <x v="18"/>
    <x v="2"/>
    <x v="25"/>
    <x v="35"/>
    <x v="110"/>
    <x v="1"/>
    <x v="84"/>
    <x v="84"/>
    <x v="18"/>
  </r>
  <r>
    <x v="434"/>
    <x v="19"/>
    <x v="4"/>
    <x v="21"/>
    <x v="3"/>
    <x v="32"/>
    <x v="19"/>
    <x v="110"/>
    <x v="2"/>
    <x v="43"/>
    <x v="43"/>
    <x v="21"/>
  </r>
  <r>
    <x v="435"/>
    <x v="158"/>
    <x v="2"/>
    <x v="15"/>
    <x v="3"/>
    <x v="46"/>
    <x v="137"/>
    <x v="110"/>
    <x v="1"/>
    <x v="88"/>
    <x v="88"/>
    <x v="15"/>
  </r>
  <r>
    <x v="436"/>
    <x v="142"/>
    <x v="1"/>
    <x v="7"/>
    <x v="1"/>
    <x v="8"/>
    <x v="122"/>
    <x v="110"/>
    <x v="3"/>
    <x v="79"/>
    <x v="79"/>
    <x v="7"/>
  </r>
  <r>
    <x v="437"/>
    <x v="161"/>
    <x v="0"/>
    <x v="5"/>
    <x v="2"/>
    <x v="12"/>
    <x v="140"/>
    <x v="111"/>
    <x v="3"/>
    <x v="6"/>
    <x v="6"/>
    <x v="5"/>
  </r>
  <r>
    <x v="438"/>
    <x v="28"/>
    <x v="2"/>
    <x v="15"/>
    <x v="0"/>
    <x v="20"/>
    <x v="27"/>
    <x v="111"/>
    <x v="1"/>
    <x v="88"/>
    <x v="88"/>
    <x v="15"/>
  </r>
  <r>
    <x v="439"/>
    <x v="55"/>
    <x v="3"/>
    <x v="14"/>
    <x v="2"/>
    <x v="19"/>
    <x v="52"/>
    <x v="111"/>
    <x v="0"/>
    <x v="86"/>
    <x v="86"/>
    <x v="14"/>
  </r>
  <r>
    <x v="440"/>
    <x v="51"/>
    <x v="1"/>
    <x v="7"/>
    <x v="0"/>
    <x v="8"/>
    <x v="40"/>
    <x v="111"/>
    <x v="3"/>
    <x v="79"/>
    <x v="79"/>
    <x v="7"/>
  </r>
  <r>
    <x v="441"/>
    <x v="135"/>
    <x v="1"/>
    <x v="1"/>
    <x v="4"/>
    <x v="33"/>
    <x v="116"/>
    <x v="111"/>
    <x v="1"/>
    <x v="1"/>
    <x v="1"/>
    <x v="1"/>
  </r>
  <r>
    <x v="442"/>
    <x v="164"/>
    <x v="2"/>
    <x v="4"/>
    <x v="2"/>
    <x v="24"/>
    <x v="141"/>
    <x v="111"/>
    <x v="3"/>
    <x v="4"/>
    <x v="4"/>
    <x v="4"/>
  </r>
  <r>
    <x v="443"/>
    <x v="64"/>
    <x v="3"/>
    <x v="8"/>
    <x v="2"/>
    <x v="9"/>
    <x v="61"/>
    <x v="112"/>
    <x v="0"/>
    <x v="55"/>
    <x v="55"/>
    <x v="8"/>
  </r>
  <r>
    <x v="444"/>
    <x v="93"/>
    <x v="0"/>
    <x v="5"/>
    <x v="2"/>
    <x v="6"/>
    <x v="83"/>
    <x v="113"/>
    <x v="2"/>
    <x v="50"/>
    <x v="50"/>
    <x v="5"/>
  </r>
  <r>
    <x v="445"/>
    <x v="52"/>
    <x v="4"/>
    <x v="21"/>
    <x v="0"/>
    <x v="32"/>
    <x v="49"/>
    <x v="113"/>
    <x v="2"/>
    <x v="43"/>
    <x v="43"/>
    <x v="21"/>
  </r>
  <r>
    <x v="446"/>
    <x v="19"/>
    <x v="1"/>
    <x v="1"/>
    <x v="3"/>
    <x v="33"/>
    <x v="19"/>
    <x v="113"/>
    <x v="2"/>
    <x v="54"/>
    <x v="54"/>
    <x v="1"/>
  </r>
  <r>
    <x v="447"/>
    <x v="59"/>
    <x v="1"/>
    <x v="6"/>
    <x v="2"/>
    <x v="7"/>
    <x v="56"/>
    <x v="114"/>
    <x v="0"/>
    <x v="42"/>
    <x v="42"/>
    <x v="6"/>
  </r>
  <r>
    <x v="448"/>
    <x v="165"/>
    <x v="1"/>
    <x v="7"/>
    <x v="2"/>
    <x v="34"/>
    <x v="67"/>
    <x v="114"/>
    <x v="0"/>
    <x v="37"/>
    <x v="37"/>
    <x v="7"/>
  </r>
  <r>
    <x v="449"/>
    <x v="38"/>
    <x v="3"/>
    <x v="14"/>
    <x v="3"/>
    <x v="19"/>
    <x v="37"/>
    <x v="115"/>
    <x v="0"/>
    <x v="86"/>
    <x v="86"/>
    <x v="14"/>
  </r>
  <r>
    <x v="450"/>
    <x v="166"/>
    <x v="3"/>
    <x v="8"/>
    <x v="0"/>
    <x v="9"/>
    <x v="17"/>
    <x v="115"/>
    <x v="0"/>
    <x v="55"/>
    <x v="55"/>
    <x v="8"/>
  </r>
  <r>
    <x v="451"/>
    <x v="63"/>
    <x v="4"/>
    <x v="11"/>
    <x v="2"/>
    <x v="26"/>
    <x v="60"/>
    <x v="116"/>
    <x v="0"/>
    <x v="76"/>
    <x v="76"/>
    <x v="11"/>
  </r>
  <r>
    <x v="452"/>
    <x v="6"/>
    <x v="4"/>
    <x v="17"/>
    <x v="3"/>
    <x v="22"/>
    <x v="6"/>
    <x v="116"/>
    <x v="1"/>
    <x v="58"/>
    <x v="58"/>
    <x v="17"/>
  </r>
  <r>
    <x v="453"/>
    <x v="79"/>
    <x v="2"/>
    <x v="15"/>
    <x v="2"/>
    <x v="20"/>
    <x v="73"/>
    <x v="117"/>
    <x v="0"/>
    <x v="23"/>
    <x v="23"/>
    <x v="15"/>
  </r>
  <r>
    <x v="454"/>
    <x v="59"/>
    <x v="1"/>
    <x v="7"/>
    <x v="2"/>
    <x v="34"/>
    <x v="56"/>
    <x v="117"/>
    <x v="2"/>
    <x v="82"/>
    <x v="82"/>
    <x v="7"/>
  </r>
  <r>
    <x v="455"/>
    <x v="153"/>
    <x v="2"/>
    <x v="23"/>
    <x v="2"/>
    <x v="36"/>
    <x v="94"/>
    <x v="117"/>
    <x v="3"/>
    <x v="75"/>
    <x v="75"/>
    <x v="23"/>
  </r>
  <r>
    <x v="456"/>
    <x v="2"/>
    <x v="2"/>
    <x v="15"/>
    <x v="0"/>
    <x v="20"/>
    <x v="2"/>
    <x v="117"/>
    <x v="1"/>
    <x v="88"/>
    <x v="88"/>
    <x v="15"/>
  </r>
  <r>
    <x v="457"/>
    <x v="27"/>
    <x v="4"/>
    <x v="21"/>
    <x v="0"/>
    <x v="44"/>
    <x v="26"/>
    <x v="117"/>
    <x v="0"/>
    <x v="64"/>
    <x v="64"/>
    <x v="21"/>
  </r>
  <r>
    <x v="458"/>
    <x v="158"/>
    <x v="0"/>
    <x v="24"/>
    <x v="3"/>
    <x v="47"/>
    <x v="137"/>
    <x v="117"/>
    <x v="0"/>
    <x v="85"/>
    <x v="85"/>
    <x v="24"/>
  </r>
  <r>
    <x v="459"/>
    <x v="46"/>
    <x v="4"/>
    <x v="9"/>
    <x v="2"/>
    <x v="10"/>
    <x v="45"/>
    <x v="117"/>
    <x v="3"/>
    <x v="11"/>
    <x v="11"/>
    <x v="9"/>
  </r>
  <r>
    <x v="460"/>
    <x v="129"/>
    <x v="1"/>
    <x v="1"/>
    <x v="2"/>
    <x v="33"/>
    <x v="110"/>
    <x v="118"/>
    <x v="2"/>
    <x v="54"/>
    <x v="54"/>
    <x v="1"/>
  </r>
  <r>
    <x v="461"/>
    <x v="25"/>
    <x v="4"/>
    <x v="21"/>
    <x v="2"/>
    <x v="44"/>
    <x v="25"/>
    <x v="118"/>
    <x v="3"/>
    <x v="70"/>
    <x v="70"/>
    <x v="21"/>
  </r>
  <r>
    <x v="462"/>
    <x v="31"/>
    <x v="1"/>
    <x v="19"/>
    <x v="0"/>
    <x v="38"/>
    <x v="30"/>
    <x v="119"/>
    <x v="3"/>
    <x v="97"/>
    <x v="97"/>
    <x v="19"/>
  </r>
  <r>
    <x v="463"/>
    <x v="0"/>
    <x v="2"/>
    <x v="15"/>
    <x v="0"/>
    <x v="46"/>
    <x v="0"/>
    <x v="120"/>
    <x v="2"/>
    <x v="80"/>
    <x v="80"/>
    <x v="15"/>
  </r>
  <r>
    <x v="464"/>
    <x v="149"/>
    <x v="1"/>
    <x v="6"/>
    <x v="2"/>
    <x v="37"/>
    <x v="129"/>
    <x v="120"/>
    <x v="0"/>
    <x v="42"/>
    <x v="42"/>
    <x v="6"/>
  </r>
  <r>
    <x v="465"/>
    <x v="167"/>
    <x v="1"/>
    <x v="19"/>
    <x v="0"/>
    <x v="38"/>
    <x v="114"/>
    <x v="120"/>
    <x v="3"/>
    <x v="97"/>
    <x v="97"/>
    <x v="19"/>
  </r>
  <r>
    <x v="466"/>
    <x v="60"/>
    <x v="0"/>
    <x v="10"/>
    <x v="0"/>
    <x v="11"/>
    <x v="57"/>
    <x v="120"/>
    <x v="1"/>
    <x v="94"/>
    <x v="94"/>
    <x v="10"/>
  </r>
  <r>
    <x v="467"/>
    <x v="145"/>
    <x v="4"/>
    <x v="9"/>
    <x v="0"/>
    <x v="23"/>
    <x v="125"/>
    <x v="120"/>
    <x v="0"/>
    <x v="39"/>
    <x v="39"/>
    <x v="9"/>
  </r>
  <r>
    <x v="468"/>
    <x v="29"/>
    <x v="0"/>
    <x v="5"/>
    <x v="3"/>
    <x v="6"/>
    <x v="28"/>
    <x v="121"/>
    <x v="3"/>
    <x v="6"/>
    <x v="6"/>
    <x v="5"/>
  </r>
  <r>
    <x v="469"/>
    <x v="70"/>
    <x v="1"/>
    <x v="22"/>
    <x v="3"/>
    <x v="40"/>
    <x v="7"/>
    <x v="121"/>
    <x v="0"/>
    <x v="71"/>
    <x v="71"/>
    <x v="22"/>
  </r>
  <r>
    <x v="470"/>
    <x v="43"/>
    <x v="0"/>
    <x v="24"/>
    <x v="1"/>
    <x v="42"/>
    <x v="42"/>
    <x v="121"/>
    <x v="3"/>
    <x v="77"/>
    <x v="77"/>
    <x v="24"/>
  </r>
  <r>
    <x v="471"/>
    <x v="46"/>
    <x v="4"/>
    <x v="11"/>
    <x v="2"/>
    <x v="13"/>
    <x v="45"/>
    <x v="121"/>
    <x v="3"/>
    <x v="14"/>
    <x v="14"/>
    <x v="11"/>
  </r>
  <r>
    <x v="472"/>
    <x v="152"/>
    <x v="0"/>
    <x v="5"/>
    <x v="2"/>
    <x v="12"/>
    <x v="132"/>
    <x v="122"/>
    <x v="2"/>
    <x v="50"/>
    <x v="50"/>
    <x v="5"/>
  </r>
  <r>
    <x v="473"/>
    <x v="123"/>
    <x v="2"/>
    <x v="23"/>
    <x v="3"/>
    <x v="49"/>
    <x v="106"/>
    <x v="122"/>
    <x v="2"/>
    <x v="69"/>
    <x v="69"/>
    <x v="23"/>
  </r>
  <r>
    <x v="474"/>
    <x v="67"/>
    <x v="0"/>
    <x v="0"/>
    <x v="0"/>
    <x v="15"/>
    <x v="64"/>
    <x v="123"/>
    <x v="3"/>
    <x v="98"/>
    <x v="98"/>
    <x v="0"/>
  </r>
  <r>
    <x v="475"/>
    <x v="168"/>
    <x v="1"/>
    <x v="19"/>
    <x v="2"/>
    <x v="38"/>
    <x v="142"/>
    <x v="123"/>
    <x v="0"/>
    <x v="30"/>
    <x v="30"/>
    <x v="19"/>
  </r>
  <r>
    <x v="476"/>
    <x v="87"/>
    <x v="2"/>
    <x v="3"/>
    <x v="2"/>
    <x v="3"/>
    <x v="79"/>
    <x v="123"/>
    <x v="1"/>
    <x v="5"/>
    <x v="5"/>
    <x v="3"/>
  </r>
  <r>
    <x v="477"/>
    <x v="25"/>
    <x v="4"/>
    <x v="9"/>
    <x v="2"/>
    <x v="10"/>
    <x v="25"/>
    <x v="123"/>
    <x v="3"/>
    <x v="11"/>
    <x v="11"/>
    <x v="9"/>
  </r>
  <r>
    <x v="478"/>
    <x v="116"/>
    <x v="0"/>
    <x v="18"/>
    <x v="3"/>
    <x v="25"/>
    <x v="101"/>
    <x v="123"/>
    <x v="3"/>
    <x v="28"/>
    <x v="28"/>
    <x v="18"/>
  </r>
  <r>
    <x v="479"/>
    <x v="79"/>
    <x v="1"/>
    <x v="22"/>
    <x v="2"/>
    <x v="40"/>
    <x v="73"/>
    <x v="124"/>
    <x v="0"/>
    <x v="71"/>
    <x v="71"/>
    <x v="22"/>
  </r>
  <r>
    <x v="480"/>
    <x v="13"/>
    <x v="2"/>
    <x v="15"/>
    <x v="2"/>
    <x v="46"/>
    <x v="13"/>
    <x v="125"/>
    <x v="2"/>
    <x v="80"/>
    <x v="80"/>
    <x v="15"/>
  </r>
  <r>
    <x v="481"/>
    <x v="169"/>
    <x v="4"/>
    <x v="11"/>
    <x v="3"/>
    <x v="13"/>
    <x v="114"/>
    <x v="125"/>
    <x v="3"/>
    <x v="14"/>
    <x v="14"/>
    <x v="11"/>
  </r>
  <r>
    <x v="482"/>
    <x v="39"/>
    <x v="0"/>
    <x v="5"/>
    <x v="0"/>
    <x v="6"/>
    <x v="38"/>
    <x v="126"/>
    <x v="0"/>
    <x v="13"/>
    <x v="13"/>
    <x v="5"/>
  </r>
  <r>
    <x v="483"/>
    <x v="97"/>
    <x v="4"/>
    <x v="21"/>
    <x v="0"/>
    <x v="44"/>
    <x v="86"/>
    <x v="126"/>
    <x v="3"/>
    <x v="70"/>
    <x v="70"/>
    <x v="21"/>
  </r>
  <r>
    <x v="484"/>
    <x v="100"/>
    <x v="4"/>
    <x v="9"/>
    <x v="0"/>
    <x v="10"/>
    <x v="89"/>
    <x v="127"/>
    <x v="2"/>
    <x v="27"/>
    <x v="27"/>
    <x v="9"/>
  </r>
  <r>
    <x v="485"/>
    <x v="111"/>
    <x v="0"/>
    <x v="24"/>
    <x v="0"/>
    <x v="42"/>
    <x v="19"/>
    <x v="127"/>
    <x v="0"/>
    <x v="85"/>
    <x v="85"/>
    <x v="24"/>
  </r>
  <r>
    <x v="486"/>
    <x v="157"/>
    <x v="1"/>
    <x v="6"/>
    <x v="2"/>
    <x v="37"/>
    <x v="136"/>
    <x v="127"/>
    <x v="3"/>
    <x v="91"/>
    <x v="91"/>
    <x v="6"/>
  </r>
  <r>
    <x v="487"/>
    <x v="20"/>
    <x v="0"/>
    <x v="10"/>
    <x v="3"/>
    <x v="18"/>
    <x v="20"/>
    <x v="127"/>
    <x v="2"/>
    <x v="26"/>
    <x v="26"/>
    <x v="10"/>
  </r>
  <r>
    <x v="488"/>
    <x v="51"/>
    <x v="2"/>
    <x v="2"/>
    <x v="0"/>
    <x v="48"/>
    <x v="40"/>
    <x v="127"/>
    <x v="2"/>
    <x v="2"/>
    <x v="2"/>
    <x v="2"/>
  </r>
  <r>
    <x v="489"/>
    <x v="114"/>
    <x v="0"/>
    <x v="0"/>
    <x v="1"/>
    <x v="15"/>
    <x v="99"/>
    <x v="127"/>
    <x v="0"/>
    <x v="0"/>
    <x v="0"/>
    <x v="0"/>
  </r>
  <r>
    <x v="490"/>
    <x v="83"/>
    <x v="1"/>
    <x v="1"/>
    <x v="2"/>
    <x v="33"/>
    <x v="76"/>
    <x v="127"/>
    <x v="1"/>
    <x v="1"/>
    <x v="1"/>
    <x v="1"/>
  </r>
  <r>
    <x v="491"/>
    <x v="170"/>
    <x v="4"/>
    <x v="9"/>
    <x v="2"/>
    <x v="10"/>
    <x v="143"/>
    <x v="127"/>
    <x v="1"/>
    <x v="29"/>
    <x v="29"/>
    <x v="9"/>
  </r>
  <r>
    <x v="492"/>
    <x v="146"/>
    <x v="1"/>
    <x v="7"/>
    <x v="1"/>
    <x v="34"/>
    <x v="126"/>
    <x v="128"/>
    <x v="2"/>
    <x v="82"/>
    <x v="82"/>
    <x v="7"/>
  </r>
  <r>
    <x v="493"/>
    <x v="14"/>
    <x v="4"/>
    <x v="21"/>
    <x v="0"/>
    <x v="32"/>
    <x v="14"/>
    <x v="128"/>
    <x v="1"/>
    <x v="35"/>
    <x v="35"/>
    <x v="21"/>
  </r>
  <r>
    <x v="494"/>
    <x v="29"/>
    <x v="1"/>
    <x v="22"/>
    <x v="3"/>
    <x v="35"/>
    <x v="28"/>
    <x v="128"/>
    <x v="1"/>
    <x v="65"/>
    <x v="65"/>
    <x v="22"/>
  </r>
  <r>
    <x v="495"/>
    <x v="171"/>
    <x v="4"/>
    <x v="17"/>
    <x v="2"/>
    <x v="30"/>
    <x v="144"/>
    <x v="128"/>
    <x v="1"/>
    <x v="58"/>
    <x v="58"/>
    <x v="17"/>
  </r>
  <r>
    <x v="496"/>
    <x v="53"/>
    <x v="2"/>
    <x v="3"/>
    <x v="0"/>
    <x v="3"/>
    <x v="50"/>
    <x v="129"/>
    <x v="0"/>
    <x v="74"/>
    <x v="74"/>
    <x v="3"/>
  </r>
  <r>
    <x v="497"/>
    <x v="167"/>
    <x v="1"/>
    <x v="1"/>
    <x v="0"/>
    <x v="1"/>
    <x v="114"/>
    <x v="129"/>
    <x v="1"/>
    <x v="1"/>
    <x v="1"/>
    <x v="1"/>
  </r>
  <r>
    <x v="498"/>
    <x v="43"/>
    <x v="1"/>
    <x v="6"/>
    <x v="1"/>
    <x v="7"/>
    <x v="42"/>
    <x v="129"/>
    <x v="2"/>
    <x v="83"/>
    <x v="83"/>
    <x v="6"/>
  </r>
  <r>
    <x v="499"/>
    <x v="136"/>
    <x v="2"/>
    <x v="23"/>
    <x v="1"/>
    <x v="36"/>
    <x v="117"/>
    <x v="129"/>
    <x v="3"/>
    <x v="75"/>
    <x v="75"/>
    <x v="23"/>
  </r>
  <r>
    <x v="500"/>
    <x v="168"/>
    <x v="3"/>
    <x v="13"/>
    <x v="2"/>
    <x v="16"/>
    <x v="142"/>
    <x v="130"/>
    <x v="1"/>
    <x v="96"/>
    <x v="96"/>
    <x v="13"/>
  </r>
  <r>
    <x v="501"/>
    <x v="70"/>
    <x v="2"/>
    <x v="2"/>
    <x v="3"/>
    <x v="2"/>
    <x v="7"/>
    <x v="130"/>
    <x v="1"/>
    <x v="56"/>
    <x v="56"/>
    <x v="2"/>
  </r>
  <r>
    <x v="502"/>
    <x v="62"/>
    <x v="1"/>
    <x v="7"/>
    <x v="0"/>
    <x v="34"/>
    <x v="59"/>
    <x v="130"/>
    <x v="3"/>
    <x v="79"/>
    <x v="79"/>
    <x v="7"/>
  </r>
  <r>
    <x v="503"/>
    <x v="122"/>
    <x v="3"/>
    <x v="20"/>
    <x v="3"/>
    <x v="29"/>
    <x v="105"/>
    <x v="131"/>
    <x v="1"/>
    <x v="49"/>
    <x v="49"/>
    <x v="20"/>
  </r>
  <r>
    <x v="504"/>
    <x v="39"/>
    <x v="2"/>
    <x v="3"/>
    <x v="0"/>
    <x v="3"/>
    <x v="38"/>
    <x v="131"/>
    <x v="3"/>
    <x v="3"/>
    <x v="3"/>
    <x v="3"/>
  </r>
  <r>
    <x v="505"/>
    <x v="41"/>
    <x v="1"/>
    <x v="1"/>
    <x v="2"/>
    <x v="1"/>
    <x v="40"/>
    <x v="131"/>
    <x v="0"/>
    <x v="36"/>
    <x v="36"/>
    <x v="1"/>
  </r>
  <r>
    <x v="506"/>
    <x v="147"/>
    <x v="3"/>
    <x v="14"/>
    <x v="0"/>
    <x v="45"/>
    <x v="127"/>
    <x v="132"/>
    <x v="3"/>
    <x v="22"/>
    <x v="22"/>
    <x v="14"/>
  </r>
  <r>
    <x v="507"/>
    <x v="45"/>
    <x v="4"/>
    <x v="11"/>
    <x v="2"/>
    <x v="13"/>
    <x v="44"/>
    <x v="133"/>
    <x v="1"/>
    <x v="89"/>
    <x v="89"/>
    <x v="11"/>
  </r>
  <r>
    <x v="508"/>
    <x v="71"/>
    <x v="4"/>
    <x v="12"/>
    <x v="2"/>
    <x v="14"/>
    <x v="57"/>
    <x v="134"/>
    <x v="3"/>
    <x v="16"/>
    <x v="16"/>
    <x v="12"/>
  </r>
  <r>
    <x v="509"/>
    <x v="100"/>
    <x v="1"/>
    <x v="22"/>
    <x v="0"/>
    <x v="40"/>
    <x v="89"/>
    <x v="134"/>
    <x v="3"/>
    <x v="51"/>
    <x v="51"/>
    <x v="22"/>
  </r>
  <r>
    <x v="510"/>
    <x v="87"/>
    <x v="4"/>
    <x v="12"/>
    <x v="2"/>
    <x v="14"/>
    <x v="79"/>
    <x v="134"/>
    <x v="0"/>
    <x v="87"/>
    <x v="87"/>
    <x v="12"/>
  </r>
  <r>
    <x v="511"/>
    <x v="147"/>
    <x v="0"/>
    <x v="24"/>
    <x v="0"/>
    <x v="42"/>
    <x v="127"/>
    <x v="134"/>
    <x v="2"/>
    <x v="67"/>
    <x v="67"/>
    <x v="24"/>
  </r>
  <r>
    <x v="512"/>
    <x v="123"/>
    <x v="1"/>
    <x v="7"/>
    <x v="3"/>
    <x v="34"/>
    <x v="106"/>
    <x v="134"/>
    <x v="0"/>
    <x v="37"/>
    <x v="37"/>
    <x v="7"/>
  </r>
  <r>
    <x v="513"/>
    <x v="68"/>
    <x v="1"/>
    <x v="22"/>
    <x v="0"/>
    <x v="35"/>
    <x v="65"/>
    <x v="134"/>
    <x v="1"/>
    <x v="65"/>
    <x v="65"/>
    <x v="22"/>
  </r>
  <r>
    <x v="514"/>
    <x v="166"/>
    <x v="2"/>
    <x v="3"/>
    <x v="0"/>
    <x v="5"/>
    <x v="17"/>
    <x v="134"/>
    <x v="3"/>
    <x v="3"/>
    <x v="3"/>
    <x v="3"/>
  </r>
  <r>
    <x v="515"/>
    <x v="31"/>
    <x v="0"/>
    <x v="18"/>
    <x v="0"/>
    <x v="39"/>
    <x v="30"/>
    <x v="134"/>
    <x v="3"/>
    <x v="28"/>
    <x v="28"/>
    <x v="18"/>
  </r>
  <r>
    <x v="516"/>
    <x v="138"/>
    <x v="1"/>
    <x v="7"/>
    <x v="2"/>
    <x v="34"/>
    <x v="119"/>
    <x v="135"/>
    <x v="0"/>
    <x v="37"/>
    <x v="37"/>
    <x v="7"/>
  </r>
  <r>
    <x v="517"/>
    <x v="118"/>
    <x v="4"/>
    <x v="21"/>
    <x v="3"/>
    <x v="44"/>
    <x v="103"/>
    <x v="135"/>
    <x v="0"/>
    <x v="64"/>
    <x v="64"/>
    <x v="21"/>
  </r>
  <r>
    <x v="518"/>
    <x v="172"/>
    <x v="4"/>
    <x v="11"/>
    <x v="1"/>
    <x v="13"/>
    <x v="125"/>
    <x v="135"/>
    <x v="3"/>
    <x v="14"/>
    <x v="14"/>
    <x v="11"/>
  </r>
  <r>
    <x v="519"/>
    <x v="131"/>
    <x v="0"/>
    <x v="10"/>
    <x v="0"/>
    <x v="18"/>
    <x v="112"/>
    <x v="135"/>
    <x v="3"/>
    <x v="12"/>
    <x v="12"/>
    <x v="10"/>
  </r>
  <r>
    <x v="520"/>
    <x v="32"/>
    <x v="0"/>
    <x v="24"/>
    <x v="2"/>
    <x v="47"/>
    <x v="31"/>
    <x v="135"/>
    <x v="0"/>
    <x v="85"/>
    <x v="85"/>
    <x v="24"/>
  </r>
  <r>
    <x v="521"/>
    <x v="165"/>
    <x v="0"/>
    <x v="18"/>
    <x v="2"/>
    <x v="39"/>
    <x v="67"/>
    <x v="135"/>
    <x v="1"/>
    <x v="84"/>
    <x v="84"/>
    <x v="18"/>
  </r>
  <r>
    <x v="522"/>
    <x v="55"/>
    <x v="1"/>
    <x v="6"/>
    <x v="2"/>
    <x v="37"/>
    <x v="52"/>
    <x v="136"/>
    <x v="3"/>
    <x v="91"/>
    <x v="91"/>
    <x v="6"/>
  </r>
  <r>
    <x v="523"/>
    <x v="141"/>
    <x v="0"/>
    <x v="24"/>
    <x v="2"/>
    <x v="42"/>
    <x v="121"/>
    <x v="136"/>
    <x v="0"/>
    <x v="85"/>
    <x v="85"/>
    <x v="24"/>
  </r>
  <r>
    <x v="524"/>
    <x v="107"/>
    <x v="0"/>
    <x v="18"/>
    <x v="3"/>
    <x v="39"/>
    <x v="83"/>
    <x v="136"/>
    <x v="0"/>
    <x v="78"/>
    <x v="78"/>
    <x v="18"/>
  </r>
  <r>
    <x v="525"/>
    <x v="72"/>
    <x v="2"/>
    <x v="2"/>
    <x v="2"/>
    <x v="48"/>
    <x v="67"/>
    <x v="137"/>
    <x v="1"/>
    <x v="56"/>
    <x v="56"/>
    <x v="2"/>
  </r>
  <r>
    <x v="526"/>
    <x v="95"/>
    <x v="2"/>
    <x v="4"/>
    <x v="1"/>
    <x v="24"/>
    <x v="85"/>
    <x v="137"/>
    <x v="2"/>
    <x v="7"/>
    <x v="7"/>
    <x v="4"/>
  </r>
  <r>
    <x v="527"/>
    <x v="74"/>
    <x v="3"/>
    <x v="14"/>
    <x v="2"/>
    <x v="19"/>
    <x v="69"/>
    <x v="137"/>
    <x v="2"/>
    <x v="40"/>
    <x v="40"/>
    <x v="14"/>
  </r>
  <r>
    <x v="528"/>
    <x v="74"/>
    <x v="3"/>
    <x v="8"/>
    <x v="2"/>
    <x v="43"/>
    <x v="69"/>
    <x v="137"/>
    <x v="3"/>
    <x v="10"/>
    <x v="10"/>
    <x v="8"/>
  </r>
  <r>
    <x v="529"/>
    <x v="40"/>
    <x v="1"/>
    <x v="22"/>
    <x v="1"/>
    <x v="35"/>
    <x v="39"/>
    <x v="137"/>
    <x v="0"/>
    <x v="71"/>
    <x v="71"/>
    <x v="22"/>
  </r>
  <r>
    <x v="530"/>
    <x v="43"/>
    <x v="3"/>
    <x v="16"/>
    <x v="1"/>
    <x v="41"/>
    <x v="42"/>
    <x v="137"/>
    <x v="3"/>
    <x v="81"/>
    <x v="81"/>
    <x v="16"/>
  </r>
  <r>
    <x v="531"/>
    <x v="162"/>
    <x v="0"/>
    <x v="18"/>
    <x v="3"/>
    <x v="39"/>
    <x v="126"/>
    <x v="137"/>
    <x v="0"/>
    <x v="78"/>
    <x v="78"/>
    <x v="18"/>
  </r>
  <r>
    <x v="532"/>
    <x v="166"/>
    <x v="1"/>
    <x v="7"/>
    <x v="0"/>
    <x v="34"/>
    <x v="17"/>
    <x v="138"/>
    <x v="1"/>
    <x v="9"/>
    <x v="9"/>
    <x v="7"/>
  </r>
  <r>
    <x v="533"/>
    <x v="56"/>
    <x v="4"/>
    <x v="21"/>
    <x v="2"/>
    <x v="32"/>
    <x v="53"/>
    <x v="139"/>
    <x v="3"/>
    <x v="70"/>
    <x v="70"/>
    <x v="21"/>
  </r>
  <r>
    <x v="534"/>
    <x v="150"/>
    <x v="2"/>
    <x v="4"/>
    <x v="1"/>
    <x v="4"/>
    <x v="130"/>
    <x v="140"/>
    <x v="3"/>
    <x v="4"/>
    <x v="4"/>
    <x v="4"/>
  </r>
  <r>
    <x v="535"/>
    <x v="169"/>
    <x v="1"/>
    <x v="7"/>
    <x v="3"/>
    <x v="34"/>
    <x v="114"/>
    <x v="141"/>
    <x v="3"/>
    <x v="79"/>
    <x v="79"/>
    <x v="7"/>
  </r>
  <r>
    <x v="536"/>
    <x v="130"/>
    <x v="4"/>
    <x v="11"/>
    <x v="2"/>
    <x v="13"/>
    <x v="111"/>
    <x v="141"/>
    <x v="0"/>
    <x v="76"/>
    <x v="76"/>
    <x v="11"/>
  </r>
  <r>
    <x v="537"/>
    <x v="150"/>
    <x v="1"/>
    <x v="1"/>
    <x v="1"/>
    <x v="33"/>
    <x v="130"/>
    <x v="141"/>
    <x v="3"/>
    <x v="90"/>
    <x v="90"/>
    <x v="1"/>
  </r>
  <r>
    <x v="538"/>
    <x v="63"/>
    <x v="3"/>
    <x v="8"/>
    <x v="2"/>
    <x v="43"/>
    <x v="60"/>
    <x v="142"/>
    <x v="3"/>
    <x v="10"/>
    <x v="10"/>
    <x v="8"/>
  </r>
  <r>
    <x v="539"/>
    <x v="167"/>
    <x v="0"/>
    <x v="0"/>
    <x v="0"/>
    <x v="15"/>
    <x v="114"/>
    <x v="142"/>
    <x v="0"/>
    <x v="0"/>
    <x v="0"/>
    <x v="0"/>
  </r>
  <r>
    <x v="540"/>
    <x v="98"/>
    <x v="2"/>
    <x v="23"/>
    <x v="1"/>
    <x v="49"/>
    <x v="87"/>
    <x v="142"/>
    <x v="0"/>
    <x v="41"/>
    <x v="41"/>
    <x v="23"/>
  </r>
  <r>
    <x v="541"/>
    <x v="119"/>
    <x v="4"/>
    <x v="12"/>
    <x v="2"/>
    <x v="17"/>
    <x v="58"/>
    <x v="142"/>
    <x v="0"/>
    <x v="87"/>
    <x v="87"/>
    <x v="12"/>
  </r>
  <r>
    <x v="542"/>
    <x v="74"/>
    <x v="1"/>
    <x v="22"/>
    <x v="2"/>
    <x v="40"/>
    <x v="69"/>
    <x v="142"/>
    <x v="3"/>
    <x v="51"/>
    <x v="51"/>
    <x v="22"/>
  </r>
  <r>
    <x v="543"/>
    <x v="140"/>
    <x v="3"/>
    <x v="8"/>
    <x v="0"/>
    <x v="9"/>
    <x v="120"/>
    <x v="142"/>
    <x v="2"/>
    <x v="18"/>
    <x v="18"/>
    <x v="8"/>
  </r>
  <r>
    <x v="544"/>
    <x v="48"/>
    <x v="1"/>
    <x v="1"/>
    <x v="0"/>
    <x v="1"/>
    <x v="18"/>
    <x v="142"/>
    <x v="2"/>
    <x v="54"/>
    <x v="54"/>
    <x v="1"/>
  </r>
  <r>
    <x v="545"/>
    <x v="48"/>
    <x v="3"/>
    <x v="8"/>
    <x v="0"/>
    <x v="43"/>
    <x v="18"/>
    <x v="142"/>
    <x v="2"/>
    <x v="18"/>
    <x v="18"/>
    <x v="8"/>
  </r>
  <r>
    <x v="546"/>
    <x v="159"/>
    <x v="4"/>
    <x v="21"/>
    <x v="0"/>
    <x v="32"/>
    <x v="138"/>
    <x v="143"/>
    <x v="3"/>
    <x v="70"/>
    <x v="70"/>
    <x v="21"/>
  </r>
  <r>
    <x v="547"/>
    <x v="95"/>
    <x v="1"/>
    <x v="7"/>
    <x v="1"/>
    <x v="34"/>
    <x v="85"/>
    <x v="143"/>
    <x v="3"/>
    <x v="79"/>
    <x v="79"/>
    <x v="7"/>
  </r>
  <r>
    <x v="548"/>
    <x v="113"/>
    <x v="3"/>
    <x v="16"/>
    <x v="2"/>
    <x v="41"/>
    <x v="98"/>
    <x v="143"/>
    <x v="3"/>
    <x v="81"/>
    <x v="81"/>
    <x v="16"/>
  </r>
  <r>
    <x v="549"/>
    <x v="152"/>
    <x v="1"/>
    <x v="19"/>
    <x v="2"/>
    <x v="28"/>
    <x v="132"/>
    <x v="143"/>
    <x v="1"/>
    <x v="46"/>
    <x v="46"/>
    <x v="19"/>
  </r>
  <r>
    <x v="550"/>
    <x v="173"/>
    <x v="0"/>
    <x v="10"/>
    <x v="0"/>
    <x v="18"/>
    <x v="145"/>
    <x v="143"/>
    <x v="0"/>
    <x v="21"/>
    <x v="21"/>
    <x v="10"/>
  </r>
  <r>
    <x v="551"/>
    <x v="140"/>
    <x v="4"/>
    <x v="9"/>
    <x v="0"/>
    <x v="23"/>
    <x v="120"/>
    <x v="144"/>
    <x v="1"/>
    <x v="29"/>
    <x v="29"/>
    <x v="9"/>
  </r>
  <r>
    <x v="552"/>
    <x v="61"/>
    <x v="0"/>
    <x v="0"/>
    <x v="2"/>
    <x v="15"/>
    <x v="58"/>
    <x v="144"/>
    <x v="0"/>
    <x v="0"/>
    <x v="0"/>
    <x v="0"/>
  </r>
  <r>
    <x v="553"/>
    <x v="172"/>
    <x v="3"/>
    <x v="20"/>
    <x v="1"/>
    <x v="29"/>
    <x v="125"/>
    <x v="145"/>
    <x v="3"/>
    <x v="32"/>
    <x v="32"/>
    <x v="20"/>
  </r>
  <r>
    <x v="554"/>
    <x v="102"/>
    <x v="0"/>
    <x v="24"/>
    <x v="0"/>
    <x v="47"/>
    <x v="91"/>
    <x v="146"/>
    <x v="2"/>
    <x v="67"/>
    <x v="67"/>
    <x v="24"/>
  </r>
  <r>
    <x v="555"/>
    <x v="38"/>
    <x v="0"/>
    <x v="5"/>
    <x v="3"/>
    <x v="6"/>
    <x v="37"/>
    <x v="146"/>
    <x v="2"/>
    <x v="50"/>
    <x v="50"/>
    <x v="5"/>
  </r>
  <r>
    <x v="556"/>
    <x v="48"/>
    <x v="0"/>
    <x v="24"/>
    <x v="0"/>
    <x v="47"/>
    <x v="18"/>
    <x v="146"/>
    <x v="1"/>
    <x v="53"/>
    <x v="53"/>
    <x v="24"/>
  </r>
  <r>
    <x v="557"/>
    <x v="3"/>
    <x v="3"/>
    <x v="8"/>
    <x v="1"/>
    <x v="9"/>
    <x v="3"/>
    <x v="146"/>
    <x v="0"/>
    <x v="55"/>
    <x v="55"/>
    <x v="8"/>
  </r>
  <r>
    <x v="558"/>
    <x v="132"/>
    <x v="3"/>
    <x v="14"/>
    <x v="2"/>
    <x v="19"/>
    <x v="113"/>
    <x v="147"/>
    <x v="3"/>
    <x v="22"/>
    <x v="22"/>
    <x v="14"/>
  </r>
  <r>
    <x v="559"/>
    <x v="156"/>
    <x v="3"/>
    <x v="13"/>
    <x v="2"/>
    <x v="16"/>
    <x v="135"/>
    <x v="147"/>
    <x v="2"/>
    <x v="17"/>
    <x v="17"/>
    <x v="13"/>
  </r>
  <r>
    <x v="560"/>
    <x v="152"/>
    <x v="0"/>
    <x v="24"/>
    <x v="2"/>
    <x v="42"/>
    <x v="132"/>
    <x v="148"/>
    <x v="0"/>
    <x v="85"/>
    <x v="85"/>
    <x v="24"/>
  </r>
  <r>
    <x v="561"/>
    <x v="85"/>
    <x v="0"/>
    <x v="10"/>
    <x v="2"/>
    <x v="11"/>
    <x v="78"/>
    <x v="148"/>
    <x v="3"/>
    <x v="12"/>
    <x v="12"/>
    <x v="10"/>
  </r>
  <r>
    <x v="562"/>
    <x v="44"/>
    <x v="4"/>
    <x v="9"/>
    <x v="3"/>
    <x v="23"/>
    <x v="43"/>
    <x v="148"/>
    <x v="0"/>
    <x v="39"/>
    <x v="39"/>
    <x v="9"/>
  </r>
  <r>
    <x v="563"/>
    <x v="54"/>
    <x v="4"/>
    <x v="9"/>
    <x v="3"/>
    <x v="10"/>
    <x v="51"/>
    <x v="149"/>
    <x v="1"/>
    <x v="29"/>
    <x v="29"/>
    <x v="9"/>
  </r>
  <r>
    <x v="564"/>
    <x v="84"/>
    <x v="4"/>
    <x v="11"/>
    <x v="0"/>
    <x v="13"/>
    <x v="77"/>
    <x v="149"/>
    <x v="3"/>
    <x v="14"/>
    <x v="14"/>
    <x v="11"/>
  </r>
  <r>
    <x v="565"/>
    <x v="157"/>
    <x v="1"/>
    <x v="7"/>
    <x v="2"/>
    <x v="34"/>
    <x v="136"/>
    <x v="149"/>
    <x v="0"/>
    <x v="37"/>
    <x v="37"/>
    <x v="7"/>
  </r>
  <r>
    <x v="566"/>
    <x v="152"/>
    <x v="0"/>
    <x v="18"/>
    <x v="2"/>
    <x v="39"/>
    <x v="132"/>
    <x v="149"/>
    <x v="1"/>
    <x v="84"/>
    <x v="84"/>
    <x v="18"/>
  </r>
  <r>
    <x v="567"/>
    <x v="14"/>
    <x v="1"/>
    <x v="6"/>
    <x v="0"/>
    <x v="7"/>
    <x v="14"/>
    <x v="149"/>
    <x v="0"/>
    <x v="42"/>
    <x v="42"/>
    <x v="6"/>
  </r>
  <r>
    <x v="568"/>
    <x v="141"/>
    <x v="2"/>
    <x v="23"/>
    <x v="2"/>
    <x v="49"/>
    <x v="121"/>
    <x v="149"/>
    <x v="0"/>
    <x v="41"/>
    <x v="41"/>
    <x v="23"/>
  </r>
  <r>
    <x v="569"/>
    <x v="14"/>
    <x v="4"/>
    <x v="12"/>
    <x v="0"/>
    <x v="17"/>
    <x v="14"/>
    <x v="150"/>
    <x v="0"/>
    <x v="87"/>
    <x v="87"/>
    <x v="12"/>
  </r>
  <r>
    <x v="570"/>
    <x v="145"/>
    <x v="2"/>
    <x v="2"/>
    <x v="0"/>
    <x v="48"/>
    <x v="125"/>
    <x v="150"/>
    <x v="3"/>
    <x v="34"/>
    <x v="34"/>
    <x v="2"/>
  </r>
  <r>
    <x v="571"/>
    <x v="142"/>
    <x v="1"/>
    <x v="19"/>
    <x v="1"/>
    <x v="38"/>
    <x v="122"/>
    <x v="150"/>
    <x v="2"/>
    <x v="95"/>
    <x v="95"/>
    <x v="19"/>
  </r>
  <r>
    <x v="572"/>
    <x v="133"/>
    <x v="2"/>
    <x v="3"/>
    <x v="0"/>
    <x v="5"/>
    <x v="114"/>
    <x v="151"/>
    <x v="3"/>
    <x v="3"/>
    <x v="3"/>
    <x v="3"/>
  </r>
  <r>
    <x v="573"/>
    <x v="48"/>
    <x v="2"/>
    <x v="4"/>
    <x v="0"/>
    <x v="4"/>
    <x v="18"/>
    <x v="151"/>
    <x v="0"/>
    <x v="44"/>
    <x v="44"/>
    <x v="4"/>
  </r>
  <r>
    <x v="574"/>
    <x v="78"/>
    <x v="2"/>
    <x v="23"/>
    <x v="0"/>
    <x v="36"/>
    <x v="72"/>
    <x v="152"/>
    <x v="2"/>
    <x v="69"/>
    <x v="69"/>
    <x v="23"/>
  </r>
  <r>
    <x v="575"/>
    <x v="169"/>
    <x v="2"/>
    <x v="23"/>
    <x v="3"/>
    <x v="49"/>
    <x v="114"/>
    <x v="152"/>
    <x v="1"/>
    <x v="60"/>
    <x v="60"/>
    <x v="23"/>
  </r>
  <r>
    <x v="576"/>
    <x v="1"/>
    <x v="0"/>
    <x v="5"/>
    <x v="1"/>
    <x v="12"/>
    <x v="1"/>
    <x v="152"/>
    <x v="2"/>
    <x v="50"/>
    <x v="50"/>
    <x v="5"/>
  </r>
  <r>
    <x v="577"/>
    <x v="9"/>
    <x v="0"/>
    <x v="0"/>
    <x v="1"/>
    <x v="0"/>
    <x v="9"/>
    <x v="152"/>
    <x v="1"/>
    <x v="93"/>
    <x v="93"/>
    <x v="0"/>
  </r>
  <r>
    <x v="578"/>
    <x v="60"/>
    <x v="1"/>
    <x v="22"/>
    <x v="0"/>
    <x v="40"/>
    <x v="57"/>
    <x v="152"/>
    <x v="1"/>
    <x v="65"/>
    <x v="65"/>
    <x v="22"/>
  </r>
  <r>
    <x v="579"/>
    <x v="155"/>
    <x v="3"/>
    <x v="8"/>
    <x v="2"/>
    <x v="43"/>
    <x v="134"/>
    <x v="152"/>
    <x v="3"/>
    <x v="10"/>
    <x v="10"/>
    <x v="8"/>
  </r>
  <r>
    <x v="580"/>
    <x v="84"/>
    <x v="2"/>
    <x v="15"/>
    <x v="0"/>
    <x v="20"/>
    <x v="77"/>
    <x v="153"/>
    <x v="3"/>
    <x v="72"/>
    <x v="72"/>
    <x v="15"/>
  </r>
  <r>
    <x v="581"/>
    <x v="117"/>
    <x v="2"/>
    <x v="3"/>
    <x v="2"/>
    <x v="3"/>
    <x v="102"/>
    <x v="153"/>
    <x v="3"/>
    <x v="3"/>
    <x v="3"/>
    <x v="3"/>
  </r>
  <r>
    <x v="582"/>
    <x v="152"/>
    <x v="4"/>
    <x v="9"/>
    <x v="2"/>
    <x v="23"/>
    <x v="132"/>
    <x v="153"/>
    <x v="0"/>
    <x v="39"/>
    <x v="39"/>
    <x v="9"/>
  </r>
  <r>
    <x v="583"/>
    <x v="106"/>
    <x v="4"/>
    <x v="9"/>
    <x v="2"/>
    <x v="23"/>
    <x v="95"/>
    <x v="153"/>
    <x v="1"/>
    <x v="29"/>
    <x v="29"/>
    <x v="9"/>
  </r>
  <r>
    <x v="584"/>
    <x v="24"/>
    <x v="0"/>
    <x v="5"/>
    <x v="2"/>
    <x v="12"/>
    <x v="24"/>
    <x v="153"/>
    <x v="0"/>
    <x v="13"/>
    <x v="13"/>
    <x v="5"/>
  </r>
  <r>
    <x v="585"/>
    <x v="174"/>
    <x v="0"/>
    <x v="18"/>
    <x v="2"/>
    <x v="39"/>
    <x v="146"/>
    <x v="154"/>
    <x v="2"/>
    <x v="57"/>
    <x v="57"/>
    <x v="18"/>
  </r>
  <r>
    <x v="586"/>
    <x v="175"/>
    <x v="2"/>
    <x v="4"/>
    <x v="0"/>
    <x v="24"/>
    <x v="147"/>
    <x v="154"/>
    <x v="2"/>
    <x v="7"/>
    <x v="7"/>
    <x v="4"/>
  </r>
  <r>
    <x v="587"/>
    <x v="57"/>
    <x v="1"/>
    <x v="1"/>
    <x v="2"/>
    <x v="1"/>
    <x v="54"/>
    <x v="154"/>
    <x v="2"/>
    <x v="54"/>
    <x v="54"/>
    <x v="1"/>
  </r>
  <r>
    <x v="588"/>
    <x v="128"/>
    <x v="0"/>
    <x v="10"/>
    <x v="2"/>
    <x v="11"/>
    <x v="25"/>
    <x v="154"/>
    <x v="1"/>
    <x v="94"/>
    <x v="94"/>
    <x v="10"/>
  </r>
  <r>
    <x v="589"/>
    <x v="88"/>
    <x v="4"/>
    <x v="9"/>
    <x v="2"/>
    <x v="23"/>
    <x v="12"/>
    <x v="155"/>
    <x v="0"/>
    <x v="39"/>
    <x v="39"/>
    <x v="9"/>
  </r>
  <r>
    <x v="590"/>
    <x v="125"/>
    <x v="0"/>
    <x v="10"/>
    <x v="1"/>
    <x v="18"/>
    <x v="106"/>
    <x v="155"/>
    <x v="1"/>
    <x v="94"/>
    <x v="94"/>
    <x v="10"/>
  </r>
  <r>
    <x v="591"/>
    <x v="49"/>
    <x v="3"/>
    <x v="20"/>
    <x v="0"/>
    <x v="31"/>
    <x v="47"/>
    <x v="155"/>
    <x v="0"/>
    <x v="66"/>
    <x v="66"/>
    <x v="20"/>
  </r>
  <r>
    <x v="592"/>
    <x v="113"/>
    <x v="1"/>
    <x v="1"/>
    <x v="2"/>
    <x v="33"/>
    <x v="98"/>
    <x v="156"/>
    <x v="2"/>
    <x v="54"/>
    <x v="54"/>
    <x v="1"/>
  </r>
  <r>
    <x v="593"/>
    <x v="68"/>
    <x v="2"/>
    <x v="15"/>
    <x v="0"/>
    <x v="46"/>
    <x v="65"/>
    <x v="156"/>
    <x v="0"/>
    <x v="23"/>
    <x v="23"/>
    <x v="15"/>
  </r>
  <r>
    <x v="594"/>
    <x v="20"/>
    <x v="4"/>
    <x v="9"/>
    <x v="3"/>
    <x v="23"/>
    <x v="20"/>
    <x v="156"/>
    <x v="3"/>
    <x v="11"/>
    <x v="11"/>
    <x v="9"/>
  </r>
  <r>
    <x v="595"/>
    <x v="61"/>
    <x v="2"/>
    <x v="2"/>
    <x v="2"/>
    <x v="2"/>
    <x v="58"/>
    <x v="156"/>
    <x v="3"/>
    <x v="34"/>
    <x v="34"/>
    <x v="2"/>
  </r>
  <r>
    <x v="596"/>
    <x v="110"/>
    <x v="4"/>
    <x v="17"/>
    <x v="0"/>
    <x v="30"/>
    <x v="5"/>
    <x v="156"/>
    <x v="3"/>
    <x v="25"/>
    <x v="25"/>
    <x v="17"/>
  </r>
  <r>
    <x v="597"/>
    <x v="99"/>
    <x v="4"/>
    <x v="11"/>
    <x v="1"/>
    <x v="13"/>
    <x v="88"/>
    <x v="156"/>
    <x v="2"/>
    <x v="20"/>
    <x v="20"/>
    <x v="11"/>
  </r>
  <r>
    <x v="598"/>
    <x v="98"/>
    <x v="4"/>
    <x v="21"/>
    <x v="1"/>
    <x v="32"/>
    <x v="87"/>
    <x v="157"/>
    <x v="1"/>
    <x v="35"/>
    <x v="35"/>
    <x v="21"/>
  </r>
  <r>
    <x v="599"/>
    <x v="69"/>
    <x v="3"/>
    <x v="20"/>
    <x v="1"/>
    <x v="31"/>
    <x v="66"/>
    <x v="158"/>
    <x v="2"/>
    <x v="45"/>
    <x v="45"/>
    <x v="20"/>
  </r>
  <r>
    <x v="600"/>
    <x v="3"/>
    <x v="1"/>
    <x v="1"/>
    <x v="1"/>
    <x v="33"/>
    <x v="3"/>
    <x v="158"/>
    <x v="1"/>
    <x v="1"/>
    <x v="1"/>
    <x v="1"/>
  </r>
  <r>
    <x v="601"/>
    <x v="115"/>
    <x v="3"/>
    <x v="14"/>
    <x v="2"/>
    <x v="19"/>
    <x v="100"/>
    <x v="159"/>
    <x v="2"/>
    <x v="40"/>
    <x v="40"/>
    <x v="14"/>
  </r>
  <r>
    <x v="602"/>
    <x v="61"/>
    <x v="3"/>
    <x v="20"/>
    <x v="2"/>
    <x v="31"/>
    <x v="58"/>
    <x v="159"/>
    <x v="2"/>
    <x v="45"/>
    <x v="45"/>
    <x v="20"/>
  </r>
  <r>
    <x v="603"/>
    <x v="117"/>
    <x v="4"/>
    <x v="9"/>
    <x v="2"/>
    <x v="10"/>
    <x v="102"/>
    <x v="160"/>
    <x v="0"/>
    <x v="39"/>
    <x v="39"/>
    <x v="9"/>
  </r>
  <r>
    <x v="604"/>
    <x v="147"/>
    <x v="1"/>
    <x v="7"/>
    <x v="0"/>
    <x v="8"/>
    <x v="127"/>
    <x v="160"/>
    <x v="3"/>
    <x v="79"/>
    <x v="79"/>
    <x v="7"/>
  </r>
  <r>
    <x v="605"/>
    <x v="141"/>
    <x v="2"/>
    <x v="2"/>
    <x v="2"/>
    <x v="2"/>
    <x v="121"/>
    <x v="160"/>
    <x v="0"/>
    <x v="73"/>
    <x v="73"/>
    <x v="2"/>
  </r>
  <r>
    <x v="606"/>
    <x v="24"/>
    <x v="3"/>
    <x v="13"/>
    <x v="2"/>
    <x v="16"/>
    <x v="24"/>
    <x v="160"/>
    <x v="3"/>
    <x v="68"/>
    <x v="68"/>
    <x v="13"/>
  </r>
  <r>
    <x v="607"/>
    <x v="139"/>
    <x v="0"/>
    <x v="5"/>
    <x v="3"/>
    <x v="12"/>
    <x v="31"/>
    <x v="161"/>
    <x v="2"/>
    <x v="50"/>
    <x v="50"/>
    <x v="5"/>
  </r>
  <r>
    <x v="608"/>
    <x v="157"/>
    <x v="0"/>
    <x v="0"/>
    <x v="2"/>
    <x v="0"/>
    <x v="136"/>
    <x v="161"/>
    <x v="3"/>
    <x v="98"/>
    <x v="98"/>
    <x v="0"/>
  </r>
  <r>
    <x v="609"/>
    <x v="96"/>
    <x v="0"/>
    <x v="5"/>
    <x v="0"/>
    <x v="12"/>
    <x v="51"/>
    <x v="161"/>
    <x v="1"/>
    <x v="99"/>
    <x v="99"/>
    <x v="5"/>
  </r>
  <r>
    <x v="610"/>
    <x v="115"/>
    <x v="2"/>
    <x v="4"/>
    <x v="2"/>
    <x v="24"/>
    <x v="100"/>
    <x v="161"/>
    <x v="2"/>
    <x v="7"/>
    <x v="7"/>
    <x v="4"/>
  </r>
  <r>
    <x v="611"/>
    <x v="115"/>
    <x v="3"/>
    <x v="8"/>
    <x v="2"/>
    <x v="43"/>
    <x v="100"/>
    <x v="161"/>
    <x v="2"/>
    <x v="18"/>
    <x v="18"/>
    <x v="8"/>
  </r>
  <r>
    <x v="612"/>
    <x v="175"/>
    <x v="0"/>
    <x v="24"/>
    <x v="0"/>
    <x v="42"/>
    <x v="147"/>
    <x v="161"/>
    <x v="1"/>
    <x v="53"/>
    <x v="53"/>
    <x v="24"/>
  </r>
  <r>
    <x v="613"/>
    <x v="54"/>
    <x v="2"/>
    <x v="15"/>
    <x v="3"/>
    <x v="20"/>
    <x v="51"/>
    <x v="162"/>
    <x v="1"/>
    <x v="88"/>
    <x v="88"/>
    <x v="15"/>
  </r>
  <r>
    <x v="614"/>
    <x v="84"/>
    <x v="1"/>
    <x v="7"/>
    <x v="0"/>
    <x v="34"/>
    <x v="77"/>
    <x v="162"/>
    <x v="0"/>
    <x v="37"/>
    <x v="37"/>
    <x v="7"/>
  </r>
  <r>
    <x v="615"/>
    <x v="131"/>
    <x v="4"/>
    <x v="21"/>
    <x v="0"/>
    <x v="44"/>
    <x v="112"/>
    <x v="162"/>
    <x v="3"/>
    <x v="70"/>
    <x v="70"/>
    <x v="21"/>
  </r>
  <r>
    <x v="616"/>
    <x v="146"/>
    <x v="2"/>
    <x v="3"/>
    <x v="1"/>
    <x v="5"/>
    <x v="126"/>
    <x v="163"/>
    <x v="3"/>
    <x v="3"/>
    <x v="3"/>
    <x v="3"/>
  </r>
  <r>
    <x v="617"/>
    <x v="16"/>
    <x v="0"/>
    <x v="24"/>
    <x v="0"/>
    <x v="42"/>
    <x v="16"/>
    <x v="164"/>
    <x v="0"/>
    <x v="85"/>
    <x v="85"/>
    <x v="24"/>
  </r>
  <r>
    <x v="618"/>
    <x v="104"/>
    <x v="4"/>
    <x v="17"/>
    <x v="2"/>
    <x v="22"/>
    <x v="93"/>
    <x v="164"/>
    <x v="0"/>
    <x v="61"/>
    <x v="61"/>
    <x v="17"/>
  </r>
  <r>
    <x v="619"/>
    <x v="11"/>
    <x v="3"/>
    <x v="16"/>
    <x v="2"/>
    <x v="41"/>
    <x v="11"/>
    <x v="165"/>
    <x v="0"/>
    <x v="24"/>
    <x v="24"/>
    <x v="16"/>
  </r>
  <r>
    <x v="620"/>
    <x v="53"/>
    <x v="3"/>
    <x v="8"/>
    <x v="0"/>
    <x v="43"/>
    <x v="50"/>
    <x v="165"/>
    <x v="1"/>
    <x v="19"/>
    <x v="19"/>
    <x v="8"/>
  </r>
  <r>
    <x v="621"/>
    <x v="55"/>
    <x v="4"/>
    <x v="11"/>
    <x v="2"/>
    <x v="26"/>
    <x v="52"/>
    <x v="165"/>
    <x v="1"/>
    <x v="89"/>
    <x v="89"/>
    <x v="11"/>
  </r>
  <r>
    <x v="622"/>
    <x v="70"/>
    <x v="2"/>
    <x v="3"/>
    <x v="3"/>
    <x v="5"/>
    <x v="7"/>
    <x v="165"/>
    <x v="0"/>
    <x v="74"/>
    <x v="74"/>
    <x v="3"/>
  </r>
  <r>
    <x v="623"/>
    <x v="76"/>
    <x v="3"/>
    <x v="13"/>
    <x v="2"/>
    <x v="16"/>
    <x v="71"/>
    <x v="165"/>
    <x v="0"/>
    <x v="92"/>
    <x v="92"/>
    <x v="13"/>
  </r>
  <r>
    <x v="624"/>
    <x v="57"/>
    <x v="0"/>
    <x v="18"/>
    <x v="2"/>
    <x v="25"/>
    <x v="54"/>
    <x v="165"/>
    <x v="0"/>
    <x v="78"/>
    <x v="78"/>
    <x v="18"/>
  </r>
  <r>
    <x v="625"/>
    <x v="67"/>
    <x v="0"/>
    <x v="18"/>
    <x v="0"/>
    <x v="25"/>
    <x v="64"/>
    <x v="166"/>
    <x v="3"/>
    <x v="28"/>
    <x v="28"/>
    <x v="18"/>
  </r>
  <r>
    <x v="626"/>
    <x v="115"/>
    <x v="3"/>
    <x v="20"/>
    <x v="2"/>
    <x v="31"/>
    <x v="100"/>
    <x v="166"/>
    <x v="2"/>
    <x v="45"/>
    <x v="45"/>
    <x v="20"/>
  </r>
  <r>
    <x v="627"/>
    <x v="68"/>
    <x v="0"/>
    <x v="5"/>
    <x v="0"/>
    <x v="12"/>
    <x v="65"/>
    <x v="166"/>
    <x v="3"/>
    <x v="6"/>
    <x v="6"/>
    <x v="5"/>
  </r>
  <r>
    <x v="628"/>
    <x v="12"/>
    <x v="2"/>
    <x v="2"/>
    <x v="0"/>
    <x v="2"/>
    <x v="12"/>
    <x v="167"/>
    <x v="0"/>
    <x v="73"/>
    <x v="73"/>
    <x v="2"/>
  </r>
  <r>
    <x v="629"/>
    <x v="13"/>
    <x v="0"/>
    <x v="0"/>
    <x v="2"/>
    <x v="0"/>
    <x v="13"/>
    <x v="167"/>
    <x v="2"/>
    <x v="62"/>
    <x v="62"/>
    <x v="0"/>
  </r>
  <r>
    <x v="630"/>
    <x v="110"/>
    <x v="3"/>
    <x v="16"/>
    <x v="0"/>
    <x v="21"/>
    <x v="5"/>
    <x v="167"/>
    <x v="3"/>
    <x v="81"/>
    <x v="81"/>
    <x v="16"/>
  </r>
  <r>
    <x v="631"/>
    <x v="153"/>
    <x v="3"/>
    <x v="14"/>
    <x v="2"/>
    <x v="45"/>
    <x v="94"/>
    <x v="168"/>
    <x v="0"/>
    <x v="86"/>
    <x v="86"/>
    <x v="14"/>
  </r>
  <r>
    <x v="632"/>
    <x v="50"/>
    <x v="3"/>
    <x v="16"/>
    <x v="2"/>
    <x v="41"/>
    <x v="48"/>
    <x v="169"/>
    <x v="2"/>
    <x v="59"/>
    <x v="59"/>
    <x v="16"/>
  </r>
  <r>
    <x v="633"/>
    <x v="133"/>
    <x v="2"/>
    <x v="2"/>
    <x v="0"/>
    <x v="48"/>
    <x v="114"/>
    <x v="169"/>
    <x v="0"/>
    <x v="73"/>
    <x v="73"/>
    <x v="2"/>
  </r>
  <r>
    <x v="634"/>
    <x v="83"/>
    <x v="2"/>
    <x v="3"/>
    <x v="2"/>
    <x v="3"/>
    <x v="76"/>
    <x v="169"/>
    <x v="2"/>
    <x v="63"/>
    <x v="63"/>
    <x v="3"/>
  </r>
  <r>
    <x v="635"/>
    <x v="170"/>
    <x v="0"/>
    <x v="5"/>
    <x v="2"/>
    <x v="12"/>
    <x v="143"/>
    <x v="169"/>
    <x v="0"/>
    <x v="13"/>
    <x v="13"/>
    <x v="5"/>
  </r>
  <r>
    <x v="636"/>
    <x v="21"/>
    <x v="0"/>
    <x v="5"/>
    <x v="2"/>
    <x v="12"/>
    <x v="21"/>
    <x v="169"/>
    <x v="2"/>
    <x v="50"/>
    <x v="50"/>
    <x v="5"/>
  </r>
  <r>
    <x v="637"/>
    <x v="16"/>
    <x v="2"/>
    <x v="2"/>
    <x v="0"/>
    <x v="2"/>
    <x v="16"/>
    <x v="170"/>
    <x v="2"/>
    <x v="2"/>
    <x v="2"/>
    <x v="2"/>
  </r>
  <r>
    <x v="638"/>
    <x v="112"/>
    <x v="4"/>
    <x v="17"/>
    <x v="3"/>
    <x v="22"/>
    <x v="97"/>
    <x v="170"/>
    <x v="0"/>
    <x v="61"/>
    <x v="61"/>
    <x v="17"/>
  </r>
  <r>
    <x v="639"/>
    <x v="83"/>
    <x v="0"/>
    <x v="24"/>
    <x v="2"/>
    <x v="42"/>
    <x v="76"/>
    <x v="170"/>
    <x v="1"/>
    <x v="53"/>
    <x v="53"/>
    <x v="24"/>
  </r>
  <r>
    <x v="640"/>
    <x v="40"/>
    <x v="1"/>
    <x v="1"/>
    <x v="1"/>
    <x v="33"/>
    <x v="39"/>
    <x v="171"/>
    <x v="3"/>
    <x v="90"/>
    <x v="90"/>
    <x v="1"/>
  </r>
  <r>
    <x v="641"/>
    <x v="53"/>
    <x v="2"/>
    <x v="4"/>
    <x v="0"/>
    <x v="4"/>
    <x v="50"/>
    <x v="172"/>
    <x v="2"/>
    <x v="7"/>
    <x v="7"/>
    <x v="4"/>
  </r>
  <r>
    <x v="642"/>
    <x v="87"/>
    <x v="1"/>
    <x v="1"/>
    <x v="2"/>
    <x v="1"/>
    <x v="79"/>
    <x v="172"/>
    <x v="3"/>
    <x v="90"/>
    <x v="90"/>
    <x v="1"/>
  </r>
  <r>
    <x v="643"/>
    <x v="153"/>
    <x v="0"/>
    <x v="0"/>
    <x v="2"/>
    <x v="15"/>
    <x v="94"/>
    <x v="172"/>
    <x v="2"/>
    <x v="62"/>
    <x v="62"/>
    <x v="0"/>
  </r>
  <r>
    <x v="644"/>
    <x v="99"/>
    <x v="2"/>
    <x v="2"/>
    <x v="1"/>
    <x v="2"/>
    <x v="88"/>
    <x v="172"/>
    <x v="2"/>
    <x v="2"/>
    <x v="2"/>
    <x v="2"/>
  </r>
  <r>
    <x v="645"/>
    <x v="64"/>
    <x v="2"/>
    <x v="4"/>
    <x v="2"/>
    <x v="4"/>
    <x v="61"/>
    <x v="173"/>
    <x v="2"/>
    <x v="7"/>
    <x v="7"/>
    <x v="4"/>
  </r>
  <r>
    <x v="646"/>
    <x v="138"/>
    <x v="1"/>
    <x v="19"/>
    <x v="2"/>
    <x v="28"/>
    <x v="119"/>
    <x v="173"/>
    <x v="0"/>
    <x v="30"/>
    <x v="30"/>
    <x v="19"/>
  </r>
  <r>
    <x v="647"/>
    <x v="65"/>
    <x v="3"/>
    <x v="8"/>
    <x v="1"/>
    <x v="43"/>
    <x v="62"/>
    <x v="173"/>
    <x v="1"/>
    <x v="19"/>
    <x v="19"/>
    <x v="8"/>
  </r>
  <r>
    <x v="648"/>
    <x v="6"/>
    <x v="2"/>
    <x v="2"/>
    <x v="3"/>
    <x v="2"/>
    <x v="6"/>
    <x v="173"/>
    <x v="2"/>
    <x v="2"/>
    <x v="2"/>
    <x v="2"/>
  </r>
  <r>
    <x v="649"/>
    <x v="162"/>
    <x v="0"/>
    <x v="18"/>
    <x v="3"/>
    <x v="25"/>
    <x v="126"/>
    <x v="173"/>
    <x v="0"/>
    <x v="78"/>
    <x v="78"/>
    <x v="18"/>
  </r>
  <r>
    <x v="650"/>
    <x v="59"/>
    <x v="4"/>
    <x v="11"/>
    <x v="2"/>
    <x v="26"/>
    <x v="56"/>
    <x v="174"/>
    <x v="3"/>
    <x v="14"/>
    <x v="14"/>
    <x v="11"/>
  </r>
  <r>
    <x v="651"/>
    <x v="147"/>
    <x v="0"/>
    <x v="10"/>
    <x v="0"/>
    <x v="18"/>
    <x v="127"/>
    <x v="174"/>
    <x v="1"/>
    <x v="94"/>
    <x v="94"/>
    <x v="10"/>
  </r>
  <r>
    <x v="652"/>
    <x v="140"/>
    <x v="3"/>
    <x v="13"/>
    <x v="0"/>
    <x v="27"/>
    <x v="120"/>
    <x v="174"/>
    <x v="1"/>
    <x v="96"/>
    <x v="96"/>
    <x v="13"/>
  </r>
  <r>
    <x v="653"/>
    <x v="49"/>
    <x v="1"/>
    <x v="6"/>
    <x v="0"/>
    <x v="7"/>
    <x v="47"/>
    <x v="174"/>
    <x v="2"/>
    <x v="83"/>
    <x v="83"/>
    <x v="6"/>
  </r>
  <r>
    <x v="654"/>
    <x v="24"/>
    <x v="1"/>
    <x v="6"/>
    <x v="2"/>
    <x v="7"/>
    <x v="24"/>
    <x v="174"/>
    <x v="2"/>
    <x v="83"/>
    <x v="83"/>
    <x v="6"/>
  </r>
  <r>
    <x v="655"/>
    <x v="173"/>
    <x v="3"/>
    <x v="13"/>
    <x v="0"/>
    <x v="27"/>
    <x v="145"/>
    <x v="175"/>
    <x v="2"/>
    <x v="17"/>
    <x v="17"/>
    <x v="13"/>
  </r>
  <r>
    <x v="656"/>
    <x v="176"/>
    <x v="1"/>
    <x v="22"/>
    <x v="0"/>
    <x v="35"/>
    <x v="62"/>
    <x v="175"/>
    <x v="2"/>
    <x v="38"/>
    <x v="38"/>
    <x v="22"/>
  </r>
  <r>
    <x v="657"/>
    <x v="80"/>
    <x v="1"/>
    <x v="7"/>
    <x v="0"/>
    <x v="8"/>
    <x v="31"/>
    <x v="176"/>
    <x v="3"/>
    <x v="79"/>
    <x v="79"/>
    <x v="7"/>
  </r>
  <r>
    <x v="658"/>
    <x v="126"/>
    <x v="4"/>
    <x v="12"/>
    <x v="2"/>
    <x v="17"/>
    <x v="108"/>
    <x v="176"/>
    <x v="0"/>
    <x v="87"/>
    <x v="87"/>
    <x v="12"/>
  </r>
  <r>
    <x v="659"/>
    <x v="39"/>
    <x v="4"/>
    <x v="9"/>
    <x v="0"/>
    <x v="23"/>
    <x v="38"/>
    <x v="176"/>
    <x v="0"/>
    <x v="39"/>
    <x v="39"/>
    <x v="9"/>
  </r>
  <r>
    <x v="660"/>
    <x v="116"/>
    <x v="0"/>
    <x v="5"/>
    <x v="3"/>
    <x v="6"/>
    <x v="101"/>
    <x v="177"/>
    <x v="3"/>
    <x v="6"/>
    <x v="6"/>
    <x v="5"/>
  </r>
  <r>
    <x v="661"/>
    <x v="157"/>
    <x v="1"/>
    <x v="19"/>
    <x v="2"/>
    <x v="28"/>
    <x v="136"/>
    <x v="178"/>
    <x v="3"/>
    <x v="97"/>
    <x v="97"/>
    <x v="19"/>
  </r>
  <r>
    <x v="662"/>
    <x v="109"/>
    <x v="1"/>
    <x v="6"/>
    <x v="2"/>
    <x v="37"/>
    <x v="79"/>
    <x v="178"/>
    <x v="0"/>
    <x v="42"/>
    <x v="42"/>
    <x v="6"/>
  </r>
  <r>
    <x v="663"/>
    <x v="45"/>
    <x v="4"/>
    <x v="9"/>
    <x v="2"/>
    <x v="23"/>
    <x v="44"/>
    <x v="178"/>
    <x v="3"/>
    <x v="11"/>
    <x v="11"/>
    <x v="9"/>
  </r>
  <r>
    <x v="664"/>
    <x v="46"/>
    <x v="4"/>
    <x v="17"/>
    <x v="2"/>
    <x v="30"/>
    <x v="45"/>
    <x v="178"/>
    <x v="3"/>
    <x v="25"/>
    <x v="25"/>
    <x v="17"/>
  </r>
  <r>
    <x v="665"/>
    <x v="143"/>
    <x v="1"/>
    <x v="6"/>
    <x v="0"/>
    <x v="37"/>
    <x v="123"/>
    <x v="179"/>
    <x v="2"/>
    <x v="83"/>
    <x v="83"/>
    <x v="6"/>
  </r>
  <r>
    <x v="666"/>
    <x v="35"/>
    <x v="0"/>
    <x v="10"/>
    <x v="0"/>
    <x v="18"/>
    <x v="34"/>
    <x v="179"/>
    <x v="3"/>
    <x v="12"/>
    <x v="12"/>
    <x v="10"/>
  </r>
  <r>
    <x v="667"/>
    <x v="121"/>
    <x v="0"/>
    <x v="0"/>
    <x v="2"/>
    <x v="15"/>
    <x v="104"/>
    <x v="179"/>
    <x v="1"/>
    <x v="93"/>
    <x v="93"/>
    <x v="0"/>
  </r>
  <r>
    <x v="668"/>
    <x v="20"/>
    <x v="3"/>
    <x v="13"/>
    <x v="3"/>
    <x v="27"/>
    <x v="20"/>
    <x v="180"/>
    <x v="0"/>
    <x v="92"/>
    <x v="92"/>
    <x v="13"/>
  </r>
  <r>
    <x v="669"/>
    <x v="171"/>
    <x v="1"/>
    <x v="19"/>
    <x v="2"/>
    <x v="38"/>
    <x v="144"/>
    <x v="180"/>
    <x v="0"/>
    <x v="30"/>
    <x v="30"/>
    <x v="19"/>
  </r>
  <r>
    <x v="670"/>
    <x v="166"/>
    <x v="3"/>
    <x v="8"/>
    <x v="0"/>
    <x v="9"/>
    <x v="17"/>
    <x v="180"/>
    <x v="2"/>
    <x v="18"/>
    <x v="18"/>
    <x v="8"/>
  </r>
  <r>
    <x v="671"/>
    <x v="90"/>
    <x v="2"/>
    <x v="23"/>
    <x v="2"/>
    <x v="49"/>
    <x v="81"/>
    <x v="181"/>
    <x v="0"/>
    <x v="41"/>
    <x v="41"/>
    <x v="23"/>
  </r>
  <r>
    <x v="672"/>
    <x v="171"/>
    <x v="0"/>
    <x v="0"/>
    <x v="2"/>
    <x v="0"/>
    <x v="144"/>
    <x v="181"/>
    <x v="3"/>
    <x v="98"/>
    <x v="98"/>
    <x v="0"/>
  </r>
  <r>
    <x v="673"/>
    <x v="128"/>
    <x v="4"/>
    <x v="21"/>
    <x v="2"/>
    <x v="32"/>
    <x v="25"/>
    <x v="181"/>
    <x v="0"/>
    <x v="64"/>
    <x v="64"/>
    <x v="21"/>
  </r>
  <r>
    <x v="674"/>
    <x v="79"/>
    <x v="2"/>
    <x v="23"/>
    <x v="2"/>
    <x v="49"/>
    <x v="73"/>
    <x v="182"/>
    <x v="0"/>
    <x v="41"/>
    <x v="41"/>
    <x v="23"/>
  </r>
  <r>
    <x v="675"/>
    <x v="12"/>
    <x v="4"/>
    <x v="21"/>
    <x v="0"/>
    <x v="32"/>
    <x v="12"/>
    <x v="182"/>
    <x v="1"/>
    <x v="35"/>
    <x v="35"/>
    <x v="21"/>
  </r>
  <r>
    <x v="676"/>
    <x v="2"/>
    <x v="2"/>
    <x v="15"/>
    <x v="0"/>
    <x v="20"/>
    <x v="2"/>
    <x v="182"/>
    <x v="0"/>
    <x v="23"/>
    <x v="23"/>
    <x v="15"/>
  </r>
  <r>
    <x v="677"/>
    <x v="27"/>
    <x v="1"/>
    <x v="1"/>
    <x v="0"/>
    <x v="33"/>
    <x v="26"/>
    <x v="182"/>
    <x v="2"/>
    <x v="54"/>
    <x v="54"/>
    <x v="1"/>
  </r>
  <r>
    <x v="678"/>
    <x v="57"/>
    <x v="1"/>
    <x v="22"/>
    <x v="2"/>
    <x v="40"/>
    <x v="54"/>
    <x v="182"/>
    <x v="1"/>
    <x v="65"/>
    <x v="65"/>
    <x v="22"/>
  </r>
  <r>
    <x v="679"/>
    <x v="104"/>
    <x v="0"/>
    <x v="5"/>
    <x v="2"/>
    <x v="12"/>
    <x v="93"/>
    <x v="183"/>
    <x v="3"/>
    <x v="6"/>
    <x v="6"/>
    <x v="5"/>
  </r>
  <r>
    <x v="680"/>
    <x v="83"/>
    <x v="2"/>
    <x v="3"/>
    <x v="2"/>
    <x v="3"/>
    <x v="76"/>
    <x v="183"/>
    <x v="0"/>
    <x v="74"/>
    <x v="74"/>
    <x v="3"/>
  </r>
  <r>
    <x v="681"/>
    <x v="84"/>
    <x v="1"/>
    <x v="6"/>
    <x v="0"/>
    <x v="37"/>
    <x v="77"/>
    <x v="184"/>
    <x v="3"/>
    <x v="91"/>
    <x v="91"/>
    <x v="6"/>
  </r>
  <r>
    <x v="682"/>
    <x v="97"/>
    <x v="0"/>
    <x v="5"/>
    <x v="0"/>
    <x v="12"/>
    <x v="86"/>
    <x v="185"/>
    <x v="2"/>
    <x v="50"/>
    <x v="50"/>
    <x v="5"/>
  </r>
  <r>
    <x v="683"/>
    <x v="165"/>
    <x v="0"/>
    <x v="5"/>
    <x v="2"/>
    <x v="6"/>
    <x v="67"/>
    <x v="185"/>
    <x v="3"/>
    <x v="6"/>
    <x v="6"/>
    <x v="5"/>
  </r>
  <r>
    <x v="684"/>
    <x v="165"/>
    <x v="2"/>
    <x v="4"/>
    <x v="2"/>
    <x v="24"/>
    <x v="67"/>
    <x v="185"/>
    <x v="2"/>
    <x v="7"/>
    <x v="7"/>
    <x v="4"/>
  </r>
  <r>
    <x v="685"/>
    <x v="136"/>
    <x v="4"/>
    <x v="21"/>
    <x v="1"/>
    <x v="44"/>
    <x v="117"/>
    <x v="185"/>
    <x v="1"/>
    <x v="35"/>
    <x v="35"/>
    <x v="21"/>
  </r>
  <r>
    <x v="686"/>
    <x v="116"/>
    <x v="3"/>
    <x v="16"/>
    <x v="3"/>
    <x v="21"/>
    <x v="101"/>
    <x v="185"/>
    <x v="0"/>
    <x v="24"/>
    <x v="24"/>
    <x v="16"/>
  </r>
  <r>
    <x v="687"/>
    <x v="46"/>
    <x v="4"/>
    <x v="11"/>
    <x v="2"/>
    <x v="13"/>
    <x v="45"/>
    <x v="185"/>
    <x v="1"/>
    <x v="89"/>
    <x v="89"/>
    <x v="11"/>
  </r>
  <r>
    <x v="688"/>
    <x v="151"/>
    <x v="3"/>
    <x v="14"/>
    <x v="0"/>
    <x v="19"/>
    <x v="131"/>
    <x v="186"/>
    <x v="2"/>
    <x v="40"/>
    <x v="40"/>
    <x v="14"/>
  </r>
  <r>
    <x v="689"/>
    <x v="19"/>
    <x v="3"/>
    <x v="13"/>
    <x v="3"/>
    <x v="27"/>
    <x v="19"/>
    <x v="186"/>
    <x v="3"/>
    <x v="68"/>
    <x v="68"/>
    <x v="13"/>
  </r>
  <r>
    <x v="690"/>
    <x v="140"/>
    <x v="2"/>
    <x v="23"/>
    <x v="0"/>
    <x v="49"/>
    <x v="120"/>
    <x v="186"/>
    <x v="2"/>
    <x v="69"/>
    <x v="69"/>
    <x v="23"/>
  </r>
  <r>
    <x v="691"/>
    <x v="33"/>
    <x v="2"/>
    <x v="4"/>
    <x v="3"/>
    <x v="4"/>
    <x v="32"/>
    <x v="186"/>
    <x v="1"/>
    <x v="31"/>
    <x v="31"/>
    <x v="4"/>
  </r>
  <r>
    <x v="692"/>
    <x v="168"/>
    <x v="4"/>
    <x v="21"/>
    <x v="2"/>
    <x v="32"/>
    <x v="142"/>
    <x v="187"/>
    <x v="1"/>
    <x v="35"/>
    <x v="35"/>
    <x v="21"/>
  </r>
  <r>
    <x v="693"/>
    <x v="116"/>
    <x v="3"/>
    <x v="20"/>
    <x v="3"/>
    <x v="29"/>
    <x v="101"/>
    <x v="187"/>
    <x v="1"/>
    <x v="49"/>
    <x v="49"/>
    <x v="20"/>
  </r>
  <r>
    <x v="694"/>
    <x v="163"/>
    <x v="4"/>
    <x v="21"/>
    <x v="2"/>
    <x v="44"/>
    <x v="35"/>
    <x v="188"/>
    <x v="2"/>
    <x v="43"/>
    <x v="43"/>
    <x v="21"/>
  </r>
  <r>
    <x v="695"/>
    <x v="165"/>
    <x v="1"/>
    <x v="7"/>
    <x v="2"/>
    <x v="8"/>
    <x v="67"/>
    <x v="188"/>
    <x v="1"/>
    <x v="9"/>
    <x v="9"/>
    <x v="7"/>
  </r>
  <r>
    <x v="696"/>
    <x v="95"/>
    <x v="2"/>
    <x v="15"/>
    <x v="1"/>
    <x v="20"/>
    <x v="85"/>
    <x v="189"/>
    <x v="1"/>
    <x v="88"/>
    <x v="88"/>
    <x v="15"/>
  </r>
  <r>
    <x v="697"/>
    <x v="128"/>
    <x v="2"/>
    <x v="15"/>
    <x v="2"/>
    <x v="20"/>
    <x v="25"/>
    <x v="189"/>
    <x v="3"/>
    <x v="72"/>
    <x v="72"/>
    <x v="15"/>
  </r>
  <r>
    <x v="698"/>
    <x v="22"/>
    <x v="3"/>
    <x v="16"/>
    <x v="2"/>
    <x v="41"/>
    <x v="22"/>
    <x v="190"/>
    <x v="3"/>
    <x v="81"/>
    <x v="81"/>
    <x v="16"/>
  </r>
  <r>
    <x v="699"/>
    <x v="91"/>
    <x v="1"/>
    <x v="7"/>
    <x v="1"/>
    <x v="8"/>
    <x v="82"/>
    <x v="191"/>
    <x v="3"/>
    <x v="79"/>
    <x v="79"/>
    <x v="7"/>
  </r>
  <r>
    <x v="700"/>
    <x v="101"/>
    <x v="3"/>
    <x v="14"/>
    <x v="3"/>
    <x v="19"/>
    <x v="90"/>
    <x v="191"/>
    <x v="3"/>
    <x v="22"/>
    <x v="22"/>
    <x v="14"/>
  </r>
  <r>
    <x v="701"/>
    <x v="60"/>
    <x v="4"/>
    <x v="17"/>
    <x v="0"/>
    <x v="22"/>
    <x v="57"/>
    <x v="191"/>
    <x v="1"/>
    <x v="58"/>
    <x v="58"/>
    <x v="17"/>
  </r>
  <r>
    <x v="702"/>
    <x v="100"/>
    <x v="0"/>
    <x v="10"/>
    <x v="0"/>
    <x v="11"/>
    <x v="89"/>
    <x v="192"/>
    <x v="2"/>
    <x v="26"/>
    <x v="26"/>
    <x v="10"/>
  </r>
  <r>
    <x v="703"/>
    <x v="78"/>
    <x v="3"/>
    <x v="8"/>
    <x v="0"/>
    <x v="9"/>
    <x v="72"/>
    <x v="192"/>
    <x v="2"/>
    <x v="18"/>
    <x v="18"/>
    <x v="8"/>
  </r>
  <r>
    <x v="704"/>
    <x v="79"/>
    <x v="2"/>
    <x v="2"/>
    <x v="2"/>
    <x v="2"/>
    <x v="73"/>
    <x v="192"/>
    <x v="1"/>
    <x v="56"/>
    <x v="56"/>
    <x v="2"/>
  </r>
  <r>
    <x v="705"/>
    <x v="37"/>
    <x v="2"/>
    <x v="15"/>
    <x v="0"/>
    <x v="46"/>
    <x v="36"/>
    <x v="192"/>
    <x v="3"/>
    <x v="72"/>
    <x v="72"/>
    <x v="15"/>
  </r>
  <r>
    <x v="706"/>
    <x v="88"/>
    <x v="0"/>
    <x v="10"/>
    <x v="2"/>
    <x v="11"/>
    <x v="12"/>
    <x v="192"/>
    <x v="1"/>
    <x v="94"/>
    <x v="94"/>
    <x v="10"/>
  </r>
  <r>
    <x v="707"/>
    <x v="105"/>
    <x v="4"/>
    <x v="12"/>
    <x v="0"/>
    <x v="17"/>
    <x v="94"/>
    <x v="192"/>
    <x v="0"/>
    <x v="87"/>
    <x v="87"/>
    <x v="12"/>
  </r>
  <r>
    <x v="708"/>
    <x v="19"/>
    <x v="2"/>
    <x v="2"/>
    <x v="3"/>
    <x v="48"/>
    <x v="19"/>
    <x v="193"/>
    <x v="2"/>
    <x v="2"/>
    <x v="2"/>
    <x v="2"/>
  </r>
  <r>
    <x v="709"/>
    <x v="60"/>
    <x v="3"/>
    <x v="16"/>
    <x v="0"/>
    <x v="41"/>
    <x v="57"/>
    <x v="193"/>
    <x v="0"/>
    <x v="24"/>
    <x v="24"/>
    <x v="16"/>
  </r>
  <r>
    <x v="710"/>
    <x v="39"/>
    <x v="3"/>
    <x v="14"/>
    <x v="0"/>
    <x v="45"/>
    <x v="38"/>
    <x v="194"/>
    <x v="3"/>
    <x v="22"/>
    <x v="22"/>
    <x v="14"/>
  </r>
  <r>
    <x v="711"/>
    <x v="140"/>
    <x v="3"/>
    <x v="20"/>
    <x v="0"/>
    <x v="29"/>
    <x v="120"/>
    <x v="194"/>
    <x v="3"/>
    <x v="32"/>
    <x v="32"/>
    <x v="20"/>
  </r>
  <r>
    <x v="712"/>
    <x v="137"/>
    <x v="3"/>
    <x v="14"/>
    <x v="1"/>
    <x v="45"/>
    <x v="118"/>
    <x v="194"/>
    <x v="2"/>
    <x v="40"/>
    <x v="40"/>
    <x v="14"/>
  </r>
  <r>
    <x v="713"/>
    <x v="86"/>
    <x v="1"/>
    <x v="7"/>
    <x v="2"/>
    <x v="8"/>
    <x v="69"/>
    <x v="194"/>
    <x v="0"/>
    <x v="37"/>
    <x v="37"/>
    <x v="7"/>
  </r>
  <r>
    <x v="714"/>
    <x v="142"/>
    <x v="3"/>
    <x v="13"/>
    <x v="1"/>
    <x v="27"/>
    <x v="122"/>
    <x v="194"/>
    <x v="1"/>
    <x v="96"/>
    <x v="96"/>
    <x v="13"/>
  </r>
  <r>
    <x v="715"/>
    <x v="7"/>
    <x v="2"/>
    <x v="15"/>
    <x v="0"/>
    <x v="46"/>
    <x v="7"/>
    <x v="194"/>
    <x v="0"/>
    <x v="23"/>
    <x v="23"/>
    <x v="15"/>
  </r>
  <r>
    <x v="716"/>
    <x v="147"/>
    <x v="3"/>
    <x v="14"/>
    <x v="0"/>
    <x v="45"/>
    <x v="127"/>
    <x v="195"/>
    <x v="3"/>
    <x v="22"/>
    <x v="22"/>
    <x v="14"/>
  </r>
  <r>
    <x v="717"/>
    <x v="38"/>
    <x v="0"/>
    <x v="24"/>
    <x v="3"/>
    <x v="47"/>
    <x v="37"/>
    <x v="196"/>
    <x v="2"/>
    <x v="67"/>
    <x v="67"/>
    <x v="24"/>
  </r>
  <r>
    <x v="718"/>
    <x v="110"/>
    <x v="3"/>
    <x v="16"/>
    <x v="0"/>
    <x v="41"/>
    <x v="5"/>
    <x v="196"/>
    <x v="0"/>
    <x v="24"/>
    <x v="24"/>
    <x v="16"/>
  </r>
  <r>
    <x v="719"/>
    <x v="126"/>
    <x v="2"/>
    <x v="3"/>
    <x v="2"/>
    <x v="3"/>
    <x v="108"/>
    <x v="197"/>
    <x v="2"/>
    <x v="63"/>
    <x v="63"/>
    <x v="3"/>
  </r>
  <r>
    <x v="720"/>
    <x v="25"/>
    <x v="3"/>
    <x v="14"/>
    <x v="2"/>
    <x v="19"/>
    <x v="25"/>
    <x v="197"/>
    <x v="2"/>
    <x v="40"/>
    <x v="40"/>
    <x v="14"/>
  </r>
  <r>
    <x v="721"/>
    <x v="156"/>
    <x v="1"/>
    <x v="1"/>
    <x v="2"/>
    <x v="33"/>
    <x v="135"/>
    <x v="198"/>
    <x v="2"/>
    <x v="54"/>
    <x v="54"/>
    <x v="1"/>
  </r>
  <r>
    <x v="722"/>
    <x v="48"/>
    <x v="2"/>
    <x v="3"/>
    <x v="0"/>
    <x v="3"/>
    <x v="18"/>
    <x v="199"/>
    <x v="3"/>
    <x v="3"/>
    <x v="3"/>
    <x v="3"/>
  </r>
  <r>
    <x v="723"/>
    <x v="137"/>
    <x v="2"/>
    <x v="23"/>
    <x v="1"/>
    <x v="36"/>
    <x v="118"/>
    <x v="199"/>
    <x v="3"/>
    <x v="75"/>
    <x v="75"/>
    <x v="23"/>
  </r>
  <r>
    <x v="724"/>
    <x v="62"/>
    <x v="1"/>
    <x v="1"/>
    <x v="0"/>
    <x v="33"/>
    <x v="59"/>
    <x v="199"/>
    <x v="1"/>
    <x v="1"/>
    <x v="1"/>
    <x v="1"/>
  </r>
  <r>
    <x v="725"/>
    <x v="8"/>
    <x v="4"/>
    <x v="17"/>
    <x v="0"/>
    <x v="22"/>
    <x v="8"/>
    <x v="199"/>
    <x v="2"/>
    <x v="33"/>
    <x v="33"/>
    <x v="17"/>
  </r>
  <r>
    <x v="726"/>
    <x v="139"/>
    <x v="4"/>
    <x v="21"/>
    <x v="3"/>
    <x v="44"/>
    <x v="31"/>
    <x v="200"/>
    <x v="0"/>
    <x v="64"/>
    <x v="64"/>
    <x v="21"/>
  </r>
  <r>
    <x v="727"/>
    <x v="139"/>
    <x v="3"/>
    <x v="20"/>
    <x v="3"/>
    <x v="31"/>
    <x v="31"/>
    <x v="200"/>
    <x v="0"/>
    <x v="66"/>
    <x v="66"/>
    <x v="20"/>
  </r>
  <r>
    <x v="728"/>
    <x v="103"/>
    <x v="4"/>
    <x v="17"/>
    <x v="1"/>
    <x v="22"/>
    <x v="92"/>
    <x v="200"/>
    <x v="1"/>
    <x v="58"/>
    <x v="58"/>
    <x v="17"/>
  </r>
  <r>
    <x v="729"/>
    <x v="147"/>
    <x v="1"/>
    <x v="19"/>
    <x v="0"/>
    <x v="38"/>
    <x v="127"/>
    <x v="200"/>
    <x v="2"/>
    <x v="95"/>
    <x v="95"/>
    <x v="19"/>
  </r>
  <r>
    <x v="730"/>
    <x v="93"/>
    <x v="1"/>
    <x v="19"/>
    <x v="2"/>
    <x v="38"/>
    <x v="83"/>
    <x v="200"/>
    <x v="3"/>
    <x v="97"/>
    <x v="97"/>
    <x v="19"/>
  </r>
  <r>
    <x v="731"/>
    <x v="171"/>
    <x v="4"/>
    <x v="11"/>
    <x v="2"/>
    <x v="26"/>
    <x v="144"/>
    <x v="200"/>
    <x v="2"/>
    <x v="20"/>
    <x v="20"/>
    <x v="11"/>
  </r>
  <r>
    <x v="732"/>
    <x v="110"/>
    <x v="0"/>
    <x v="24"/>
    <x v="0"/>
    <x v="42"/>
    <x v="5"/>
    <x v="200"/>
    <x v="0"/>
    <x v="85"/>
    <x v="85"/>
    <x v="24"/>
  </r>
  <r>
    <x v="733"/>
    <x v="46"/>
    <x v="2"/>
    <x v="3"/>
    <x v="2"/>
    <x v="3"/>
    <x v="45"/>
    <x v="200"/>
    <x v="2"/>
    <x v="63"/>
    <x v="63"/>
    <x v="3"/>
  </r>
  <r>
    <x v="734"/>
    <x v="149"/>
    <x v="4"/>
    <x v="17"/>
    <x v="2"/>
    <x v="30"/>
    <x v="129"/>
    <x v="201"/>
    <x v="0"/>
    <x v="61"/>
    <x v="61"/>
    <x v="17"/>
  </r>
  <r>
    <x v="735"/>
    <x v="151"/>
    <x v="0"/>
    <x v="24"/>
    <x v="0"/>
    <x v="47"/>
    <x v="131"/>
    <x v="201"/>
    <x v="1"/>
    <x v="53"/>
    <x v="53"/>
    <x v="24"/>
  </r>
  <r>
    <x v="736"/>
    <x v="23"/>
    <x v="4"/>
    <x v="21"/>
    <x v="2"/>
    <x v="32"/>
    <x v="23"/>
    <x v="201"/>
    <x v="3"/>
    <x v="70"/>
    <x v="70"/>
    <x v="21"/>
  </r>
  <r>
    <x v="737"/>
    <x v="22"/>
    <x v="1"/>
    <x v="7"/>
    <x v="2"/>
    <x v="34"/>
    <x v="22"/>
    <x v="201"/>
    <x v="1"/>
    <x v="9"/>
    <x v="9"/>
    <x v="7"/>
  </r>
  <r>
    <x v="738"/>
    <x v="12"/>
    <x v="4"/>
    <x v="21"/>
    <x v="0"/>
    <x v="32"/>
    <x v="12"/>
    <x v="202"/>
    <x v="3"/>
    <x v="70"/>
    <x v="70"/>
    <x v="21"/>
  </r>
  <r>
    <x v="739"/>
    <x v="122"/>
    <x v="3"/>
    <x v="14"/>
    <x v="3"/>
    <x v="19"/>
    <x v="105"/>
    <x v="202"/>
    <x v="2"/>
    <x v="40"/>
    <x v="40"/>
    <x v="14"/>
  </r>
  <r>
    <x v="740"/>
    <x v="85"/>
    <x v="4"/>
    <x v="9"/>
    <x v="2"/>
    <x v="10"/>
    <x v="78"/>
    <x v="202"/>
    <x v="0"/>
    <x v="39"/>
    <x v="39"/>
    <x v="9"/>
  </r>
  <r>
    <x v="741"/>
    <x v="33"/>
    <x v="3"/>
    <x v="16"/>
    <x v="3"/>
    <x v="21"/>
    <x v="32"/>
    <x v="202"/>
    <x v="1"/>
    <x v="52"/>
    <x v="52"/>
    <x v="16"/>
  </r>
  <r>
    <x v="742"/>
    <x v="26"/>
    <x v="3"/>
    <x v="14"/>
    <x v="2"/>
    <x v="19"/>
    <x v="12"/>
    <x v="202"/>
    <x v="3"/>
    <x v="22"/>
    <x v="22"/>
    <x v="14"/>
  </r>
  <r>
    <x v="743"/>
    <x v="127"/>
    <x v="0"/>
    <x v="24"/>
    <x v="3"/>
    <x v="42"/>
    <x v="109"/>
    <x v="203"/>
    <x v="2"/>
    <x v="67"/>
    <x v="67"/>
    <x v="24"/>
  </r>
  <r>
    <x v="744"/>
    <x v="93"/>
    <x v="1"/>
    <x v="22"/>
    <x v="2"/>
    <x v="35"/>
    <x v="83"/>
    <x v="203"/>
    <x v="2"/>
    <x v="38"/>
    <x v="38"/>
    <x v="22"/>
  </r>
  <r>
    <x v="745"/>
    <x v="173"/>
    <x v="0"/>
    <x v="0"/>
    <x v="0"/>
    <x v="0"/>
    <x v="145"/>
    <x v="203"/>
    <x v="0"/>
    <x v="0"/>
    <x v="0"/>
    <x v="0"/>
  </r>
  <r>
    <x v="746"/>
    <x v="57"/>
    <x v="0"/>
    <x v="0"/>
    <x v="2"/>
    <x v="0"/>
    <x v="54"/>
    <x v="203"/>
    <x v="2"/>
    <x v="62"/>
    <x v="62"/>
    <x v="0"/>
  </r>
  <r>
    <x v="747"/>
    <x v="137"/>
    <x v="2"/>
    <x v="4"/>
    <x v="1"/>
    <x v="24"/>
    <x v="118"/>
    <x v="203"/>
    <x v="1"/>
    <x v="31"/>
    <x v="31"/>
    <x v="4"/>
  </r>
  <r>
    <x v="748"/>
    <x v="160"/>
    <x v="4"/>
    <x v="17"/>
    <x v="2"/>
    <x v="30"/>
    <x v="139"/>
    <x v="203"/>
    <x v="0"/>
    <x v="61"/>
    <x v="61"/>
    <x v="17"/>
  </r>
  <r>
    <x v="749"/>
    <x v="56"/>
    <x v="1"/>
    <x v="1"/>
    <x v="2"/>
    <x v="33"/>
    <x v="53"/>
    <x v="203"/>
    <x v="0"/>
    <x v="36"/>
    <x v="36"/>
    <x v="1"/>
  </r>
  <r>
    <x v="750"/>
    <x v="88"/>
    <x v="2"/>
    <x v="15"/>
    <x v="2"/>
    <x v="20"/>
    <x v="12"/>
    <x v="204"/>
    <x v="0"/>
    <x v="23"/>
    <x v="23"/>
    <x v="15"/>
  </r>
  <r>
    <x v="751"/>
    <x v="102"/>
    <x v="2"/>
    <x v="23"/>
    <x v="0"/>
    <x v="36"/>
    <x v="91"/>
    <x v="205"/>
    <x v="2"/>
    <x v="69"/>
    <x v="69"/>
    <x v="23"/>
  </r>
  <r>
    <x v="752"/>
    <x v="32"/>
    <x v="3"/>
    <x v="8"/>
    <x v="2"/>
    <x v="43"/>
    <x v="31"/>
    <x v="205"/>
    <x v="1"/>
    <x v="19"/>
    <x v="19"/>
    <x v="8"/>
  </r>
  <r>
    <x v="753"/>
    <x v="5"/>
    <x v="4"/>
    <x v="12"/>
    <x v="2"/>
    <x v="14"/>
    <x v="5"/>
    <x v="206"/>
    <x v="2"/>
    <x v="47"/>
    <x v="47"/>
    <x v="12"/>
  </r>
  <r>
    <x v="754"/>
    <x v="91"/>
    <x v="1"/>
    <x v="1"/>
    <x v="1"/>
    <x v="1"/>
    <x v="82"/>
    <x v="206"/>
    <x v="1"/>
    <x v="1"/>
    <x v="1"/>
    <x v="1"/>
  </r>
  <r>
    <x v="755"/>
    <x v="137"/>
    <x v="4"/>
    <x v="9"/>
    <x v="1"/>
    <x v="23"/>
    <x v="118"/>
    <x v="206"/>
    <x v="3"/>
    <x v="11"/>
    <x v="11"/>
    <x v="9"/>
  </r>
  <r>
    <x v="756"/>
    <x v="148"/>
    <x v="2"/>
    <x v="4"/>
    <x v="3"/>
    <x v="4"/>
    <x v="128"/>
    <x v="206"/>
    <x v="3"/>
    <x v="4"/>
    <x v="4"/>
    <x v="4"/>
  </r>
  <r>
    <x v="757"/>
    <x v="25"/>
    <x v="1"/>
    <x v="22"/>
    <x v="2"/>
    <x v="40"/>
    <x v="25"/>
    <x v="207"/>
    <x v="3"/>
    <x v="51"/>
    <x v="51"/>
    <x v="22"/>
  </r>
  <r>
    <x v="758"/>
    <x v="40"/>
    <x v="1"/>
    <x v="1"/>
    <x v="1"/>
    <x v="33"/>
    <x v="39"/>
    <x v="207"/>
    <x v="0"/>
    <x v="36"/>
    <x v="36"/>
    <x v="1"/>
  </r>
  <r>
    <x v="759"/>
    <x v="86"/>
    <x v="3"/>
    <x v="16"/>
    <x v="2"/>
    <x v="21"/>
    <x v="69"/>
    <x v="207"/>
    <x v="3"/>
    <x v="81"/>
    <x v="81"/>
    <x v="16"/>
  </r>
  <r>
    <x v="760"/>
    <x v="49"/>
    <x v="4"/>
    <x v="9"/>
    <x v="0"/>
    <x v="23"/>
    <x v="47"/>
    <x v="208"/>
    <x v="1"/>
    <x v="29"/>
    <x v="29"/>
    <x v="9"/>
  </r>
  <r>
    <x v="761"/>
    <x v="128"/>
    <x v="2"/>
    <x v="15"/>
    <x v="2"/>
    <x v="20"/>
    <x v="25"/>
    <x v="208"/>
    <x v="1"/>
    <x v="88"/>
    <x v="88"/>
    <x v="15"/>
  </r>
  <r>
    <x v="762"/>
    <x v="161"/>
    <x v="2"/>
    <x v="4"/>
    <x v="2"/>
    <x v="24"/>
    <x v="140"/>
    <x v="209"/>
    <x v="2"/>
    <x v="7"/>
    <x v="7"/>
    <x v="4"/>
  </r>
  <r>
    <x v="763"/>
    <x v="129"/>
    <x v="4"/>
    <x v="21"/>
    <x v="2"/>
    <x v="44"/>
    <x v="110"/>
    <x v="209"/>
    <x v="2"/>
    <x v="43"/>
    <x v="43"/>
    <x v="21"/>
  </r>
  <r>
    <x v="764"/>
    <x v="138"/>
    <x v="2"/>
    <x v="4"/>
    <x v="2"/>
    <x v="24"/>
    <x v="119"/>
    <x v="209"/>
    <x v="1"/>
    <x v="31"/>
    <x v="31"/>
    <x v="4"/>
  </r>
  <r>
    <x v="765"/>
    <x v="118"/>
    <x v="4"/>
    <x v="11"/>
    <x v="3"/>
    <x v="13"/>
    <x v="103"/>
    <x v="209"/>
    <x v="1"/>
    <x v="89"/>
    <x v="89"/>
    <x v="11"/>
  </r>
  <r>
    <x v="766"/>
    <x v="172"/>
    <x v="3"/>
    <x v="20"/>
    <x v="1"/>
    <x v="29"/>
    <x v="125"/>
    <x v="209"/>
    <x v="0"/>
    <x v="66"/>
    <x v="66"/>
    <x v="20"/>
  </r>
  <r>
    <x v="767"/>
    <x v="150"/>
    <x v="0"/>
    <x v="24"/>
    <x v="1"/>
    <x v="42"/>
    <x v="130"/>
    <x v="209"/>
    <x v="2"/>
    <x v="67"/>
    <x v="67"/>
    <x v="24"/>
  </r>
  <r>
    <x v="768"/>
    <x v="92"/>
    <x v="1"/>
    <x v="1"/>
    <x v="2"/>
    <x v="1"/>
    <x v="43"/>
    <x v="209"/>
    <x v="2"/>
    <x v="54"/>
    <x v="54"/>
    <x v="1"/>
  </r>
  <r>
    <x v="769"/>
    <x v="97"/>
    <x v="2"/>
    <x v="15"/>
    <x v="0"/>
    <x v="20"/>
    <x v="86"/>
    <x v="209"/>
    <x v="3"/>
    <x v="72"/>
    <x v="72"/>
    <x v="15"/>
  </r>
  <r>
    <x v="770"/>
    <x v="145"/>
    <x v="3"/>
    <x v="8"/>
    <x v="0"/>
    <x v="9"/>
    <x v="125"/>
    <x v="209"/>
    <x v="0"/>
    <x v="55"/>
    <x v="55"/>
    <x v="8"/>
  </r>
  <r>
    <x v="771"/>
    <x v="95"/>
    <x v="2"/>
    <x v="3"/>
    <x v="1"/>
    <x v="5"/>
    <x v="85"/>
    <x v="210"/>
    <x v="3"/>
    <x v="3"/>
    <x v="3"/>
    <x v="3"/>
  </r>
  <r>
    <x v="772"/>
    <x v="124"/>
    <x v="3"/>
    <x v="8"/>
    <x v="1"/>
    <x v="9"/>
    <x v="107"/>
    <x v="210"/>
    <x v="2"/>
    <x v="18"/>
    <x v="18"/>
    <x v="8"/>
  </r>
  <r>
    <x v="773"/>
    <x v="110"/>
    <x v="3"/>
    <x v="16"/>
    <x v="0"/>
    <x v="21"/>
    <x v="5"/>
    <x v="210"/>
    <x v="0"/>
    <x v="24"/>
    <x v="24"/>
    <x v="16"/>
  </r>
  <r>
    <x v="774"/>
    <x v="37"/>
    <x v="0"/>
    <x v="18"/>
    <x v="0"/>
    <x v="39"/>
    <x v="36"/>
    <x v="211"/>
    <x v="2"/>
    <x v="57"/>
    <x v="57"/>
    <x v="18"/>
  </r>
  <r>
    <x v="775"/>
    <x v="118"/>
    <x v="2"/>
    <x v="3"/>
    <x v="3"/>
    <x v="3"/>
    <x v="103"/>
    <x v="212"/>
    <x v="3"/>
    <x v="3"/>
    <x v="3"/>
    <x v="3"/>
  </r>
  <r>
    <x v="776"/>
    <x v="36"/>
    <x v="0"/>
    <x v="5"/>
    <x v="2"/>
    <x v="12"/>
    <x v="35"/>
    <x v="212"/>
    <x v="2"/>
    <x v="50"/>
    <x v="50"/>
    <x v="5"/>
  </r>
  <r>
    <x v="777"/>
    <x v="122"/>
    <x v="2"/>
    <x v="2"/>
    <x v="3"/>
    <x v="2"/>
    <x v="105"/>
    <x v="213"/>
    <x v="1"/>
    <x v="56"/>
    <x v="56"/>
    <x v="2"/>
  </r>
  <r>
    <x v="778"/>
    <x v="123"/>
    <x v="1"/>
    <x v="1"/>
    <x v="3"/>
    <x v="1"/>
    <x v="106"/>
    <x v="213"/>
    <x v="0"/>
    <x v="36"/>
    <x v="36"/>
    <x v="1"/>
  </r>
  <r>
    <x v="779"/>
    <x v="55"/>
    <x v="0"/>
    <x v="18"/>
    <x v="2"/>
    <x v="39"/>
    <x v="52"/>
    <x v="213"/>
    <x v="3"/>
    <x v="28"/>
    <x v="28"/>
    <x v="18"/>
  </r>
  <r>
    <x v="780"/>
    <x v="109"/>
    <x v="4"/>
    <x v="17"/>
    <x v="2"/>
    <x v="22"/>
    <x v="79"/>
    <x v="213"/>
    <x v="0"/>
    <x v="61"/>
    <x v="61"/>
    <x v="17"/>
  </r>
  <r>
    <x v="781"/>
    <x v="20"/>
    <x v="3"/>
    <x v="13"/>
    <x v="3"/>
    <x v="16"/>
    <x v="20"/>
    <x v="213"/>
    <x v="1"/>
    <x v="96"/>
    <x v="96"/>
    <x v="13"/>
  </r>
  <r>
    <x v="782"/>
    <x v="71"/>
    <x v="0"/>
    <x v="5"/>
    <x v="2"/>
    <x v="12"/>
    <x v="57"/>
    <x v="214"/>
    <x v="0"/>
    <x v="13"/>
    <x v="13"/>
    <x v="5"/>
  </r>
  <r>
    <x v="783"/>
    <x v="13"/>
    <x v="4"/>
    <x v="21"/>
    <x v="2"/>
    <x v="44"/>
    <x v="13"/>
    <x v="214"/>
    <x v="0"/>
    <x v="64"/>
    <x v="64"/>
    <x v="21"/>
  </r>
  <r>
    <x v="784"/>
    <x v="123"/>
    <x v="3"/>
    <x v="14"/>
    <x v="3"/>
    <x v="45"/>
    <x v="106"/>
    <x v="214"/>
    <x v="1"/>
    <x v="48"/>
    <x v="48"/>
    <x v="14"/>
  </r>
  <r>
    <x v="785"/>
    <x v="21"/>
    <x v="4"/>
    <x v="9"/>
    <x v="2"/>
    <x v="10"/>
    <x v="21"/>
    <x v="214"/>
    <x v="1"/>
    <x v="29"/>
    <x v="29"/>
    <x v="9"/>
  </r>
  <r>
    <x v="786"/>
    <x v="37"/>
    <x v="2"/>
    <x v="2"/>
    <x v="0"/>
    <x v="48"/>
    <x v="36"/>
    <x v="215"/>
    <x v="3"/>
    <x v="34"/>
    <x v="34"/>
    <x v="2"/>
  </r>
  <r>
    <x v="787"/>
    <x v="113"/>
    <x v="0"/>
    <x v="24"/>
    <x v="2"/>
    <x v="47"/>
    <x v="98"/>
    <x v="215"/>
    <x v="2"/>
    <x v="67"/>
    <x v="67"/>
    <x v="24"/>
  </r>
  <r>
    <x v="788"/>
    <x v="35"/>
    <x v="0"/>
    <x v="10"/>
    <x v="0"/>
    <x v="18"/>
    <x v="34"/>
    <x v="215"/>
    <x v="3"/>
    <x v="12"/>
    <x v="12"/>
    <x v="10"/>
  </r>
  <r>
    <x v="789"/>
    <x v="114"/>
    <x v="2"/>
    <x v="15"/>
    <x v="1"/>
    <x v="20"/>
    <x v="99"/>
    <x v="215"/>
    <x v="1"/>
    <x v="88"/>
    <x v="88"/>
    <x v="15"/>
  </r>
  <r>
    <x v="790"/>
    <x v="56"/>
    <x v="4"/>
    <x v="17"/>
    <x v="2"/>
    <x v="22"/>
    <x v="53"/>
    <x v="215"/>
    <x v="0"/>
    <x v="61"/>
    <x v="61"/>
    <x v="17"/>
  </r>
  <r>
    <x v="791"/>
    <x v="146"/>
    <x v="4"/>
    <x v="9"/>
    <x v="1"/>
    <x v="23"/>
    <x v="126"/>
    <x v="216"/>
    <x v="3"/>
    <x v="11"/>
    <x v="11"/>
    <x v="9"/>
  </r>
  <r>
    <x v="792"/>
    <x v="33"/>
    <x v="2"/>
    <x v="4"/>
    <x v="3"/>
    <x v="24"/>
    <x v="32"/>
    <x v="216"/>
    <x v="1"/>
    <x v="31"/>
    <x v="31"/>
    <x v="4"/>
  </r>
  <r>
    <x v="793"/>
    <x v="170"/>
    <x v="2"/>
    <x v="4"/>
    <x v="2"/>
    <x v="4"/>
    <x v="143"/>
    <x v="216"/>
    <x v="3"/>
    <x v="4"/>
    <x v="4"/>
    <x v="4"/>
  </r>
  <r>
    <x v="794"/>
    <x v="160"/>
    <x v="4"/>
    <x v="9"/>
    <x v="2"/>
    <x v="23"/>
    <x v="139"/>
    <x v="216"/>
    <x v="2"/>
    <x v="27"/>
    <x v="27"/>
    <x v="9"/>
  </r>
  <r>
    <x v="795"/>
    <x v="163"/>
    <x v="3"/>
    <x v="14"/>
    <x v="2"/>
    <x v="19"/>
    <x v="35"/>
    <x v="217"/>
    <x v="2"/>
    <x v="40"/>
    <x v="40"/>
    <x v="14"/>
  </r>
  <r>
    <x v="796"/>
    <x v="80"/>
    <x v="4"/>
    <x v="9"/>
    <x v="0"/>
    <x v="10"/>
    <x v="31"/>
    <x v="217"/>
    <x v="1"/>
    <x v="29"/>
    <x v="29"/>
    <x v="9"/>
  </r>
  <r>
    <x v="797"/>
    <x v="19"/>
    <x v="3"/>
    <x v="16"/>
    <x v="3"/>
    <x v="21"/>
    <x v="19"/>
    <x v="217"/>
    <x v="2"/>
    <x v="59"/>
    <x v="59"/>
    <x v="16"/>
  </r>
  <r>
    <x v="798"/>
    <x v="4"/>
    <x v="2"/>
    <x v="23"/>
    <x v="2"/>
    <x v="36"/>
    <x v="4"/>
    <x v="217"/>
    <x v="1"/>
    <x v="60"/>
    <x v="60"/>
    <x v="23"/>
  </r>
  <r>
    <x v="799"/>
    <x v="77"/>
    <x v="2"/>
    <x v="4"/>
    <x v="2"/>
    <x v="24"/>
    <x v="28"/>
    <x v="217"/>
    <x v="2"/>
    <x v="7"/>
    <x v="7"/>
    <x v="4"/>
  </r>
  <r>
    <x v="800"/>
    <x v="149"/>
    <x v="3"/>
    <x v="14"/>
    <x v="2"/>
    <x v="45"/>
    <x v="129"/>
    <x v="218"/>
    <x v="2"/>
    <x v="40"/>
    <x v="40"/>
    <x v="14"/>
  </r>
  <r>
    <x v="801"/>
    <x v="61"/>
    <x v="0"/>
    <x v="24"/>
    <x v="2"/>
    <x v="42"/>
    <x v="58"/>
    <x v="218"/>
    <x v="0"/>
    <x v="85"/>
    <x v="85"/>
    <x v="24"/>
  </r>
  <r>
    <x v="802"/>
    <x v="155"/>
    <x v="2"/>
    <x v="2"/>
    <x v="2"/>
    <x v="48"/>
    <x v="134"/>
    <x v="218"/>
    <x v="2"/>
    <x v="2"/>
    <x v="2"/>
    <x v="2"/>
  </r>
  <r>
    <x v="803"/>
    <x v="163"/>
    <x v="4"/>
    <x v="9"/>
    <x v="2"/>
    <x v="10"/>
    <x v="35"/>
    <x v="219"/>
    <x v="3"/>
    <x v="11"/>
    <x v="11"/>
    <x v="9"/>
  </r>
  <r>
    <x v="804"/>
    <x v="143"/>
    <x v="0"/>
    <x v="18"/>
    <x v="0"/>
    <x v="39"/>
    <x v="123"/>
    <x v="219"/>
    <x v="2"/>
    <x v="57"/>
    <x v="57"/>
    <x v="18"/>
  </r>
  <r>
    <x v="805"/>
    <x v="18"/>
    <x v="3"/>
    <x v="8"/>
    <x v="0"/>
    <x v="43"/>
    <x v="18"/>
    <x v="219"/>
    <x v="2"/>
    <x v="18"/>
    <x v="18"/>
    <x v="8"/>
  </r>
  <r>
    <x v="806"/>
    <x v="97"/>
    <x v="3"/>
    <x v="13"/>
    <x v="0"/>
    <x v="27"/>
    <x v="86"/>
    <x v="219"/>
    <x v="2"/>
    <x v="17"/>
    <x v="17"/>
    <x v="13"/>
  </r>
  <r>
    <x v="807"/>
    <x v="120"/>
    <x v="3"/>
    <x v="13"/>
    <x v="0"/>
    <x v="16"/>
    <x v="66"/>
    <x v="219"/>
    <x v="3"/>
    <x v="68"/>
    <x v="68"/>
    <x v="13"/>
  </r>
  <r>
    <x v="808"/>
    <x v="164"/>
    <x v="3"/>
    <x v="13"/>
    <x v="2"/>
    <x v="16"/>
    <x v="141"/>
    <x v="219"/>
    <x v="1"/>
    <x v="96"/>
    <x v="96"/>
    <x v="13"/>
  </r>
  <r>
    <x v="809"/>
    <x v="138"/>
    <x v="0"/>
    <x v="10"/>
    <x v="2"/>
    <x v="18"/>
    <x v="119"/>
    <x v="220"/>
    <x v="1"/>
    <x v="94"/>
    <x v="94"/>
    <x v="10"/>
  </r>
  <r>
    <x v="810"/>
    <x v="90"/>
    <x v="1"/>
    <x v="7"/>
    <x v="2"/>
    <x v="8"/>
    <x v="81"/>
    <x v="220"/>
    <x v="3"/>
    <x v="79"/>
    <x v="79"/>
    <x v="7"/>
  </r>
  <r>
    <x v="811"/>
    <x v="115"/>
    <x v="0"/>
    <x v="24"/>
    <x v="2"/>
    <x v="42"/>
    <x v="100"/>
    <x v="220"/>
    <x v="2"/>
    <x v="67"/>
    <x v="67"/>
    <x v="24"/>
  </r>
  <r>
    <x v="812"/>
    <x v="52"/>
    <x v="0"/>
    <x v="5"/>
    <x v="0"/>
    <x v="6"/>
    <x v="49"/>
    <x v="220"/>
    <x v="3"/>
    <x v="6"/>
    <x v="6"/>
    <x v="5"/>
  </r>
  <r>
    <x v="813"/>
    <x v="155"/>
    <x v="1"/>
    <x v="6"/>
    <x v="2"/>
    <x v="37"/>
    <x v="134"/>
    <x v="220"/>
    <x v="2"/>
    <x v="83"/>
    <x v="83"/>
    <x v="6"/>
  </r>
  <r>
    <x v="814"/>
    <x v="13"/>
    <x v="2"/>
    <x v="3"/>
    <x v="2"/>
    <x v="3"/>
    <x v="13"/>
    <x v="221"/>
    <x v="1"/>
    <x v="5"/>
    <x v="5"/>
    <x v="3"/>
  </r>
  <r>
    <x v="815"/>
    <x v="169"/>
    <x v="2"/>
    <x v="4"/>
    <x v="3"/>
    <x v="24"/>
    <x v="114"/>
    <x v="221"/>
    <x v="1"/>
    <x v="31"/>
    <x v="31"/>
    <x v="4"/>
  </r>
  <r>
    <x v="816"/>
    <x v="173"/>
    <x v="4"/>
    <x v="11"/>
    <x v="0"/>
    <x v="13"/>
    <x v="145"/>
    <x v="221"/>
    <x v="0"/>
    <x v="76"/>
    <x v="76"/>
    <x v="11"/>
  </r>
  <r>
    <x v="817"/>
    <x v="177"/>
    <x v="2"/>
    <x v="2"/>
    <x v="0"/>
    <x v="2"/>
    <x v="115"/>
    <x v="222"/>
    <x v="1"/>
    <x v="56"/>
    <x v="56"/>
    <x v="2"/>
  </r>
  <r>
    <x v="818"/>
    <x v="72"/>
    <x v="0"/>
    <x v="10"/>
    <x v="2"/>
    <x v="18"/>
    <x v="67"/>
    <x v="222"/>
    <x v="2"/>
    <x v="26"/>
    <x v="26"/>
    <x v="10"/>
  </r>
  <r>
    <x v="819"/>
    <x v="98"/>
    <x v="3"/>
    <x v="16"/>
    <x v="1"/>
    <x v="41"/>
    <x v="87"/>
    <x v="222"/>
    <x v="2"/>
    <x v="59"/>
    <x v="59"/>
    <x v="16"/>
  </r>
  <r>
    <x v="820"/>
    <x v="58"/>
    <x v="0"/>
    <x v="10"/>
    <x v="0"/>
    <x v="18"/>
    <x v="55"/>
    <x v="222"/>
    <x v="0"/>
    <x v="21"/>
    <x v="21"/>
    <x v="10"/>
  </r>
  <r>
    <x v="821"/>
    <x v="53"/>
    <x v="3"/>
    <x v="14"/>
    <x v="0"/>
    <x v="45"/>
    <x v="50"/>
    <x v="223"/>
    <x v="2"/>
    <x v="40"/>
    <x v="40"/>
    <x v="14"/>
  </r>
  <r>
    <x v="822"/>
    <x v="149"/>
    <x v="2"/>
    <x v="3"/>
    <x v="2"/>
    <x v="3"/>
    <x v="129"/>
    <x v="223"/>
    <x v="1"/>
    <x v="5"/>
    <x v="5"/>
    <x v="3"/>
  </r>
  <r>
    <x v="823"/>
    <x v="140"/>
    <x v="1"/>
    <x v="22"/>
    <x v="0"/>
    <x v="40"/>
    <x v="120"/>
    <x v="223"/>
    <x v="3"/>
    <x v="51"/>
    <x v="51"/>
    <x v="22"/>
  </r>
  <r>
    <x v="824"/>
    <x v="106"/>
    <x v="3"/>
    <x v="8"/>
    <x v="2"/>
    <x v="43"/>
    <x v="95"/>
    <x v="223"/>
    <x v="1"/>
    <x v="19"/>
    <x v="19"/>
    <x v="8"/>
  </r>
  <r>
    <x v="825"/>
    <x v="86"/>
    <x v="3"/>
    <x v="13"/>
    <x v="2"/>
    <x v="27"/>
    <x v="69"/>
    <x v="223"/>
    <x v="0"/>
    <x v="92"/>
    <x v="92"/>
    <x v="13"/>
  </r>
  <r>
    <x v="826"/>
    <x v="145"/>
    <x v="3"/>
    <x v="14"/>
    <x v="0"/>
    <x v="45"/>
    <x v="125"/>
    <x v="223"/>
    <x v="1"/>
    <x v="48"/>
    <x v="48"/>
    <x v="14"/>
  </r>
  <r>
    <x v="827"/>
    <x v="103"/>
    <x v="4"/>
    <x v="21"/>
    <x v="1"/>
    <x v="44"/>
    <x v="92"/>
    <x v="224"/>
    <x v="1"/>
    <x v="35"/>
    <x v="35"/>
    <x v="21"/>
  </r>
  <r>
    <x v="828"/>
    <x v="25"/>
    <x v="2"/>
    <x v="15"/>
    <x v="2"/>
    <x v="20"/>
    <x v="25"/>
    <x v="224"/>
    <x v="3"/>
    <x v="72"/>
    <x v="72"/>
    <x v="15"/>
  </r>
  <r>
    <x v="829"/>
    <x v="178"/>
    <x v="4"/>
    <x v="21"/>
    <x v="1"/>
    <x v="32"/>
    <x v="148"/>
    <x v="224"/>
    <x v="2"/>
    <x v="43"/>
    <x v="43"/>
    <x v="21"/>
  </r>
  <r>
    <x v="830"/>
    <x v="145"/>
    <x v="3"/>
    <x v="16"/>
    <x v="0"/>
    <x v="41"/>
    <x v="125"/>
    <x v="224"/>
    <x v="1"/>
    <x v="52"/>
    <x v="52"/>
    <x v="16"/>
  </r>
  <r>
    <x v="831"/>
    <x v="132"/>
    <x v="0"/>
    <x v="0"/>
    <x v="2"/>
    <x v="0"/>
    <x v="113"/>
    <x v="225"/>
    <x v="2"/>
    <x v="62"/>
    <x v="62"/>
    <x v="0"/>
  </r>
  <r>
    <x v="832"/>
    <x v="132"/>
    <x v="2"/>
    <x v="15"/>
    <x v="2"/>
    <x v="20"/>
    <x v="113"/>
    <x v="225"/>
    <x v="2"/>
    <x v="80"/>
    <x v="80"/>
    <x v="15"/>
  </r>
  <r>
    <x v="833"/>
    <x v="147"/>
    <x v="4"/>
    <x v="21"/>
    <x v="0"/>
    <x v="32"/>
    <x v="127"/>
    <x v="225"/>
    <x v="3"/>
    <x v="70"/>
    <x v="70"/>
    <x v="21"/>
  </r>
  <r>
    <x v="834"/>
    <x v="91"/>
    <x v="2"/>
    <x v="15"/>
    <x v="1"/>
    <x v="20"/>
    <x v="82"/>
    <x v="225"/>
    <x v="2"/>
    <x v="80"/>
    <x v="80"/>
    <x v="15"/>
  </r>
  <r>
    <x v="835"/>
    <x v="34"/>
    <x v="4"/>
    <x v="9"/>
    <x v="0"/>
    <x v="10"/>
    <x v="33"/>
    <x v="225"/>
    <x v="1"/>
    <x v="29"/>
    <x v="29"/>
    <x v="9"/>
  </r>
  <r>
    <x v="836"/>
    <x v="1"/>
    <x v="4"/>
    <x v="11"/>
    <x v="1"/>
    <x v="13"/>
    <x v="1"/>
    <x v="226"/>
    <x v="2"/>
    <x v="20"/>
    <x v="20"/>
    <x v="11"/>
  </r>
  <r>
    <x v="837"/>
    <x v="93"/>
    <x v="4"/>
    <x v="12"/>
    <x v="2"/>
    <x v="14"/>
    <x v="83"/>
    <x v="226"/>
    <x v="2"/>
    <x v="47"/>
    <x v="47"/>
    <x v="12"/>
  </r>
  <r>
    <x v="838"/>
    <x v="55"/>
    <x v="4"/>
    <x v="12"/>
    <x v="2"/>
    <x v="17"/>
    <x v="52"/>
    <x v="226"/>
    <x v="1"/>
    <x v="15"/>
    <x v="15"/>
    <x v="12"/>
  </r>
  <r>
    <x v="839"/>
    <x v="97"/>
    <x v="1"/>
    <x v="1"/>
    <x v="0"/>
    <x v="1"/>
    <x v="86"/>
    <x v="226"/>
    <x v="0"/>
    <x v="36"/>
    <x v="36"/>
    <x v="1"/>
  </r>
  <r>
    <x v="840"/>
    <x v="177"/>
    <x v="1"/>
    <x v="1"/>
    <x v="0"/>
    <x v="1"/>
    <x v="115"/>
    <x v="227"/>
    <x v="3"/>
    <x v="90"/>
    <x v="90"/>
    <x v="1"/>
  </r>
  <r>
    <x v="841"/>
    <x v="173"/>
    <x v="0"/>
    <x v="24"/>
    <x v="0"/>
    <x v="47"/>
    <x v="145"/>
    <x v="227"/>
    <x v="1"/>
    <x v="53"/>
    <x v="53"/>
    <x v="24"/>
  </r>
  <r>
    <x v="842"/>
    <x v="105"/>
    <x v="0"/>
    <x v="0"/>
    <x v="0"/>
    <x v="15"/>
    <x v="94"/>
    <x v="227"/>
    <x v="1"/>
    <x v="93"/>
    <x v="93"/>
    <x v="0"/>
  </r>
  <r>
    <x v="843"/>
    <x v="45"/>
    <x v="3"/>
    <x v="13"/>
    <x v="2"/>
    <x v="27"/>
    <x v="44"/>
    <x v="227"/>
    <x v="3"/>
    <x v="68"/>
    <x v="68"/>
    <x v="13"/>
  </r>
  <r>
    <x v="844"/>
    <x v="56"/>
    <x v="2"/>
    <x v="3"/>
    <x v="2"/>
    <x v="5"/>
    <x v="53"/>
    <x v="227"/>
    <x v="1"/>
    <x v="5"/>
    <x v="5"/>
    <x v="3"/>
  </r>
  <r>
    <x v="845"/>
    <x v="78"/>
    <x v="0"/>
    <x v="10"/>
    <x v="0"/>
    <x v="11"/>
    <x v="72"/>
    <x v="228"/>
    <x v="1"/>
    <x v="94"/>
    <x v="94"/>
    <x v="10"/>
  </r>
  <r>
    <x v="846"/>
    <x v="115"/>
    <x v="0"/>
    <x v="18"/>
    <x v="2"/>
    <x v="25"/>
    <x v="100"/>
    <x v="228"/>
    <x v="3"/>
    <x v="28"/>
    <x v="28"/>
    <x v="18"/>
  </r>
  <r>
    <x v="847"/>
    <x v="17"/>
    <x v="2"/>
    <x v="15"/>
    <x v="0"/>
    <x v="46"/>
    <x v="17"/>
    <x v="228"/>
    <x v="1"/>
    <x v="88"/>
    <x v="88"/>
    <x v="15"/>
  </r>
  <r>
    <x v="848"/>
    <x v="109"/>
    <x v="1"/>
    <x v="1"/>
    <x v="2"/>
    <x v="33"/>
    <x v="79"/>
    <x v="228"/>
    <x v="0"/>
    <x v="36"/>
    <x v="36"/>
    <x v="1"/>
  </r>
  <r>
    <x v="849"/>
    <x v="137"/>
    <x v="3"/>
    <x v="14"/>
    <x v="1"/>
    <x v="19"/>
    <x v="118"/>
    <x v="228"/>
    <x v="0"/>
    <x v="86"/>
    <x v="86"/>
    <x v="14"/>
  </r>
  <r>
    <x v="850"/>
    <x v="123"/>
    <x v="1"/>
    <x v="22"/>
    <x v="3"/>
    <x v="40"/>
    <x v="106"/>
    <x v="229"/>
    <x v="2"/>
    <x v="38"/>
    <x v="38"/>
    <x v="22"/>
  </r>
  <r>
    <x v="851"/>
    <x v="164"/>
    <x v="3"/>
    <x v="20"/>
    <x v="2"/>
    <x v="31"/>
    <x v="141"/>
    <x v="229"/>
    <x v="3"/>
    <x v="32"/>
    <x v="32"/>
    <x v="20"/>
  </r>
  <r>
    <x v="852"/>
    <x v="177"/>
    <x v="4"/>
    <x v="21"/>
    <x v="0"/>
    <x v="32"/>
    <x v="115"/>
    <x v="230"/>
    <x v="1"/>
    <x v="35"/>
    <x v="35"/>
    <x v="21"/>
  </r>
  <r>
    <x v="853"/>
    <x v="169"/>
    <x v="3"/>
    <x v="14"/>
    <x v="3"/>
    <x v="45"/>
    <x v="114"/>
    <x v="230"/>
    <x v="3"/>
    <x v="22"/>
    <x v="22"/>
    <x v="14"/>
  </r>
  <r>
    <x v="854"/>
    <x v="6"/>
    <x v="4"/>
    <x v="17"/>
    <x v="3"/>
    <x v="30"/>
    <x v="6"/>
    <x v="230"/>
    <x v="0"/>
    <x v="61"/>
    <x v="61"/>
    <x v="17"/>
  </r>
  <r>
    <x v="855"/>
    <x v="141"/>
    <x v="3"/>
    <x v="14"/>
    <x v="2"/>
    <x v="45"/>
    <x v="121"/>
    <x v="230"/>
    <x v="3"/>
    <x v="22"/>
    <x v="22"/>
    <x v="14"/>
  </r>
  <r>
    <x v="856"/>
    <x v="148"/>
    <x v="2"/>
    <x v="15"/>
    <x v="3"/>
    <x v="46"/>
    <x v="128"/>
    <x v="230"/>
    <x v="1"/>
    <x v="88"/>
    <x v="88"/>
    <x v="15"/>
  </r>
  <r>
    <x v="857"/>
    <x v="91"/>
    <x v="3"/>
    <x v="8"/>
    <x v="1"/>
    <x v="43"/>
    <x v="82"/>
    <x v="231"/>
    <x v="1"/>
    <x v="19"/>
    <x v="19"/>
    <x v="8"/>
  </r>
  <r>
    <x v="858"/>
    <x v="20"/>
    <x v="1"/>
    <x v="19"/>
    <x v="3"/>
    <x v="28"/>
    <x v="20"/>
    <x v="231"/>
    <x v="1"/>
    <x v="46"/>
    <x v="46"/>
    <x v="19"/>
  </r>
  <r>
    <x v="859"/>
    <x v="20"/>
    <x v="0"/>
    <x v="10"/>
    <x v="3"/>
    <x v="18"/>
    <x v="20"/>
    <x v="231"/>
    <x v="1"/>
    <x v="94"/>
    <x v="94"/>
    <x v="10"/>
  </r>
  <r>
    <x v="860"/>
    <x v="27"/>
    <x v="4"/>
    <x v="17"/>
    <x v="0"/>
    <x v="30"/>
    <x v="26"/>
    <x v="231"/>
    <x v="2"/>
    <x v="33"/>
    <x v="33"/>
    <x v="17"/>
  </r>
  <r>
    <x v="861"/>
    <x v="158"/>
    <x v="0"/>
    <x v="10"/>
    <x v="3"/>
    <x v="11"/>
    <x v="137"/>
    <x v="231"/>
    <x v="3"/>
    <x v="12"/>
    <x v="12"/>
    <x v="10"/>
  </r>
  <r>
    <x v="862"/>
    <x v="77"/>
    <x v="0"/>
    <x v="0"/>
    <x v="2"/>
    <x v="15"/>
    <x v="28"/>
    <x v="231"/>
    <x v="3"/>
    <x v="98"/>
    <x v="98"/>
    <x v="0"/>
  </r>
  <r>
    <x v="863"/>
    <x v="44"/>
    <x v="2"/>
    <x v="23"/>
    <x v="3"/>
    <x v="49"/>
    <x v="43"/>
    <x v="232"/>
    <x v="2"/>
    <x v="69"/>
    <x v="69"/>
    <x v="23"/>
  </r>
  <r>
    <x v="864"/>
    <x v="77"/>
    <x v="3"/>
    <x v="20"/>
    <x v="2"/>
    <x v="29"/>
    <x v="28"/>
    <x v="232"/>
    <x v="0"/>
    <x v="66"/>
    <x v="66"/>
    <x v="20"/>
  </r>
  <r>
    <x v="865"/>
    <x v="56"/>
    <x v="0"/>
    <x v="10"/>
    <x v="2"/>
    <x v="11"/>
    <x v="53"/>
    <x v="232"/>
    <x v="2"/>
    <x v="26"/>
    <x v="26"/>
    <x v="10"/>
  </r>
  <r>
    <x v="866"/>
    <x v="28"/>
    <x v="1"/>
    <x v="19"/>
    <x v="0"/>
    <x v="38"/>
    <x v="27"/>
    <x v="233"/>
    <x v="0"/>
    <x v="30"/>
    <x v="30"/>
    <x v="19"/>
  </r>
  <r>
    <x v="867"/>
    <x v="139"/>
    <x v="2"/>
    <x v="4"/>
    <x v="3"/>
    <x v="4"/>
    <x v="31"/>
    <x v="233"/>
    <x v="3"/>
    <x v="4"/>
    <x v="4"/>
    <x v="4"/>
  </r>
  <r>
    <x v="868"/>
    <x v="87"/>
    <x v="4"/>
    <x v="11"/>
    <x v="2"/>
    <x v="26"/>
    <x v="79"/>
    <x v="233"/>
    <x v="0"/>
    <x v="76"/>
    <x v="76"/>
    <x v="11"/>
  </r>
  <r>
    <x v="869"/>
    <x v="124"/>
    <x v="3"/>
    <x v="20"/>
    <x v="1"/>
    <x v="31"/>
    <x v="107"/>
    <x v="233"/>
    <x v="3"/>
    <x v="32"/>
    <x v="32"/>
    <x v="20"/>
  </r>
  <r>
    <x v="870"/>
    <x v="52"/>
    <x v="1"/>
    <x v="22"/>
    <x v="0"/>
    <x v="40"/>
    <x v="49"/>
    <x v="233"/>
    <x v="2"/>
    <x v="38"/>
    <x v="38"/>
    <x v="22"/>
  </r>
  <r>
    <x v="871"/>
    <x v="139"/>
    <x v="3"/>
    <x v="13"/>
    <x v="3"/>
    <x v="27"/>
    <x v="31"/>
    <x v="234"/>
    <x v="3"/>
    <x v="68"/>
    <x v="68"/>
    <x v="13"/>
  </r>
  <r>
    <x v="872"/>
    <x v="157"/>
    <x v="1"/>
    <x v="6"/>
    <x v="2"/>
    <x v="7"/>
    <x v="136"/>
    <x v="234"/>
    <x v="2"/>
    <x v="83"/>
    <x v="83"/>
    <x v="6"/>
  </r>
  <r>
    <x v="873"/>
    <x v="36"/>
    <x v="4"/>
    <x v="12"/>
    <x v="2"/>
    <x v="14"/>
    <x v="35"/>
    <x v="234"/>
    <x v="0"/>
    <x v="87"/>
    <x v="87"/>
    <x v="12"/>
  </r>
  <r>
    <x v="874"/>
    <x v="151"/>
    <x v="0"/>
    <x v="0"/>
    <x v="0"/>
    <x v="15"/>
    <x v="131"/>
    <x v="234"/>
    <x v="0"/>
    <x v="0"/>
    <x v="0"/>
    <x v="0"/>
  </r>
  <r>
    <x v="875"/>
    <x v="69"/>
    <x v="0"/>
    <x v="0"/>
    <x v="1"/>
    <x v="15"/>
    <x v="66"/>
    <x v="234"/>
    <x v="1"/>
    <x v="93"/>
    <x v="93"/>
    <x v="0"/>
  </r>
  <r>
    <x v="876"/>
    <x v="146"/>
    <x v="3"/>
    <x v="14"/>
    <x v="1"/>
    <x v="19"/>
    <x v="126"/>
    <x v="235"/>
    <x v="3"/>
    <x v="22"/>
    <x v="22"/>
    <x v="14"/>
  </r>
  <r>
    <x v="877"/>
    <x v="28"/>
    <x v="1"/>
    <x v="19"/>
    <x v="0"/>
    <x v="28"/>
    <x v="27"/>
    <x v="236"/>
    <x v="2"/>
    <x v="95"/>
    <x v="95"/>
    <x v="19"/>
  </r>
  <r>
    <x v="878"/>
    <x v="109"/>
    <x v="2"/>
    <x v="15"/>
    <x v="2"/>
    <x v="20"/>
    <x v="79"/>
    <x v="236"/>
    <x v="3"/>
    <x v="72"/>
    <x v="72"/>
    <x v="15"/>
  </r>
  <r>
    <x v="879"/>
    <x v="21"/>
    <x v="2"/>
    <x v="3"/>
    <x v="2"/>
    <x v="5"/>
    <x v="21"/>
    <x v="236"/>
    <x v="3"/>
    <x v="3"/>
    <x v="3"/>
    <x v="3"/>
  </r>
  <r>
    <x v="880"/>
    <x v="81"/>
    <x v="0"/>
    <x v="5"/>
    <x v="2"/>
    <x v="12"/>
    <x v="74"/>
    <x v="237"/>
    <x v="1"/>
    <x v="99"/>
    <x v="99"/>
    <x v="5"/>
  </r>
  <r>
    <x v="881"/>
    <x v="151"/>
    <x v="0"/>
    <x v="18"/>
    <x v="0"/>
    <x v="39"/>
    <x v="131"/>
    <x v="237"/>
    <x v="3"/>
    <x v="28"/>
    <x v="28"/>
    <x v="18"/>
  </r>
  <r>
    <x v="882"/>
    <x v="158"/>
    <x v="1"/>
    <x v="7"/>
    <x v="3"/>
    <x v="34"/>
    <x v="137"/>
    <x v="237"/>
    <x v="2"/>
    <x v="82"/>
    <x v="82"/>
    <x v="7"/>
  </r>
  <r>
    <x v="883"/>
    <x v="162"/>
    <x v="4"/>
    <x v="9"/>
    <x v="3"/>
    <x v="23"/>
    <x v="126"/>
    <x v="237"/>
    <x v="1"/>
    <x v="29"/>
    <x v="29"/>
    <x v="9"/>
  </r>
  <r>
    <x v="884"/>
    <x v="118"/>
    <x v="4"/>
    <x v="12"/>
    <x v="3"/>
    <x v="17"/>
    <x v="103"/>
    <x v="238"/>
    <x v="1"/>
    <x v="15"/>
    <x v="15"/>
    <x v="12"/>
  </r>
  <r>
    <x v="885"/>
    <x v="68"/>
    <x v="1"/>
    <x v="19"/>
    <x v="0"/>
    <x v="28"/>
    <x v="65"/>
    <x v="238"/>
    <x v="0"/>
    <x v="30"/>
    <x v="30"/>
    <x v="19"/>
  </r>
  <r>
    <x v="886"/>
    <x v="130"/>
    <x v="0"/>
    <x v="24"/>
    <x v="2"/>
    <x v="47"/>
    <x v="111"/>
    <x v="239"/>
    <x v="1"/>
    <x v="53"/>
    <x v="53"/>
    <x v="24"/>
  </r>
  <r>
    <x v="887"/>
    <x v="174"/>
    <x v="2"/>
    <x v="15"/>
    <x v="2"/>
    <x v="46"/>
    <x v="146"/>
    <x v="239"/>
    <x v="3"/>
    <x v="72"/>
    <x v="72"/>
    <x v="15"/>
  </r>
  <r>
    <x v="888"/>
    <x v="51"/>
    <x v="3"/>
    <x v="14"/>
    <x v="0"/>
    <x v="19"/>
    <x v="40"/>
    <x v="239"/>
    <x v="2"/>
    <x v="40"/>
    <x v="40"/>
    <x v="14"/>
  </r>
  <r>
    <x v="889"/>
    <x v="176"/>
    <x v="3"/>
    <x v="20"/>
    <x v="0"/>
    <x v="29"/>
    <x v="62"/>
    <x v="239"/>
    <x v="0"/>
    <x v="66"/>
    <x v="66"/>
    <x v="20"/>
  </r>
  <r>
    <x v="890"/>
    <x v="86"/>
    <x v="3"/>
    <x v="14"/>
    <x v="2"/>
    <x v="45"/>
    <x v="69"/>
    <x v="239"/>
    <x v="0"/>
    <x v="86"/>
    <x v="86"/>
    <x v="14"/>
  </r>
  <r>
    <x v="891"/>
    <x v="61"/>
    <x v="3"/>
    <x v="13"/>
    <x v="2"/>
    <x v="27"/>
    <x v="58"/>
    <x v="239"/>
    <x v="2"/>
    <x v="17"/>
    <x v="17"/>
    <x v="13"/>
  </r>
  <r>
    <x v="892"/>
    <x v="89"/>
    <x v="2"/>
    <x v="15"/>
    <x v="2"/>
    <x v="20"/>
    <x v="80"/>
    <x v="240"/>
    <x v="0"/>
    <x v="23"/>
    <x v="23"/>
    <x v="15"/>
  </r>
  <r>
    <x v="893"/>
    <x v="26"/>
    <x v="1"/>
    <x v="6"/>
    <x v="2"/>
    <x v="37"/>
    <x v="12"/>
    <x v="240"/>
    <x v="3"/>
    <x v="91"/>
    <x v="91"/>
    <x v="6"/>
  </r>
  <r>
    <x v="894"/>
    <x v="77"/>
    <x v="0"/>
    <x v="5"/>
    <x v="2"/>
    <x v="6"/>
    <x v="28"/>
    <x v="240"/>
    <x v="0"/>
    <x v="13"/>
    <x v="13"/>
    <x v="5"/>
  </r>
  <r>
    <x v="895"/>
    <x v="53"/>
    <x v="4"/>
    <x v="11"/>
    <x v="0"/>
    <x v="26"/>
    <x v="50"/>
    <x v="241"/>
    <x v="2"/>
    <x v="20"/>
    <x v="20"/>
    <x v="11"/>
  </r>
  <r>
    <x v="896"/>
    <x v="53"/>
    <x v="3"/>
    <x v="13"/>
    <x v="0"/>
    <x v="16"/>
    <x v="50"/>
    <x v="241"/>
    <x v="0"/>
    <x v="92"/>
    <x v="92"/>
    <x v="13"/>
  </r>
  <r>
    <x v="897"/>
    <x v="78"/>
    <x v="0"/>
    <x v="10"/>
    <x v="0"/>
    <x v="18"/>
    <x v="72"/>
    <x v="241"/>
    <x v="0"/>
    <x v="21"/>
    <x v="21"/>
    <x v="10"/>
  </r>
  <r>
    <x v="898"/>
    <x v="68"/>
    <x v="4"/>
    <x v="12"/>
    <x v="0"/>
    <x v="14"/>
    <x v="65"/>
    <x v="241"/>
    <x v="1"/>
    <x v="15"/>
    <x v="15"/>
    <x v="12"/>
  </r>
  <r>
    <x v="899"/>
    <x v="56"/>
    <x v="3"/>
    <x v="16"/>
    <x v="2"/>
    <x v="21"/>
    <x v="53"/>
    <x v="241"/>
    <x v="0"/>
    <x v="24"/>
    <x v="24"/>
    <x v="16"/>
  </r>
  <r>
    <x v="900"/>
    <x v="161"/>
    <x v="1"/>
    <x v="6"/>
    <x v="2"/>
    <x v="37"/>
    <x v="140"/>
    <x v="242"/>
    <x v="2"/>
    <x v="83"/>
    <x v="83"/>
    <x v="6"/>
  </r>
  <r>
    <x v="901"/>
    <x v="156"/>
    <x v="2"/>
    <x v="4"/>
    <x v="2"/>
    <x v="24"/>
    <x v="135"/>
    <x v="242"/>
    <x v="0"/>
    <x v="44"/>
    <x v="44"/>
    <x v="4"/>
  </r>
  <r>
    <x v="902"/>
    <x v="115"/>
    <x v="4"/>
    <x v="12"/>
    <x v="2"/>
    <x v="17"/>
    <x v="100"/>
    <x v="242"/>
    <x v="2"/>
    <x v="47"/>
    <x v="47"/>
    <x v="12"/>
  </r>
  <r>
    <x v="903"/>
    <x v="141"/>
    <x v="2"/>
    <x v="2"/>
    <x v="2"/>
    <x v="2"/>
    <x v="121"/>
    <x v="242"/>
    <x v="2"/>
    <x v="2"/>
    <x v="2"/>
    <x v="2"/>
  </r>
  <r>
    <x v="904"/>
    <x v="55"/>
    <x v="4"/>
    <x v="9"/>
    <x v="2"/>
    <x v="23"/>
    <x v="52"/>
    <x v="243"/>
    <x v="0"/>
    <x v="39"/>
    <x v="39"/>
    <x v="9"/>
  </r>
  <r>
    <x v="905"/>
    <x v="125"/>
    <x v="1"/>
    <x v="6"/>
    <x v="1"/>
    <x v="7"/>
    <x v="106"/>
    <x v="243"/>
    <x v="1"/>
    <x v="8"/>
    <x v="8"/>
    <x v="6"/>
  </r>
  <r>
    <x v="906"/>
    <x v="162"/>
    <x v="1"/>
    <x v="6"/>
    <x v="3"/>
    <x v="37"/>
    <x v="126"/>
    <x v="243"/>
    <x v="2"/>
    <x v="83"/>
    <x v="83"/>
    <x v="6"/>
  </r>
  <r>
    <x v="907"/>
    <x v="99"/>
    <x v="4"/>
    <x v="11"/>
    <x v="1"/>
    <x v="13"/>
    <x v="88"/>
    <x v="243"/>
    <x v="2"/>
    <x v="20"/>
    <x v="20"/>
    <x v="11"/>
  </r>
  <r>
    <x v="908"/>
    <x v="92"/>
    <x v="4"/>
    <x v="21"/>
    <x v="2"/>
    <x v="32"/>
    <x v="43"/>
    <x v="244"/>
    <x v="0"/>
    <x v="64"/>
    <x v="64"/>
    <x v="21"/>
  </r>
  <r>
    <x v="909"/>
    <x v="76"/>
    <x v="1"/>
    <x v="6"/>
    <x v="2"/>
    <x v="7"/>
    <x v="71"/>
    <x v="244"/>
    <x v="0"/>
    <x v="42"/>
    <x v="42"/>
    <x v="6"/>
  </r>
  <r>
    <x v="910"/>
    <x v="168"/>
    <x v="4"/>
    <x v="11"/>
    <x v="2"/>
    <x v="13"/>
    <x v="142"/>
    <x v="245"/>
    <x v="0"/>
    <x v="76"/>
    <x v="76"/>
    <x v="11"/>
  </r>
  <r>
    <x v="911"/>
    <x v="147"/>
    <x v="1"/>
    <x v="6"/>
    <x v="0"/>
    <x v="37"/>
    <x v="127"/>
    <x v="245"/>
    <x v="1"/>
    <x v="8"/>
    <x v="8"/>
    <x v="6"/>
  </r>
  <r>
    <x v="912"/>
    <x v="36"/>
    <x v="0"/>
    <x v="18"/>
    <x v="2"/>
    <x v="39"/>
    <x v="35"/>
    <x v="245"/>
    <x v="0"/>
    <x v="78"/>
    <x v="78"/>
    <x v="18"/>
  </r>
  <r>
    <x v="913"/>
    <x v="2"/>
    <x v="2"/>
    <x v="3"/>
    <x v="0"/>
    <x v="3"/>
    <x v="2"/>
    <x v="245"/>
    <x v="3"/>
    <x v="3"/>
    <x v="3"/>
    <x v="3"/>
  </r>
  <r>
    <x v="914"/>
    <x v="114"/>
    <x v="0"/>
    <x v="0"/>
    <x v="1"/>
    <x v="0"/>
    <x v="99"/>
    <x v="245"/>
    <x v="3"/>
    <x v="98"/>
    <x v="98"/>
    <x v="0"/>
  </r>
  <r>
    <x v="915"/>
    <x v="154"/>
    <x v="1"/>
    <x v="6"/>
    <x v="0"/>
    <x v="7"/>
    <x v="133"/>
    <x v="245"/>
    <x v="3"/>
    <x v="91"/>
    <x v="91"/>
    <x v="6"/>
  </r>
  <r>
    <x v="916"/>
    <x v="145"/>
    <x v="0"/>
    <x v="0"/>
    <x v="0"/>
    <x v="15"/>
    <x v="125"/>
    <x v="245"/>
    <x v="3"/>
    <x v="98"/>
    <x v="98"/>
    <x v="0"/>
  </r>
  <r>
    <x v="917"/>
    <x v="117"/>
    <x v="4"/>
    <x v="21"/>
    <x v="2"/>
    <x v="32"/>
    <x v="102"/>
    <x v="246"/>
    <x v="2"/>
    <x v="43"/>
    <x v="43"/>
    <x v="21"/>
  </r>
  <r>
    <x v="918"/>
    <x v="36"/>
    <x v="3"/>
    <x v="16"/>
    <x v="2"/>
    <x v="21"/>
    <x v="35"/>
    <x v="247"/>
    <x v="2"/>
    <x v="59"/>
    <x v="59"/>
    <x v="16"/>
  </r>
  <r>
    <x v="919"/>
    <x v="177"/>
    <x v="4"/>
    <x v="17"/>
    <x v="0"/>
    <x v="30"/>
    <x v="115"/>
    <x v="248"/>
    <x v="1"/>
    <x v="58"/>
    <x v="58"/>
    <x v="17"/>
  </r>
  <r>
    <x v="920"/>
    <x v="163"/>
    <x v="0"/>
    <x v="10"/>
    <x v="2"/>
    <x v="18"/>
    <x v="35"/>
    <x v="248"/>
    <x v="1"/>
    <x v="94"/>
    <x v="94"/>
    <x v="10"/>
  </r>
  <r>
    <x v="921"/>
    <x v="117"/>
    <x v="3"/>
    <x v="20"/>
    <x v="2"/>
    <x v="29"/>
    <x v="102"/>
    <x v="248"/>
    <x v="2"/>
    <x v="45"/>
    <x v="45"/>
    <x v="20"/>
  </r>
  <r>
    <x v="922"/>
    <x v="152"/>
    <x v="4"/>
    <x v="21"/>
    <x v="2"/>
    <x v="44"/>
    <x v="132"/>
    <x v="248"/>
    <x v="1"/>
    <x v="35"/>
    <x v="35"/>
    <x v="21"/>
  </r>
  <r>
    <x v="923"/>
    <x v="73"/>
    <x v="3"/>
    <x v="16"/>
    <x v="0"/>
    <x v="21"/>
    <x v="68"/>
    <x v="248"/>
    <x v="0"/>
    <x v="24"/>
    <x v="24"/>
    <x v="16"/>
  </r>
  <r>
    <x v="924"/>
    <x v="87"/>
    <x v="4"/>
    <x v="12"/>
    <x v="2"/>
    <x v="14"/>
    <x v="79"/>
    <x v="249"/>
    <x v="0"/>
    <x v="87"/>
    <x v="87"/>
    <x v="12"/>
  </r>
  <r>
    <x v="925"/>
    <x v="134"/>
    <x v="4"/>
    <x v="9"/>
    <x v="0"/>
    <x v="10"/>
    <x v="115"/>
    <x v="249"/>
    <x v="3"/>
    <x v="11"/>
    <x v="11"/>
    <x v="9"/>
  </r>
  <r>
    <x v="926"/>
    <x v="118"/>
    <x v="4"/>
    <x v="12"/>
    <x v="3"/>
    <x v="14"/>
    <x v="103"/>
    <x v="249"/>
    <x v="1"/>
    <x v="15"/>
    <x v="15"/>
    <x v="12"/>
  </r>
  <r>
    <x v="927"/>
    <x v="142"/>
    <x v="4"/>
    <x v="17"/>
    <x v="1"/>
    <x v="30"/>
    <x v="122"/>
    <x v="249"/>
    <x v="3"/>
    <x v="25"/>
    <x v="25"/>
    <x v="17"/>
  </r>
  <r>
    <x v="928"/>
    <x v="64"/>
    <x v="2"/>
    <x v="23"/>
    <x v="2"/>
    <x v="49"/>
    <x v="61"/>
    <x v="250"/>
    <x v="0"/>
    <x v="41"/>
    <x v="41"/>
    <x v="23"/>
  </r>
  <r>
    <x v="929"/>
    <x v="165"/>
    <x v="4"/>
    <x v="12"/>
    <x v="2"/>
    <x v="14"/>
    <x v="67"/>
    <x v="250"/>
    <x v="1"/>
    <x v="15"/>
    <x v="15"/>
    <x v="12"/>
  </r>
  <r>
    <x v="930"/>
    <x v="158"/>
    <x v="4"/>
    <x v="9"/>
    <x v="3"/>
    <x v="10"/>
    <x v="137"/>
    <x v="250"/>
    <x v="3"/>
    <x v="11"/>
    <x v="11"/>
    <x v="9"/>
  </r>
  <r>
    <x v="931"/>
    <x v="116"/>
    <x v="4"/>
    <x v="17"/>
    <x v="3"/>
    <x v="30"/>
    <x v="101"/>
    <x v="250"/>
    <x v="1"/>
    <x v="58"/>
    <x v="58"/>
    <x v="17"/>
  </r>
  <r>
    <x v="932"/>
    <x v="88"/>
    <x v="2"/>
    <x v="23"/>
    <x v="2"/>
    <x v="49"/>
    <x v="12"/>
    <x v="251"/>
    <x v="0"/>
    <x v="41"/>
    <x v="41"/>
    <x v="23"/>
  </r>
  <r>
    <x v="933"/>
    <x v="52"/>
    <x v="1"/>
    <x v="1"/>
    <x v="0"/>
    <x v="33"/>
    <x v="49"/>
    <x v="251"/>
    <x v="1"/>
    <x v="1"/>
    <x v="1"/>
    <x v="1"/>
  </r>
  <r>
    <x v="934"/>
    <x v="69"/>
    <x v="0"/>
    <x v="10"/>
    <x v="1"/>
    <x v="11"/>
    <x v="66"/>
    <x v="251"/>
    <x v="2"/>
    <x v="26"/>
    <x v="26"/>
    <x v="10"/>
  </r>
  <r>
    <x v="935"/>
    <x v="76"/>
    <x v="3"/>
    <x v="16"/>
    <x v="2"/>
    <x v="41"/>
    <x v="71"/>
    <x v="251"/>
    <x v="3"/>
    <x v="81"/>
    <x v="81"/>
    <x v="16"/>
  </r>
  <r>
    <x v="936"/>
    <x v="114"/>
    <x v="2"/>
    <x v="15"/>
    <x v="1"/>
    <x v="20"/>
    <x v="99"/>
    <x v="251"/>
    <x v="2"/>
    <x v="80"/>
    <x v="80"/>
    <x v="15"/>
  </r>
  <r>
    <x v="937"/>
    <x v="39"/>
    <x v="4"/>
    <x v="12"/>
    <x v="0"/>
    <x v="17"/>
    <x v="38"/>
    <x v="252"/>
    <x v="3"/>
    <x v="16"/>
    <x v="16"/>
    <x v="12"/>
  </r>
  <r>
    <x v="938"/>
    <x v="52"/>
    <x v="2"/>
    <x v="3"/>
    <x v="0"/>
    <x v="5"/>
    <x v="49"/>
    <x v="252"/>
    <x v="0"/>
    <x v="74"/>
    <x v="74"/>
    <x v="3"/>
  </r>
  <r>
    <x v="939"/>
    <x v="176"/>
    <x v="0"/>
    <x v="5"/>
    <x v="0"/>
    <x v="12"/>
    <x v="62"/>
    <x v="252"/>
    <x v="1"/>
    <x v="99"/>
    <x v="99"/>
    <x v="5"/>
  </r>
  <r>
    <x v="940"/>
    <x v="160"/>
    <x v="1"/>
    <x v="6"/>
    <x v="2"/>
    <x v="7"/>
    <x v="139"/>
    <x v="252"/>
    <x v="0"/>
    <x v="42"/>
    <x v="42"/>
    <x v="6"/>
  </r>
  <r>
    <x v="941"/>
    <x v="7"/>
    <x v="3"/>
    <x v="20"/>
    <x v="0"/>
    <x v="31"/>
    <x v="7"/>
    <x v="252"/>
    <x v="1"/>
    <x v="49"/>
    <x v="49"/>
    <x v="20"/>
  </r>
  <r>
    <x v="942"/>
    <x v="72"/>
    <x v="1"/>
    <x v="22"/>
    <x v="2"/>
    <x v="35"/>
    <x v="67"/>
    <x v="253"/>
    <x v="2"/>
    <x v="38"/>
    <x v="38"/>
    <x v="22"/>
  </r>
  <r>
    <x v="943"/>
    <x v="111"/>
    <x v="3"/>
    <x v="20"/>
    <x v="0"/>
    <x v="29"/>
    <x v="19"/>
    <x v="253"/>
    <x v="2"/>
    <x v="45"/>
    <x v="45"/>
    <x v="20"/>
  </r>
  <r>
    <x v="944"/>
    <x v="169"/>
    <x v="2"/>
    <x v="2"/>
    <x v="3"/>
    <x v="2"/>
    <x v="114"/>
    <x v="253"/>
    <x v="3"/>
    <x v="34"/>
    <x v="34"/>
    <x v="2"/>
  </r>
  <r>
    <x v="945"/>
    <x v="67"/>
    <x v="4"/>
    <x v="17"/>
    <x v="0"/>
    <x v="30"/>
    <x v="64"/>
    <x v="254"/>
    <x v="0"/>
    <x v="61"/>
    <x v="61"/>
    <x v="17"/>
  </r>
  <r>
    <x v="946"/>
    <x v="103"/>
    <x v="2"/>
    <x v="3"/>
    <x v="1"/>
    <x v="3"/>
    <x v="92"/>
    <x v="254"/>
    <x v="3"/>
    <x v="3"/>
    <x v="3"/>
    <x v="3"/>
  </r>
  <r>
    <x v="947"/>
    <x v="73"/>
    <x v="1"/>
    <x v="19"/>
    <x v="0"/>
    <x v="28"/>
    <x v="68"/>
    <x v="254"/>
    <x v="2"/>
    <x v="95"/>
    <x v="95"/>
    <x v="19"/>
  </r>
  <r>
    <x v="948"/>
    <x v="97"/>
    <x v="0"/>
    <x v="18"/>
    <x v="0"/>
    <x v="39"/>
    <x v="86"/>
    <x v="254"/>
    <x v="3"/>
    <x v="28"/>
    <x v="28"/>
    <x v="18"/>
  </r>
  <r>
    <x v="949"/>
    <x v="24"/>
    <x v="3"/>
    <x v="16"/>
    <x v="2"/>
    <x v="21"/>
    <x v="24"/>
    <x v="254"/>
    <x v="0"/>
    <x v="24"/>
    <x v="24"/>
    <x v="16"/>
  </r>
  <r>
    <x v="950"/>
    <x v="102"/>
    <x v="2"/>
    <x v="3"/>
    <x v="0"/>
    <x v="3"/>
    <x v="91"/>
    <x v="255"/>
    <x v="0"/>
    <x v="74"/>
    <x v="74"/>
    <x v="3"/>
  </r>
  <r>
    <x v="951"/>
    <x v="133"/>
    <x v="2"/>
    <x v="15"/>
    <x v="0"/>
    <x v="20"/>
    <x v="114"/>
    <x v="255"/>
    <x v="2"/>
    <x v="80"/>
    <x v="80"/>
    <x v="15"/>
  </r>
  <r>
    <x v="952"/>
    <x v="134"/>
    <x v="2"/>
    <x v="2"/>
    <x v="0"/>
    <x v="2"/>
    <x v="115"/>
    <x v="255"/>
    <x v="3"/>
    <x v="34"/>
    <x v="34"/>
    <x v="2"/>
  </r>
  <r>
    <x v="953"/>
    <x v="27"/>
    <x v="0"/>
    <x v="0"/>
    <x v="0"/>
    <x v="0"/>
    <x v="26"/>
    <x v="255"/>
    <x v="1"/>
    <x v="93"/>
    <x v="93"/>
    <x v="0"/>
  </r>
  <r>
    <x v="954"/>
    <x v="76"/>
    <x v="4"/>
    <x v="11"/>
    <x v="2"/>
    <x v="13"/>
    <x v="71"/>
    <x v="255"/>
    <x v="1"/>
    <x v="89"/>
    <x v="89"/>
    <x v="11"/>
  </r>
  <r>
    <x v="955"/>
    <x v="58"/>
    <x v="1"/>
    <x v="1"/>
    <x v="0"/>
    <x v="1"/>
    <x v="55"/>
    <x v="255"/>
    <x v="1"/>
    <x v="1"/>
    <x v="1"/>
    <x v="1"/>
  </r>
  <r>
    <x v="956"/>
    <x v="50"/>
    <x v="2"/>
    <x v="4"/>
    <x v="2"/>
    <x v="4"/>
    <x v="48"/>
    <x v="256"/>
    <x v="3"/>
    <x v="4"/>
    <x v="4"/>
    <x v="4"/>
  </r>
  <r>
    <x v="957"/>
    <x v="73"/>
    <x v="2"/>
    <x v="4"/>
    <x v="0"/>
    <x v="4"/>
    <x v="68"/>
    <x v="256"/>
    <x v="3"/>
    <x v="4"/>
    <x v="4"/>
    <x v="4"/>
  </r>
  <r>
    <x v="958"/>
    <x v="27"/>
    <x v="2"/>
    <x v="15"/>
    <x v="0"/>
    <x v="20"/>
    <x v="26"/>
    <x v="256"/>
    <x v="3"/>
    <x v="72"/>
    <x v="72"/>
    <x v="15"/>
  </r>
  <r>
    <x v="959"/>
    <x v="103"/>
    <x v="3"/>
    <x v="13"/>
    <x v="1"/>
    <x v="27"/>
    <x v="92"/>
    <x v="257"/>
    <x v="0"/>
    <x v="92"/>
    <x v="92"/>
    <x v="13"/>
  </r>
  <r>
    <x v="960"/>
    <x v="17"/>
    <x v="4"/>
    <x v="21"/>
    <x v="0"/>
    <x v="32"/>
    <x v="17"/>
    <x v="257"/>
    <x v="0"/>
    <x v="64"/>
    <x v="64"/>
    <x v="21"/>
  </r>
  <r>
    <x v="961"/>
    <x v="101"/>
    <x v="3"/>
    <x v="16"/>
    <x v="3"/>
    <x v="41"/>
    <x v="90"/>
    <x v="257"/>
    <x v="0"/>
    <x v="24"/>
    <x v="24"/>
    <x v="16"/>
  </r>
  <r>
    <x v="962"/>
    <x v="34"/>
    <x v="0"/>
    <x v="24"/>
    <x v="0"/>
    <x v="42"/>
    <x v="33"/>
    <x v="257"/>
    <x v="3"/>
    <x v="77"/>
    <x v="77"/>
    <x v="24"/>
  </r>
  <r>
    <x v="963"/>
    <x v="99"/>
    <x v="3"/>
    <x v="14"/>
    <x v="1"/>
    <x v="19"/>
    <x v="88"/>
    <x v="257"/>
    <x v="2"/>
    <x v="40"/>
    <x v="40"/>
    <x v="14"/>
  </r>
  <r>
    <x v="964"/>
    <x v="173"/>
    <x v="4"/>
    <x v="9"/>
    <x v="0"/>
    <x v="23"/>
    <x v="145"/>
    <x v="258"/>
    <x v="3"/>
    <x v="11"/>
    <x v="11"/>
    <x v="9"/>
  </r>
  <r>
    <x v="965"/>
    <x v="151"/>
    <x v="0"/>
    <x v="10"/>
    <x v="0"/>
    <x v="18"/>
    <x v="131"/>
    <x v="258"/>
    <x v="3"/>
    <x v="12"/>
    <x v="12"/>
    <x v="10"/>
  </r>
  <r>
    <x v="966"/>
    <x v="22"/>
    <x v="2"/>
    <x v="15"/>
    <x v="2"/>
    <x v="20"/>
    <x v="22"/>
    <x v="258"/>
    <x v="0"/>
    <x v="23"/>
    <x v="23"/>
    <x v="15"/>
  </r>
  <r>
    <x v="967"/>
    <x v="10"/>
    <x v="0"/>
    <x v="24"/>
    <x v="0"/>
    <x v="42"/>
    <x v="10"/>
    <x v="258"/>
    <x v="2"/>
    <x v="67"/>
    <x v="67"/>
    <x v="24"/>
  </r>
  <r>
    <x v="968"/>
    <x v="99"/>
    <x v="3"/>
    <x v="20"/>
    <x v="1"/>
    <x v="29"/>
    <x v="88"/>
    <x v="258"/>
    <x v="0"/>
    <x v="66"/>
    <x v="66"/>
    <x v="20"/>
  </r>
  <r>
    <x v="969"/>
    <x v="90"/>
    <x v="1"/>
    <x v="6"/>
    <x v="2"/>
    <x v="37"/>
    <x v="81"/>
    <x v="259"/>
    <x v="3"/>
    <x v="91"/>
    <x v="91"/>
    <x v="6"/>
  </r>
  <r>
    <x v="970"/>
    <x v="122"/>
    <x v="0"/>
    <x v="5"/>
    <x v="3"/>
    <x v="6"/>
    <x v="105"/>
    <x v="260"/>
    <x v="3"/>
    <x v="6"/>
    <x v="6"/>
    <x v="5"/>
  </r>
  <r>
    <x v="971"/>
    <x v="112"/>
    <x v="1"/>
    <x v="19"/>
    <x v="3"/>
    <x v="28"/>
    <x v="97"/>
    <x v="260"/>
    <x v="0"/>
    <x v="30"/>
    <x v="30"/>
    <x v="19"/>
  </r>
  <r>
    <x v="972"/>
    <x v="59"/>
    <x v="3"/>
    <x v="14"/>
    <x v="2"/>
    <x v="45"/>
    <x v="56"/>
    <x v="261"/>
    <x v="1"/>
    <x v="48"/>
    <x v="48"/>
    <x v="14"/>
  </r>
  <r>
    <x v="973"/>
    <x v="139"/>
    <x v="4"/>
    <x v="17"/>
    <x v="3"/>
    <x v="30"/>
    <x v="31"/>
    <x v="261"/>
    <x v="2"/>
    <x v="33"/>
    <x v="33"/>
    <x v="17"/>
  </r>
  <r>
    <x v="974"/>
    <x v="152"/>
    <x v="2"/>
    <x v="3"/>
    <x v="2"/>
    <x v="5"/>
    <x v="132"/>
    <x v="261"/>
    <x v="3"/>
    <x v="3"/>
    <x v="3"/>
    <x v="3"/>
  </r>
  <r>
    <x v="975"/>
    <x v="41"/>
    <x v="2"/>
    <x v="15"/>
    <x v="2"/>
    <x v="46"/>
    <x v="40"/>
    <x v="261"/>
    <x v="1"/>
    <x v="88"/>
    <x v="88"/>
    <x v="15"/>
  </r>
  <r>
    <x v="976"/>
    <x v="145"/>
    <x v="2"/>
    <x v="2"/>
    <x v="0"/>
    <x v="48"/>
    <x v="125"/>
    <x v="261"/>
    <x v="3"/>
    <x v="34"/>
    <x v="34"/>
    <x v="2"/>
  </r>
  <r>
    <x v="977"/>
    <x v="161"/>
    <x v="2"/>
    <x v="15"/>
    <x v="2"/>
    <x v="20"/>
    <x v="140"/>
    <x v="262"/>
    <x v="2"/>
    <x v="80"/>
    <x v="80"/>
    <x v="15"/>
  </r>
  <r>
    <x v="978"/>
    <x v="96"/>
    <x v="4"/>
    <x v="12"/>
    <x v="0"/>
    <x v="17"/>
    <x v="51"/>
    <x v="262"/>
    <x v="3"/>
    <x v="16"/>
    <x v="16"/>
    <x v="12"/>
  </r>
  <r>
    <x v="979"/>
    <x v="1"/>
    <x v="2"/>
    <x v="23"/>
    <x v="1"/>
    <x v="49"/>
    <x v="1"/>
    <x v="262"/>
    <x v="2"/>
    <x v="69"/>
    <x v="69"/>
    <x v="23"/>
  </r>
  <r>
    <x v="980"/>
    <x v="27"/>
    <x v="2"/>
    <x v="4"/>
    <x v="0"/>
    <x v="24"/>
    <x v="26"/>
    <x v="262"/>
    <x v="3"/>
    <x v="4"/>
    <x v="4"/>
    <x v="4"/>
  </r>
  <r>
    <x v="981"/>
    <x v="58"/>
    <x v="2"/>
    <x v="3"/>
    <x v="0"/>
    <x v="3"/>
    <x v="55"/>
    <x v="262"/>
    <x v="3"/>
    <x v="3"/>
    <x v="3"/>
    <x v="3"/>
  </r>
  <r>
    <x v="982"/>
    <x v="68"/>
    <x v="3"/>
    <x v="14"/>
    <x v="0"/>
    <x v="45"/>
    <x v="65"/>
    <x v="263"/>
    <x v="3"/>
    <x v="22"/>
    <x v="22"/>
    <x v="14"/>
  </r>
  <r>
    <x v="983"/>
    <x v="114"/>
    <x v="0"/>
    <x v="24"/>
    <x v="1"/>
    <x v="42"/>
    <x v="99"/>
    <x v="263"/>
    <x v="3"/>
    <x v="77"/>
    <x v="77"/>
    <x v="24"/>
  </r>
  <r>
    <x v="984"/>
    <x v="162"/>
    <x v="2"/>
    <x v="15"/>
    <x v="3"/>
    <x v="46"/>
    <x v="126"/>
    <x v="263"/>
    <x v="2"/>
    <x v="80"/>
    <x v="80"/>
    <x v="15"/>
  </r>
  <r>
    <x v="985"/>
    <x v="48"/>
    <x v="0"/>
    <x v="10"/>
    <x v="0"/>
    <x v="18"/>
    <x v="18"/>
    <x v="264"/>
    <x v="1"/>
    <x v="94"/>
    <x v="94"/>
    <x v="10"/>
  </r>
  <r>
    <x v="986"/>
    <x v="100"/>
    <x v="0"/>
    <x v="0"/>
    <x v="0"/>
    <x v="15"/>
    <x v="89"/>
    <x v="265"/>
    <x v="1"/>
    <x v="93"/>
    <x v="93"/>
    <x v="0"/>
  </r>
  <r>
    <x v="987"/>
    <x v="0"/>
    <x v="1"/>
    <x v="22"/>
    <x v="0"/>
    <x v="40"/>
    <x v="0"/>
    <x v="265"/>
    <x v="2"/>
    <x v="38"/>
    <x v="38"/>
    <x v="22"/>
  </r>
  <r>
    <x v="988"/>
    <x v="115"/>
    <x v="2"/>
    <x v="15"/>
    <x v="2"/>
    <x v="46"/>
    <x v="100"/>
    <x v="266"/>
    <x v="1"/>
    <x v="88"/>
    <x v="88"/>
    <x v="15"/>
  </r>
  <r>
    <x v="989"/>
    <x v="1"/>
    <x v="3"/>
    <x v="16"/>
    <x v="1"/>
    <x v="41"/>
    <x v="1"/>
    <x v="266"/>
    <x v="3"/>
    <x v="81"/>
    <x v="81"/>
    <x v="16"/>
  </r>
  <r>
    <x v="990"/>
    <x v="10"/>
    <x v="1"/>
    <x v="19"/>
    <x v="0"/>
    <x v="38"/>
    <x v="10"/>
    <x v="266"/>
    <x v="0"/>
    <x v="30"/>
    <x v="30"/>
    <x v="19"/>
  </r>
  <r>
    <x v="991"/>
    <x v="55"/>
    <x v="0"/>
    <x v="0"/>
    <x v="2"/>
    <x v="0"/>
    <x v="52"/>
    <x v="267"/>
    <x v="2"/>
    <x v="62"/>
    <x v="62"/>
    <x v="0"/>
  </r>
  <r>
    <x v="992"/>
    <x v="85"/>
    <x v="4"/>
    <x v="17"/>
    <x v="2"/>
    <x v="22"/>
    <x v="78"/>
    <x v="267"/>
    <x v="0"/>
    <x v="61"/>
    <x v="61"/>
    <x v="17"/>
  </r>
  <r>
    <x v="993"/>
    <x v="154"/>
    <x v="2"/>
    <x v="2"/>
    <x v="0"/>
    <x v="48"/>
    <x v="133"/>
    <x v="267"/>
    <x v="3"/>
    <x v="34"/>
    <x v="34"/>
    <x v="2"/>
  </r>
  <r>
    <x v="994"/>
    <x v="94"/>
    <x v="1"/>
    <x v="6"/>
    <x v="1"/>
    <x v="7"/>
    <x v="84"/>
    <x v="267"/>
    <x v="1"/>
    <x v="8"/>
    <x v="8"/>
    <x v="6"/>
  </r>
  <r>
    <x v="995"/>
    <x v="5"/>
    <x v="4"/>
    <x v="21"/>
    <x v="2"/>
    <x v="44"/>
    <x v="5"/>
    <x v="268"/>
    <x v="3"/>
    <x v="70"/>
    <x v="70"/>
    <x v="21"/>
  </r>
  <r>
    <x v="996"/>
    <x v="144"/>
    <x v="3"/>
    <x v="13"/>
    <x v="2"/>
    <x v="27"/>
    <x v="124"/>
    <x v="268"/>
    <x v="0"/>
    <x v="92"/>
    <x v="92"/>
    <x v="13"/>
  </r>
  <r>
    <x v="997"/>
    <x v="137"/>
    <x v="3"/>
    <x v="20"/>
    <x v="1"/>
    <x v="29"/>
    <x v="118"/>
    <x v="268"/>
    <x v="0"/>
    <x v="66"/>
    <x v="66"/>
    <x v="20"/>
  </r>
  <r>
    <x v="998"/>
    <x v="170"/>
    <x v="0"/>
    <x v="5"/>
    <x v="2"/>
    <x v="12"/>
    <x v="143"/>
    <x v="268"/>
    <x v="1"/>
    <x v="99"/>
    <x v="99"/>
    <x v="5"/>
  </r>
  <r>
    <x v="999"/>
    <x v="0"/>
    <x v="3"/>
    <x v="8"/>
    <x v="0"/>
    <x v="43"/>
    <x v="0"/>
    <x v="269"/>
    <x v="0"/>
    <x v="55"/>
    <x v="55"/>
    <x v="8"/>
  </r>
  <r>
    <x v="1000"/>
    <x v="87"/>
    <x v="1"/>
    <x v="1"/>
    <x v="2"/>
    <x v="33"/>
    <x v="79"/>
    <x v="269"/>
    <x v="2"/>
    <x v="54"/>
    <x v="54"/>
    <x v="1"/>
  </r>
  <r>
    <x v="1001"/>
    <x v="73"/>
    <x v="2"/>
    <x v="4"/>
    <x v="0"/>
    <x v="24"/>
    <x v="68"/>
    <x v="269"/>
    <x v="3"/>
    <x v="4"/>
    <x v="4"/>
    <x v="4"/>
  </r>
  <r>
    <x v="1002"/>
    <x v="32"/>
    <x v="2"/>
    <x v="23"/>
    <x v="2"/>
    <x v="49"/>
    <x v="31"/>
    <x v="269"/>
    <x v="1"/>
    <x v="60"/>
    <x v="60"/>
    <x v="23"/>
  </r>
  <r>
    <x v="1003"/>
    <x v="100"/>
    <x v="4"/>
    <x v="11"/>
    <x v="0"/>
    <x v="26"/>
    <x v="89"/>
    <x v="270"/>
    <x v="1"/>
    <x v="89"/>
    <x v="89"/>
    <x v="11"/>
  </r>
  <r>
    <x v="1004"/>
    <x v="127"/>
    <x v="4"/>
    <x v="12"/>
    <x v="3"/>
    <x v="17"/>
    <x v="109"/>
    <x v="270"/>
    <x v="1"/>
    <x v="15"/>
    <x v="15"/>
    <x v="12"/>
  </r>
  <r>
    <x v="1005"/>
    <x v="57"/>
    <x v="2"/>
    <x v="15"/>
    <x v="2"/>
    <x v="20"/>
    <x v="54"/>
    <x v="270"/>
    <x v="2"/>
    <x v="80"/>
    <x v="80"/>
    <x v="15"/>
  </r>
  <r>
    <x v="1006"/>
    <x v="45"/>
    <x v="4"/>
    <x v="11"/>
    <x v="2"/>
    <x v="26"/>
    <x v="44"/>
    <x v="270"/>
    <x v="0"/>
    <x v="76"/>
    <x v="76"/>
    <x v="11"/>
  </r>
  <r>
    <x v="1007"/>
    <x v="38"/>
    <x v="2"/>
    <x v="23"/>
    <x v="3"/>
    <x v="36"/>
    <x v="37"/>
    <x v="271"/>
    <x v="2"/>
    <x v="69"/>
    <x v="69"/>
    <x v="23"/>
  </r>
  <r>
    <x v="1008"/>
    <x v="37"/>
    <x v="0"/>
    <x v="5"/>
    <x v="0"/>
    <x v="6"/>
    <x v="36"/>
    <x v="272"/>
    <x v="3"/>
    <x v="6"/>
    <x v="6"/>
    <x v="5"/>
  </r>
  <r>
    <x v="1009"/>
    <x v="48"/>
    <x v="4"/>
    <x v="17"/>
    <x v="0"/>
    <x v="22"/>
    <x v="18"/>
    <x v="272"/>
    <x v="1"/>
    <x v="58"/>
    <x v="58"/>
    <x v="17"/>
  </r>
  <r>
    <x v="1010"/>
    <x v="27"/>
    <x v="4"/>
    <x v="12"/>
    <x v="0"/>
    <x v="14"/>
    <x v="26"/>
    <x v="272"/>
    <x v="0"/>
    <x v="87"/>
    <x v="87"/>
    <x v="12"/>
  </r>
  <r>
    <x v="1011"/>
    <x v="138"/>
    <x v="1"/>
    <x v="19"/>
    <x v="2"/>
    <x v="28"/>
    <x v="119"/>
    <x v="273"/>
    <x v="1"/>
    <x v="46"/>
    <x v="46"/>
    <x v="19"/>
  </r>
  <r>
    <x v="1012"/>
    <x v="142"/>
    <x v="2"/>
    <x v="23"/>
    <x v="1"/>
    <x v="49"/>
    <x v="122"/>
    <x v="273"/>
    <x v="1"/>
    <x v="60"/>
    <x v="60"/>
    <x v="23"/>
  </r>
  <r>
    <x v="1013"/>
    <x v="28"/>
    <x v="3"/>
    <x v="20"/>
    <x v="0"/>
    <x v="29"/>
    <x v="27"/>
    <x v="274"/>
    <x v="3"/>
    <x v="32"/>
    <x v="32"/>
    <x v="20"/>
  </r>
  <r>
    <x v="1014"/>
    <x v="96"/>
    <x v="2"/>
    <x v="23"/>
    <x v="0"/>
    <x v="49"/>
    <x v="51"/>
    <x v="274"/>
    <x v="3"/>
    <x v="75"/>
    <x v="75"/>
    <x v="23"/>
  </r>
  <r>
    <x v="1015"/>
    <x v="151"/>
    <x v="4"/>
    <x v="11"/>
    <x v="0"/>
    <x v="13"/>
    <x v="131"/>
    <x v="274"/>
    <x v="2"/>
    <x v="20"/>
    <x v="20"/>
    <x v="11"/>
  </r>
  <r>
    <x v="1016"/>
    <x v="101"/>
    <x v="1"/>
    <x v="22"/>
    <x v="3"/>
    <x v="35"/>
    <x v="90"/>
    <x v="274"/>
    <x v="2"/>
    <x v="38"/>
    <x v="38"/>
    <x v="22"/>
  </r>
  <r>
    <x v="1017"/>
    <x v="101"/>
    <x v="0"/>
    <x v="24"/>
    <x v="3"/>
    <x v="42"/>
    <x v="90"/>
    <x v="274"/>
    <x v="3"/>
    <x v="77"/>
    <x v="77"/>
    <x v="24"/>
  </r>
  <r>
    <x v="1018"/>
    <x v="104"/>
    <x v="3"/>
    <x v="14"/>
    <x v="2"/>
    <x v="19"/>
    <x v="93"/>
    <x v="274"/>
    <x v="1"/>
    <x v="48"/>
    <x v="48"/>
    <x v="14"/>
  </r>
  <r>
    <x v="1019"/>
    <x v="50"/>
    <x v="2"/>
    <x v="3"/>
    <x v="2"/>
    <x v="5"/>
    <x v="48"/>
    <x v="275"/>
    <x v="3"/>
    <x v="3"/>
    <x v="3"/>
    <x v="3"/>
  </r>
  <r>
    <x v="1020"/>
    <x v="0"/>
    <x v="1"/>
    <x v="6"/>
    <x v="0"/>
    <x v="7"/>
    <x v="0"/>
    <x v="275"/>
    <x v="1"/>
    <x v="8"/>
    <x v="8"/>
    <x v="6"/>
  </r>
  <r>
    <x v="1021"/>
    <x v="26"/>
    <x v="3"/>
    <x v="16"/>
    <x v="2"/>
    <x v="41"/>
    <x v="12"/>
    <x v="275"/>
    <x v="3"/>
    <x v="81"/>
    <x v="81"/>
    <x v="16"/>
  </r>
  <r>
    <x v="1022"/>
    <x v="44"/>
    <x v="0"/>
    <x v="18"/>
    <x v="3"/>
    <x v="39"/>
    <x v="43"/>
    <x v="275"/>
    <x v="0"/>
    <x v="78"/>
    <x v="78"/>
    <x v="18"/>
  </r>
  <r>
    <x v="1023"/>
    <x v="122"/>
    <x v="0"/>
    <x v="0"/>
    <x v="3"/>
    <x v="0"/>
    <x v="105"/>
    <x v="276"/>
    <x v="2"/>
    <x v="62"/>
    <x v="62"/>
    <x v="0"/>
  </r>
  <r>
    <x v="1024"/>
    <x v="13"/>
    <x v="0"/>
    <x v="10"/>
    <x v="2"/>
    <x v="11"/>
    <x v="13"/>
    <x v="276"/>
    <x v="1"/>
    <x v="94"/>
    <x v="94"/>
    <x v="10"/>
  </r>
  <r>
    <x v="1025"/>
    <x v="157"/>
    <x v="0"/>
    <x v="0"/>
    <x v="2"/>
    <x v="15"/>
    <x v="136"/>
    <x v="276"/>
    <x v="2"/>
    <x v="62"/>
    <x v="62"/>
    <x v="0"/>
  </r>
  <r>
    <x v="1026"/>
    <x v="124"/>
    <x v="3"/>
    <x v="13"/>
    <x v="1"/>
    <x v="16"/>
    <x v="107"/>
    <x v="276"/>
    <x v="1"/>
    <x v="96"/>
    <x v="96"/>
    <x v="13"/>
  </r>
  <r>
    <x v="1027"/>
    <x v="70"/>
    <x v="0"/>
    <x v="5"/>
    <x v="3"/>
    <x v="12"/>
    <x v="7"/>
    <x v="276"/>
    <x v="2"/>
    <x v="50"/>
    <x v="50"/>
    <x v="5"/>
  </r>
  <r>
    <x v="1028"/>
    <x v="20"/>
    <x v="1"/>
    <x v="19"/>
    <x v="3"/>
    <x v="28"/>
    <x v="20"/>
    <x v="276"/>
    <x v="1"/>
    <x v="46"/>
    <x v="46"/>
    <x v="19"/>
  </r>
  <r>
    <x v="1029"/>
    <x v="170"/>
    <x v="1"/>
    <x v="19"/>
    <x v="2"/>
    <x v="38"/>
    <x v="143"/>
    <x v="276"/>
    <x v="0"/>
    <x v="30"/>
    <x v="30"/>
    <x v="19"/>
  </r>
  <r>
    <x v="1030"/>
    <x v="155"/>
    <x v="1"/>
    <x v="22"/>
    <x v="2"/>
    <x v="40"/>
    <x v="134"/>
    <x v="276"/>
    <x v="3"/>
    <x v="51"/>
    <x v="51"/>
    <x v="22"/>
  </r>
  <r>
    <x v="1031"/>
    <x v="87"/>
    <x v="2"/>
    <x v="23"/>
    <x v="2"/>
    <x v="49"/>
    <x v="79"/>
    <x v="277"/>
    <x v="2"/>
    <x v="69"/>
    <x v="69"/>
    <x v="23"/>
  </r>
  <r>
    <x v="1032"/>
    <x v="81"/>
    <x v="4"/>
    <x v="11"/>
    <x v="2"/>
    <x v="26"/>
    <x v="74"/>
    <x v="277"/>
    <x v="0"/>
    <x v="76"/>
    <x v="76"/>
    <x v="11"/>
  </r>
  <r>
    <x v="1033"/>
    <x v="121"/>
    <x v="1"/>
    <x v="22"/>
    <x v="2"/>
    <x v="35"/>
    <x v="104"/>
    <x v="277"/>
    <x v="0"/>
    <x v="71"/>
    <x v="71"/>
    <x v="22"/>
  </r>
  <r>
    <x v="1034"/>
    <x v="164"/>
    <x v="1"/>
    <x v="1"/>
    <x v="2"/>
    <x v="1"/>
    <x v="141"/>
    <x v="277"/>
    <x v="1"/>
    <x v="1"/>
    <x v="1"/>
    <x v="1"/>
  </r>
  <r>
    <x v="1035"/>
    <x v="161"/>
    <x v="3"/>
    <x v="8"/>
    <x v="2"/>
    <x v="43"/>
    <x v="140"/>
    <x v="278"/>
    <x v="1"/>
    <x v="19"/>
    <x v="19"/>
    <x v="8"/>
  </r>
  <r>
    <x v="1036"/>
    <x v="17"/>
    <x v="2"/>
    <x v="15"/>
    <x v="0"/>
    <x v="46"/>
    <x v="17"/>
    <x v="278"/>
    <x v="3"/>
    <x v="72"/>
    <x v="72"/>
    <x v="15"/>
  </r>
  <r>
    <x v="1037"/>
    <x v="174"/>
    <x v="1"/>
    <x v="19"/>
    <x v="2"/>
    <x v="28"/>
    <x v="146"/>
    <x v="278"/>
    <x v="0"/>
    <x v="30"/>
    <x v="30"/>
    <x v="19"/>
  </r>
  <r>
    <x v="1038"/>
    <x v="61"/>
    <x v="2"/>
    <x v="23"/>
    <x v="2"/>
    <x v="49"/>
    <x v="58"/>
    <x v="278"/>
    <x v="1"/>
    <x v="60"/>
    <x v="60"/>
    <x v="23"/>
  </r>
  <r>
    <x v="1039"/>
    <x v="22"/>
    <x v="4"/>
    <x v="12"/>
    <x v="2"/>
    <x v="17"/>
    <x v="22"/>
    <x v="278"/>
    <x v="1"/>
    <x v="15"/>
    <x v="15"/>
    <x v="12"/>
  </r>
  <r>
    <x v="1040"/>
    <x v="163"/>
    <x v="4"/>
    <x v="12"/>
    <x v="2"/>
    <x v="17"/>
    <x v="35"/>
    <x v="279"/>
    <x v="1"/>
    <x v="15"/>
    <x v="15"/>
    <x v="12"/>
  </r>
  <r>
    <x v="1041"/>
    <x v="108"/>
    <x v="3"/>
    <x v="16"/>
    <x v="0"/>
    <x v="41"/>
    <x v="96"/>
    <x v="279"/>
    <x v="3"/>
    <x v="81"/>
    <x v="81"/>
    <x v="16"/>
  </r>
  <r>
    <x v="1042"/>
    <x v="98"/>
    <x v="2"/>
    <x v="3"/>
    <x v="1"/>
    <x v="5"/>
    <x v="87"/>
    <x v="279"/>
    <x v="0"/>
    <x v="74"/>
    <x v="74"/>
    <x v="3"/>
  </r>
  <r>
    <x v="1043"/>
    <x v="17"/>
    <x v="2"/>
    <x v="15"/>
    <x v="0"/>
    <x v="46"/>
    <x v="17"/>
    <x v="279"/>
    <x v="0"/>
    <x v="23"/>
    <x v="23"/>
    <x v="15"/>
  </r>
  <r>
    <x v="1044"/>
    <x v="118"/>
    <x v="0"/>
    <x v="24"/>
    <x v="3"/>
    <x v="47"/>
    <x v="103"/>
    <x v="280"/>
    <x v="0"/>
    <x v="85"/>
    <x v="85"/>
    <x v="24"/>
  </r>
  <r>
    <x v="1045"/>
    <x v="43"/>
    <x v="0"/>
    <x v="0"/>
    <x v="1"/>
    <x v="15"/>
    <x v="42"/>
    <x v="280"/>
    <x v="3"/>
    <x v="98"/>
    <x v="98"/>
    <x v="0"/>
  </r>
  <r>
    <x v="1046"/>
    <x v="167"/>
    <x v="2"/>
    <x v="2"/>
    <x v="0"/>
    <x v="2"/>
    <x v="114"/>
    <x v="281"/>
    <x v="3"/>
    <x v="34"/>
    <x v="34"/>
    <x v="2"/>
  </r>
  <r>
    <x v="1047"/>
    <x v="6"/>
    <x v="3"/>
    <x v="8"/>
    <x v="3"/>
    <x v="9"/>
    <x v="6"/>
    <x v="281"/>
    <x v="2"/>
    <x v="18"/>
    <x v="18"/>
    <x v="8"/>
  </r>
  <r>
    <x v="1048"/>
    <x v="91"/>
    <x v="2"/>
    <x v="4"/>
    <x v="1"/>
    <x v="24"/>
    <x v="82"/>
    <x v="281"/>
    <x v="0"/>
    <x v="44"/>
    <x v="44"/>
    <x v="4"/>
  </r>
  <r>
    <x v="1049"/>
    <x v="146"/>
    <x v="4"/>
    <x v="21"/>
    <x v="1"/>
    <x v="32"/>
    <x v="126"/>
    <x v="282"/>
    <x v="3"/>
    <x v="70"/>
    <x v="70"/>
    <x v="21"/>
  </r>
  <r>
    <x v="1050"/>
    <x v="1"/>
    <x v="2"/>
    <x v="2"/>
    <x v="1"/>
    <x v="2"/>
    <x v="1"/>
    <x v="283"/>
    <x v="2"/>
    <x v="2"/>
    <x v="2"/>
    <x v="2"/>
  </r>
  <r>
    <x v="1051"/>
    <x v="59"/>
    <x v="1"/>
    <x v="19"/>
    <x v="2"/>
    <x v="38"/>
    <x v="56"/>
    <x v="284"/>
    <x v="3"/>
    <x v="97"/>
    <x v="97"/>
    <x v="19"/>
  </r>
  <r>
    <x v="1052"/>
    <x v="44"/>
    <x v="1"/>
    <x v="7"/>
    <x v="3"/>
    <x v="34"/>
    <x v="43"/>
    <x v="284"/>
    <x v="3"/>
    <x v="79"/>
    <x v="79"/>
    <x v="7"/>
  </r>
  <r>
    <x v="1053"/>
    <x v="128"/>
    <x v="0"/>
    <x v="0"/>
    <x v="2"/>
    <x v="0"/>
    <x v="25"/>
    <x v="284"/>
    <x v="0"/>
    <x v="0"/>
    <x v="0"/>
    <x v="0"/>
  </r>
  <r>
    <x v="1054"/>
    <x v="24"/>
    <x v="2"/>
    <x v="2"/>
    <x v="2"/>
    <x v="2"/>
    <x v="24"/>
    <x v="284"/>
    <x v="2"/>
    <x v="2"/>
    <x v="2"/>
    <x v="2"/>
  </r>
  <r>
    <x v="1055"/>
    <x v="43"/>
    <x v="0"/>
    <x v="10"/>
    <x v="1"/>
    <x v="18"/>
    <x v="42"/>
    <x v="285"/>
    <x v="3"/>
    <x v="12"/>
    <x v="12"/>
    <x v="10"/>
  </r>
  <r>
    <x v="1056"/>
    <x v="95"/>
    <x v="0"/>
    <x v="18"/>
    <x v="1"/>
    <x v="39"/>
    <x v="85"/>
    <x v="286"/>
    <x v="3"/>
    <x v="28"/>
    <x v="28"/>
    <x v="18"/>
  </r>
  <r>
    <x v="1057"/>
    <x v="47"/>
    <x v="2"/>
    <x v="15"/>
    <x v="2"/>
    <x v="20"/>
    <x v="46"/>
    <x v="286"/>
    <x v="2"/>
    <x v="80"/>
    <x v="80"/>
    <x v="15"/>
  </r>
  <r>
    <x v="1058"/>
    <x v="153"/>
    <x v="4"/>
    <x v="17"/>
    <x v="2"/>
    <x v="22"/>
    <x v="94"/>
    <x v="287"/>
    <x v="3"/>
    <x v="25"/>
    <x v="25"/>
    <x v="17"/>
  </r>
  <r>
    <x v="1059"/>
    <x v="1"/>
    <x v="3"/>
    <x v="16"/>
    <x v="1"/>
    <x v="41"/>
    <x v="1"/>
    <x v="287"/>
    <x v="2"/>
    <x v="59"/>
    <x v="59"/>
    <x v="16"/>
  </r>
  <r>
    <x v="1060"/>
    <x v="73"/>
    <x v="4"/>
    <x v="11"/>
    <x v="0"/>
    <x v="13"/>
    <x v="68"/>
    <x v="287"/>
    <x v="2"/>
    <x v="20"/>
    <x v="20"/>
    <x v="11"/>
  </r>
  <r>
    <x v="1061"/>
    <x v="144"/>
    <x v="2"/>
    <x v="3"/>
    <x v="2"/>
    <x v="3"/>
    <x v="124"/>
    <x v="287"/>
    <x v="2"/>
    <x v="63"/>
    <x v="63"/>
    <x v="3"/>
  </r>
  <r>
    <x v="1062"/>
    <x v="43"/>
    <x v="2"/>
    <x v="15"/>
    <x v="1"/>
    <x v="46"/>
    <x v="42"/>
    <x v="287"/>
    <x v="3"/>
    <x v="72"/>
    <x v="72"/>
    <x v="15"/>
  </r>
  <r>
    <x v="1063"/>
    <x v="44"/>
    <x v="2"/>
    <x v="2"/>
    <x v="3"/>
    <x v="48"/>
    <x v="43"/>
    <x v="287"/>
    <x v="2"/>
    <x v="2"/>
    <x v="2"/>
    <x v="2"/>
  </r>
  <r>
    <x v="1064"/>
    <x v="136"/>
    <x v="0"/>
    <x v="5"/>
    <x v="1"/>
    <x v="12"/>
    <x v="117"/>
    <x v="287"/>
    <x v="3"/>
    <x v="6"/>
    <x v="6"/>
    <x v="5"/>
  </r>
  <r>
    <x v="1065"/>
    <x v="10"/>
    <x v="1"/>
    <x v="6"/>
    <x v="0"/>
    <x v="37"/>
    <x v="10"/>
    <x v="287"/>
    <x v="0"/>
    <x v="42"/>
    <x v="42"/>
    <x v="6"/>
  </r>
  <r>
    <x v="1066"/>
    <x v="155"/>
    <x v="3"/>
    <x v="20"/>
    <x v="2"/>
    <x v="29"/>
    <x v="134"/>
    <x v="287"/>
    <x v="3"/>
    <x v="32"/>
    <x v="32"/>
    <x v="20"/>
  </r>
  <r>
    <x v="1067"/>
    <x v="62"/>
    <x v="2"/>
    <x v="2"/>
    <x v="0"/>
    <x v="2"/>
    <x v="59"/>
    <x v="287"/>
    <x v="2"/>
    <x v="2"/>
    <x v="2"/>
    <x v="2"/>
  </r>
  <r>
    <x v="1068"/>
    <x v="107"/>
    <x v="4"/>
    <x v="21"/>
    <x v="3"/>
    <x v="32"/>
    <x v="83"/>
    <x v="287"/>
    <x v="0"/>
    <x v="64"/>
    <x v="64"/>
    <x v="21"/>
  </r>
  <r>
    <x v="1069"/>
    <x v="163"/>
    <x v="3"/>
    <x v="20"/>
    <x v="2"/>
    <x v="29"/>
    <x v="35"/>
    <x v="288"/>
    <x v="2"/>
    <x v="45"/>
    <x v="45"/>
    <x v="20"/>
  </r>
  <r>
    <x v="1070"/>
    <x v="133"/>
    <x v="1"/>
    <x v="19"/>
    <x v="0"/>
    <x v="28"/>
    <x v="114"/>
    <x v="288"/>
    <x v="2"/>
    <x v="95"/>
    <x v="95"/>
    <x v="19"/>
  </r>
  <r>
    <x v="1071"/>
    <x v="133"/>
    <x v="2"/>
    <x v="15"/>
    <x v="0"/>
    <x v="46"/>
    <x v="114"/>
    <x v="288"/>
    <x v="3"/>
    <x v="72"/>
    <x v="72"/>
    <x v="15"/>
  </r>
  <r>
    <x v="1072"/>
    <x v="134"/>
    <x v="4"/>
    <x v="21"/>
    <x v="0"/>
    <x v="32"/>
    <x v="115"/>
    <x v="288"/>
    <x v="2"/>
    <x v="43"/>
    <x v="43"/>
    <x v="21"/>
  </r>
  <r>
    <x v="1073"/>
    <x v="112"/>
    <x v="0"/>
    <x v="18"/>
    <x v="3"/>
    <x v="25"/>
    <x v="97"/>
    <x v="288"/>
    <x v="2"/>
    <x v="57"/>
    <x v="57"/>
    <x v="18"/>
  </r>
  <r>
    <x v="1074"/>
    <x v="40"/>
    <x v="4"/>
    <x v="12"/>
    <x v="1"/>
    <x v="17"/>
    <x v="39"/>
    <x v="288"/>
    <x v="0"/>
    <x v="87"/>
    <x v="87"/>
    <x v="12"/>
  </r>
  <r>
    <x v="1075"/>
    <x v="33"/>
    <x v="2"/>
    <x v="23"/>
    <x v="3"/>
    <x v="49"/>
    <x v="32"/>
    <x v="288"/>
    <x v="3"/>
    <x v="75"/>
    <x v="75"/>
    <x v="23"/>
  </r>
  <r>
    <x v="1076"/>
    <x v="125"/>
    <x v="0"/>
    <x v="24"/>
    <x v="1"/>
    <x v="42"/>
    <x v="106"/>
    <x v="288"/>
    <x v="3"/>
    <x v="77"/>
    <x v="77"/>
    <x v="24"/>
  </r>
  <r>
    <x v="1077"/>
    <x v="15"/>
    <x v="0"/>
    <x v="10"/>
    <x v="0"/>
    <x v="11"/>
    <x v="15"/>
    <x v="288"/>
    <x v="2"/>
    <x v="26"/>
    <x v="26"/>
    <x v="10"/>
  </r>
  <r>
    <x v="1078"/>
    <x v="3"/>
    <x v="0"/>
    <x v="24"/>
    <x v="1"/>
    <x v="42"/>
    <x v="3"/>
    <x v="288"/>
    <x v="2"/>
    <x v="67"/>
    <x v="67"/>
    <x v="24"/>
  </r>
  <r>
    <x v="1079"/>
    <x v="121"/>
    <x v="1"/>
    <x v="6"/>
    <x v="2"/>
    <x v="7"/>
    <x v="104"/>
    <x v="288"/>
    <x v="0"/>
    <x v="42"/>
    <x v="42"/>
    <x v="6"/>
  </r>
  <r>
    <x v="1080"/>
    <x v="34"/>
    <x v="4"/>
    <x v="11"/>
    <x v="0"/>
    <x v="26"/>
    <x v="33"/>
    <x v="288"/>
    <x v="0"/>
    <x v="76"/>
    <x v="76"/>
    <x v="11"/>
  </r>
  <r>
    <x v="1081"/>
    <x v="94"/>
    <x v="1"/>
    <x v="22"/>
    <x v="1"/>
    <x v="35"/>
    <x v="84"/>
    <x v="288"/>
    <x v="3"/>
    <x v="51"/>
    <x v="51"/>
    <x v="22"/>
  </r>
  <r>
    <x v="1082"/>
    <x v="139"/>
    <x v="4"/>
    <x v="21"/>
    <x v="3"/>
    <x v="44"/>
    <x v="31"/>
    <x v="289"/>
    <x v="1"/>
    <x v="35"/>
    <x v="35"/>
    <x v="21"/>
  </r>
  <r>
    <x v="1083"/>
    <x v="129"/>
    <x v="0"/>
    <x v="18"/>
    <x v="2"/>
    <x v="39"/>
    <x v="110"/>
    <x v="290"/>
    <x v="0"/>
    <x v="78"/>
    <x v="78"/>
    <x v="18"/>
  </r>
  <r>
    <x v="1084"/>
    <x v="29"/>
    <x v="2"/>
    <x v="3"/>
    <x v="3"/>
    <x v="5"/>
    <x v="28"/>
    <x v="290"/>
    <x v="0"/>
    <x v="74"/>
    <x v="74"/>
    <x v="3"/>
  </r>
  <r>
    <x v="1085"/>
    <x v="177"/>
    <x v="3"/>
    <x v="20"/>
    <x v="0"/>
    <x v="29"/>
    <x v="115"/>
    <x v="291"/>
    <x v="0"/>
    <x v="66"/>
    <x v="66"/>
    <x v="20"/>
  </r>
  <r>
    <x v="1086"/>
    <x v="79"/>
    <x v="1"/>
    <x v="19"/>
    <x v="2"/>
    <x v="38"/>
    <x v="73"/>
    <x v="291"/>
    <x v="3"/>
    <x v="97"/>
    <x v="97"/>
    <x v="19"/>
  </r>
  <r>
    <x v="1087"/>
    <x v="28"/>
    <x v="2"/>
    <x v="23"/>
    <x v="0"/>
    <x v="36"/>
    <x v="27"/>
    <x v="291"/>
    <x v="0"/>
    <x v="41"/>
    <x v="41"/>
    <x v="23"/>
  </r>
  <r>
    <x v="1088"/>
    <x v="47"/>
    <x v="2"/>
    <x v="3"/>
    <x v="2"/>
    <x v="5"/>
    <x v="46"/>
    <x v="291"/>
    <x v="3"/>
    <x v="3"/>
    <x v="3"/>
    <x v="3"/>
  </r>
  <r>
    <x v="1089"/>
    <x v="124"/>
    <x v="0"/>
    <x v="18"/>
    <x v="1"/>
    <x v="25"/>
    <x v="107"/>
    <x v="291"/>
    <x v="3"/>
    <x v="28"/>
    <x v="28"/>
    <x v="18"/>
  </r>
  <r>
    <x v="1090"/>
    <x v="173"/>
    <x v="4"/>
    <x v="12"/>
    <x v="0"/>
    <x v="14"/>
    <x v="145"/>
    <x v="291"/>
    <x v="2"/>
    <x v="47"/>
    <x v="47"/>
    <x v="12"/>
  </r>
  <r>
    <x v="1091"/>
    <x v="144"/>
    <x v="0"/>
    <x v="0"/>
    <x v="2"/>
    <x v="15"/>
    <x v="124"/>
    <x v="291"/>
    <x v="2"/>
    <x v="62"/>
    <x v="62"/>
    <x v="0"/>
  </r>
  <r>
    <x v="1092"/>
    <x v="51"/>
    <x v="3"/>
    <x v="13"/>
    <x v="0"/>
    <x v="27"/>
    <x v="40"/>
    <x v="291"/>
    <x v="2"/>
    <x v="17"/>
    <x v="17"/>
    <x v="13"/>
  </r>
  <r>
    <x v="1093"/>
    <x v="21"/>
    <x v="0"/>
    <x v="24"/>
    <x v="2"/>
    <x v="47"/>
    <x v="21"/>
    <x v="291"/>
    <x v="3"/>
    <x v="77"/>
    <x v="77"/>
    <x v="24"/>
  </r>
  <r>
    <x v="1094"/>
    <x v="148"/>
    <x v="2"/>
    <x v="15"/>
    <x v="3"/>
    <x v="20"/>
    <x v="128"/>
    <x v="291"/>
    <x v="1"/>
    <x v="88"/>
    <x v="88"/>
    <x v="15"/>
  </r>
  <r>
    <x v="1095"/>
    <x v="10"/>
    <x v="0"/>
    <x v="10"/>
    <x v="0"/>
    <x v="18"/>
    <x v="10"/>
    <x v="291"/>
    <x v="1"/>
    <x v="94"/>
    <x v="94"/>
    <x v="10"/>
  </r>
  <r>
    <x v="1096"/>
    <x v="161"/>
    <x v="4"/>
    <x v="12"/>
    <x v="2"/>
    <x v="17"/>
    <x v="140"/>
    <x v="292"/>
    <x v="1"/>
    <x v="15"/>
    <x v="15"/>
    <x v="12"/>
  </r>
  <r>
    <x v="1097"/>
    <x v="149"/>
    <x v="3"/>
    <x v="14"/>
    <x v="2"/>
    <x v="45"/>
    <x v="129"/>
    <x v="292"/>
    <x v="3"/>
    <x v="22"/>
    <x v="22"/>
    <x v="14"/>
  </r>
  <r>
    <x v="1098"/>
    <x v="113"/>
    <x v="3"/>
    <x v="13"/>
    <x v="2"/>
    <x v="16"/>
    <x v="98"/>
    <x v="292"/>
    <x v="2"/>
    <x v="17"/>
    <x v="17"/>
    <x v="13"/>
  </r>
  <r>
    <x v="1099"/>
    <x v="146"/>
    <x v="3"/>
    <x v="20"/>
    <x v="1"/>
    <x v="29"/>
    <x v="126"/>
    <x v="292"/>
    <x v="2"/>
    <x v="45"/>
    <x v="45"/>
    <x v="20"/>
  </r>
  <r>
    <x v="1100"/>
    <x v="130"/>
    <x v="2"/>
    <x v="2"/>
    <x v="2"/>
    <x v="48"/>
    <x v="111"/>
    <x v="292"/>
    <x v="0"/>
    <x v="73"/>
    <x v="73"/>
    <x v="2"/>
  </r>
  <r>
    <x v="1101"/>
    <x v="14"/>
    <x v="3"/>
    <x v="16"/>
    <x v="0"/>
    <x v="21"/>
    <x v="14"/>
    <x v="292"/>
    <x v="0"/>
    <x v="24"/>
    <x v="24"/>
    <x v="16"/>
  </r>
  <r>
    <x v="1102"/>
    <x v="112"/>
    <x v="1"/>
    <x v="7"/>
    <x v="3"/>
    <x v="34"/>
    <x v="97"/>
    <x v="292"/>
    <x v="3"/>
    <x v="79"/>
    <x v="79"/>
    <x v="7"/>
  </r>
  <r>
    <x v="1103"/>
    <x v="26"/>
    <x v="1"/>
    <x v="7"/>
    <x v="2"/>
    <x v="8"/>
    <x v="12"/>
    <x v="292"/>
    <x v="3"/>
    <x v="79"/>
    <x v="79"/>
    <x v="7"/>
  </r>
  <r>
    <x v="1104"/>
    <x v="41"/>
    <x v="2"/>
    <x v="3"/>
    <x v="2"/>
    <x v="5"/>
    <x v="40"/>
    <x v="292"/>
    <x v="1"/>
    <x v="5"/>
    <x v="5"/>
    <x v="3"/>
  </r>
  <r>
    <x v="1105"/>
    <x v="49"/>
    <x v="4"/>
    <x v="17"/>
    <x v="0"/>
    <x v="22"/>
    <x v="47"/>
    <x v="292"/>
    <x v="2"/>
    <x v="33"/>
    <x v="33"/>
    <x v="17"/>
  </r>
  <r>
    <x v="1106"/>
    <x v="120"/>
    <x v="0"/>
    <x v="0"/>
    <x v="0"/>
    <x v="0"/>
    <x v="66"/>
    <x v="292"/>
    <x v="1"/>
    <x v="93"/>
    <x v="93"/>
    <x v="0"/>
  </r>
  <r>
    <x v="1107"/>
    <x v="44"/>
    <x v="0"/>
    <x v="5"/>
    <x v="3"/>
    <x v="12"/>
    <x v="43"/>
    <x v="292"/>
    <x v="3"/>
    <x v="6"/>
    <x v="6"/>
    <x v="5"/>
  </r>
  <r>
    <x v="1108"/>
    <x v="154"/>
    <x v="4"/>
    <x v="12"/>
    <x v="0"/>
    <x v="14"/>
    <x v="133"/>
    <x v="292"/>
    <x v="2"/>
    <x v="47"/>
    <x v="47"/>
    <x v="12"/>
  </r>
  <r>
    <x v="1109"/>
    <x v="94"/>
    <x v="1"/>
    <x v="19"/>
    <x v="1"/>
    <x v="28"/>
    <x v="84"/>
    <x v="292"/>
    <x v="0"/>
    <x v="30"/>
    <x v="30"/>
    <x v="19"/>
  </r>
  <r>
    <x v="1110"/>
    <x v="136"/>
    <x v="3"/>
    <x v="13"/>
    <x v="1"/>
    <x v="16"/>
    <x v="117"/>
    <x v="292"/>
    <x v="3"/>
    <x v="68"/>
    <x v="68"/>
    <x v="13"/>
  </r>
  <r>
    <x v="1111"/>
    <x v="67"/>
    <x v="2"/>
    <x v="23"/>
    <x v="0"/>
    <x v="49"/>
    <x v="64"/>
    <x v="293"/>
    <x v="1"/>
    <x v="60"/>
    <x v="60"/>
    <x v="23"/>
  </r>
  <r>
    <x v="1112"/>
    <x v="59"/>
    <x v="2"/>
    <x v="23"/>
    <x v="2"/>
    <x v="36"/>
    <x v="56"/>
    <x v="293"/>
    <x v="1"/>
    <x v="60"/>
    <x v="60"/>
    <x v="23"/>
  </r>
  <r>
    <x v="1113"/>
    <x v="133"/>
    <x v="0"/>
    <x v="18"/>
    <x v="0"/>
    <x v="39"/>
    <x v="114"/>
    <x v="293"/>
    <x v="1"/>
    <x v="84"/>
    <x v="84"/>
    <x v="18"/>
  </r>
  <r>
    <x v="1114"/>
    <x v="133"/>
    <x v="2"/>
    <x v="3"/>
    <x v="0"/>
    <x v="5"/>
    <x v="114"/>
    <x v="293"/>
    <x v="1"/>
    <x v="5"/>
    <x v="5"/>
    <x v="3"/>
  </r>
  <r>
    <x v="1115"/>
    <x v="138"/>
    <x v="1"/>
    <x v="22"/>
    <x v="2"/>
    <x v="35"/>
    <x v="119"/>
    <x v="293"/>
    <x v="1"/>
    <x v="65"/>
    <x v="65"/>
    <x v="22"/>
  </r>
  <r>
    <x v="1116"/>
    <x v="81"/>
    <x v="1"/>
    <x v="22"/>
    <x v="2"/>
    <x v="40"/>
    <x v="74"/>
    <x v="293"/>
    <x v="1"/>
    <x v="65"/>
    <x v="65"/>
    <x v="22"/>
  </r>
  <r>
    <x v="1117"/>
    <x v="14"/>
    <x v="0"/>
    <x v="24"/>
    <x v="0"/>
    <x v="42"/>
    <x v="14"/>
    <x v="293"/>
    <x v="0"/>
    <x v="85"/>
    <x v="85"/>
    <x v="24"/>
  </r>
  <r>
    <x v="1118"/>
    <x v="52"/>
    <x v="3"/>
    <x v="14"/>
    <x v="0"/>
    <x v="45"/>
    <x v="49"/>
    <x v="293"/>
    <x v="2"/>
    <x v="40"/>
    <x v="40"/>
    <x v="14"/>
  </r>
  <r>
    <x v="1119"/>
    <x v="140"/>
    <x v="4"/>
    <x v="9"/>
    <x v="0"/>
    <x v="10"/>
    <x v="120"/>
    <x v="293"/>
    <x v="3"/>
    <x v="11"/>
    <x v="11"/>
    <x v="9"/>
  </r>
  <r>
    <x v="1120"/>
    <x v="51"/>
    <x v="4"/>
    <x v="11"/>
    <x v="0"/>
    <x v="26"/>
    <x v="40"/>
    <x v="293"/>
    <x v="0"/>
    <x v="76"/>
    <x v="76"/>
    <x v="11"/>
  </r>
  <r>
    <x v="1121"/>
    <x v="43"/>
    <x v="2"/>
    <x v="2"/>
    <x v="1"/>
    <x v="2"/>
    <x v="42"/>
    <x v="293"/>
    <x v="3"/>
    <x v="34"/>
    <x v="34"/>
    <x v="2"/>
  </r>
  <r>
    <x v="1122"/>
    <x v="105"/>
    <x v="0"/>
    <x v="10"/>
    <x v="0"/>
    <x v="11"/>
    <x v="94"/>
    <x v="293"/>
    <x v="3"/>
    <x v="12"/>
    <x v="12"/>
    <x v="10"/>
  </r>
  <r>
    <x v="1123"/>
    <x v="154"/>
    <x v="0"/>
    <x v="24"/>
    <x v="0"/>
    <x v="42"/>
    <x v="133"/>
    <x v="293"/>
    <x v="3"/>
    <x v="77"/>
    <x v="77"/>
    <x v="24"/>
  </r>
  <r>
    <x v="1124"/>
    <x v="145"/>
    <x v="4"/>
    <x v="12"/>
    <x v="0"/>
    <x v="17"/>
    <x v="125"/>
    <x v="293"/>
    <x v="1"/>
    <x v="15"/>
    <x v="15"/>
    <x v="12"/>
  </r>
  <r>
    <x v="1125"/>
    <x v="107"/>
    <x v="1"/>
    <x v="1"/>
    <x v="3"/>
    <x v="1"/>
    <x v="83"/>
    <x v="293"/>
    <x v="1"/>
    <x v="1"/>
    <x v="1"/>
    <x v="1"/>
  </r>
  <r>
    <x v="1126"/>
    <x v="11"/>
    <x v="2"/>
    <x v="23"/>
    <x v="2"/>
    <x v="49"/>
    <x v="11"/>
    <x v="294"/>
    <x v="2"/>
    <x v="69"/>
    <x v="69"/>
    <x v="23"/>
  </r>
  <r>
    <x v="1127"/>
    <x v="100"/>
    <x v="0"/>
    <x v="18"/>
    <x v="0"/>
    <x v="39"/>
    <x v="89"/>
    <x v="294"/>
    <x v="0"/>
    <x v="78"/>
    <x v="78"/>
    <x v="18"/>
  </r>
  <r>
    <x v="1128"/>
    <x v="53"/>
    <x v="0"/>
    <x v="18"/>
    <x v="0"/>
    <x v="25"/>
    <x v="50"/>
    <x v="294"/>
    <x v="3"/>
    <x v="28"/>
    <x v="28"/>
    <x v="18"/>
  </r>
  <r>
    <x v="1129"/>
    <x v="28"/>
    <x v="0"/>
    <x v="18"/>
    <x v="0"/>
    <x v="39"/>
    <x v="27"/>
    <x v="294"/>
    <x v="2"/>
    <x v="57"/>
    <x v="57"/>
    <x v="18"/>
  </r>
  <r>
    <x v="1130"/>
    <x v="111"/>
    <x v="0"/>
    <x v="0"/>
    <x v="0"/>
    <x v="0"/>
    <x v="19"/>
    <x v="294"/>
    <x v="0"/>
    <x v="0"/>
    <x v="0"/>
    <x v="0"/>
  </r>
  <r>
    <x v="1131"/>
    <x v="124"/>
    <x v="3"/>
    <x v="8"/>
    <x v="1"/>
    <x v="43"/>
    <x v="107"/>
    <x v="294"/>
    <x v="1"/>
    <x v="19"/>
    <x v="19"/>
    <x v="8"/>
  </r>
  <r>
    <x v="1132"/>
    <x v="124"/>
    <x v="4"/>
    <x v="11"/>
    <x v="1"/>
    <x v="13"/>
    <x v="107"/>
    <x v="294"/>
    <x v="3"/>
    <x v="14"/>
    <x v="14"/>
    <x v="11"/>
  </r>
  <r>
    <x v="1133"/>
    <x v="102"/>
    <x v="1"/>
    <x v="7"/>
    <x v="0"/>
    <x v="34"/>
    <x v="91"/>
    <x v="294"/>
    <x v="2"/>
    <x v="82"/>
    <x v="82"/>
    <x v="7"/>
  </r>
  <r>
    <x v="1134"/>
    <x v="91"/>
    <x v="0"/>
    <x v="10"/>
    <x v="1"/>
    <x v="18"/>
    <x v="82"/>
    <x v="294"/>
    <x v="2"/>
    <x v="26"/>
    <x v="26"/>
    <x v="10"/>
  </r>
  <r>
    <x v="1135"/>
    <x v="172"/>
    <x v="1"/>
    <x v="1"/>
    <x v="1"/>
    <x v="33"/>
    <x v="125"/>
    <x v="294"/>
    <x v="1"/>
    <x v="1"/>
    <x v="1"/>
    <x v="1"/>
  </r>
  <r>
    <x v="1136"/>
    <x v="173"/>
    <x v="3"/>
    <x v="20"/>
    <x v="0"/>
    <x v="29"/>
    <x v="145"/>
    <x v="294"/>
    <x v="1"/>
    <x v="49"/>
    <x v="49"/>
    <x v="20"/>
  </r>
  <r>
    <x v="1137"/>
    <x v="55"/>
    <x v="3"/>
    <x v="13"/>
    <x v="2"/>
    <x v="16"/>
    <x v="52"/>
    <x v="294"/>
    <x v="1"/>
    <x v="96"/>
    <x v="96"/>
    <x v="13"/>
  </r>
  <r>
    <x v="1138"/>
    <x v="18"/>
    <x v="3"/>
    <x v="8"/>
    <x v="0"/>
    <x v="9"/>
    <x v="18"/>
    <x v="294"/>
    <x v="1"/>
    <x v="19"/>
    <x v="19"/>
    <x v="8"/>
  </r>
  <r>
    <x v="1139"/>
    <x v="74"/>
    <x v="2"/>
    <x v="4"/>
    <x v="2"/>
    <x v="4"/>
    <x v="69"/>
    <x v="294"/>
    <x v="1"/>
    <x v="31"/>
    <x v="31"/>
    <x v="4"/>
  </r>
  <r>
    <x v="1140"/>
    <x v="41"/>
    <x v="4"/>
    <x v="11"/>
    <x v="2"/>
    <x v="13"/>
    <x v="40"/>
    <x v="294"/>
    <x v="3"/>
    <x v="14"/>
    <x v="14"/>
    <x v="11"/>
  </r>
  <r>
    <x v="1141"/>
    <x v="125"/>
    <x v="2"/>
    <x v="15"/>
    <x v="1"/>
    <x v="46"/>
    <x v="106"/>
    <x v="294"/>
    <x v="3"/>
    <x v="72"/>
    <x v="72"/>
    <x v="15"/>
  </r>
  <r>
    <x v="1142"/>
    <x v="114"/>
    <x v="3"/>
    <x v="14"/>
    <x v="1"/>
    <x v="19"/>
    <x v="99"/>
    <x v="294"/>
    <x v="2"/>
    <x v="40"/>
    <x v="40"/>
    <x v="14"/>
  </r>
  <r>
    <x v="1143"/>
    <x v="136"/>
    <x v="4"/>
    <x v="11"/>
    <x v="1"/>
    <x v="13"/>
    <x v="117"/>
    <x v="294"/>
    <x v="1"/>
    <x v="89"/>
    <x v="89"/>
    <x v="11"/>
  </r>
  <r>
    <x v="1144"/>
    <x v="45"/>
    <x v="4"/>
    <x v="21"/>
    <x v="2"/>
    <x v="44"/>
    <x v="44"/>
    <x v="294"/>
    <x v="0"/>
    <x v="64"/>
    <x v="64"/>
    <x v="21"/>
  </r>
  <r>
    <x v="1145"/>
    <x v="62"/>
    <x v="2"/>
    <x v="4"/>
    <x v="0"/>
    <x v="24"/>
    <x v="59"/>
    <x v="294"/>
    <x v="2"/>
    <x v="7"/>
    <x v="7"/>
    <x v="4"/>
  </r>
  <r>
    <x v="1146"/>
    <x v="8"/>
    <x v="4"/>
    <x v="9"/>
    <x v="0"/>
    <x v="23"/>
    <x v="8"/>
    <x v="294"/>
    <x v="2"/>
    <x v="27"/>
    <x v="27"/>
    <x v="9"/>
  </r>
  <r>
    <x v="1147"/>
    <x v="79"/>
    <x v="2"/>
    <x v="4"/>
    <x v="2"/>
    <x v="4"/>
    <x v="73"/>
    <x v="295"/>
    <x v="0"/>
    <x v="44"/>
    <x v="44"/>
    <x v="4"/>
  </r>
  <r>
    <x v="1148"/>
    <x v="126"/>
    <x v="0"/>
    <x v="0"/>
    <x v="2"/>
    <x v="15"/>
    <x v="108"/>
    <x v="295"/>
    <x v="3"/>
    <x v="98"/>
    <x v="98"/>
    <x v="0"/>
  </r>
  <r>
    <x v="1149"/>
    <x v="20"/>
    <x v="1"/>
    <x v="6"/>
    <x v="3"/>
    <x v="37"/>
    <x v="20"/>
    <x v="295"/>
    <x v="3"/>
    <x v="91"/>
    <x v="91"/>
    <x v="6"/>
  </r>
  <r>
    <x v="1150"/>
    <x v="97"/>
    <x v="1"/>
    <x v="22"/>
    <x v="0"/>
    <x v="40"/>
    <x v="86"/>
    <x v="295"/>
    <x v="1"/>
    <x v="65"/>
    <x v="65"/>
    <x v="22"/>
  </r>
  <r>
    <x v="1151"/>
    <x v="60"/>
    <x v="4"/>
    <x v="21"/>
    <x v="0"/>
    <x v="32"/>
    <x v="57"/>
    <x v="295"/>
    <x v="3"/>
    <x v="70"/>
    <x v="70"/>
    <x v="21"/>
  </r>
  <r>
    <x v="1152"/>
    <x v="158"/>
    <x v="1"/>
    <x v="1"/>
    <x v="3"/>
    <x v="1"/>
    <x v="137"/>
    <x v="295"/>
    <x v="1"/>
    <x v="1"/>
    <x v="1"/>
    <x v="1"/>
  </r>
  <r>
    <x v="1153"/>
    <x v="36"/>
    <x v="1"/>
    <x v="1"/>
    <x v="2"/>
    <x v="33"/>
    <x v="35"/>
    <x v="296"/>
    <x v="3"/>
    <x v="90"/>
    <x v="90"/>
    <x v="1"/>
  </r>
  <r>
    <x v="1154"/>
    <x v="174"/>
    <x v="3"/>
    <x v="13"/>
    <x v="2"/>
    <x v="16"/>
    <x v="146"/>
    <x v="296"/>
    <x v="3"/>
    <x v="68"/>
    <x v="68"/>
    <x v="13"/>
  </r>
  <r>
    <x v="1155"/>
    <x v="136"/>
    <x v="0"/>
    <x v="18"/>
    <x v="1"/>
    <x v="25"/>
    <x v="117"/>
    <x v="296"/>
    <x v="3"/>
    <x v="28"/>
    <x v="28"/>
    <x v="18"/>
  </r>
  <r>
    <x v="1156"/>
    <x v="153"/>
    <x v="0"/>
    <x v="0"/>
    <x v="2"/>
    <x v="0"/>
    <x v="94"/>
    <x v="297"/>
    <x v="3"/>
    <x v="98"/>
    <x v="98"/>
    <x v="0"/>
  </r>
  <r>
    <x v="1157"/>
    <x v="81"/>
    <x v="0"/>
    <x v="0"/>
    <x v="2"/>
    <x v="0"/>
    <x v="74"/>
    <x v="297"/>
    <x v="0"/>
    <x v="0"/>
    <x v="0"/>
    <x v="0"/>
  </r>
  <r>
    <x v="1158"/>
    <x v="179"/>
    <x v="5"/>
    <x v="25"/>
    <x v="5"/>
    <x v="50"/>
    <x v="149"/>
    <x v="298"/>
    <x v="4"/>
    <x v="100"/>
    <x v="100"/>
    <x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59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</r>
  <r>
    <x v="2"/>
    <x v="2"/>
    <x v="2"/>
    <x v="2"/>
    <x v="0"/>
    <x v="2"/>
    <x v="2"/>
    <x v="0"/>
    <x v="2"/>
    <x v="2"/>
    <x v="2"/>
    <x v="2"/>
    <x v="2"/>
  </r>
  <r>
    <x v="3"/>
    <x v="3"/>
    <x v="2"/>
    <x v="3"/>
    <x v="1"/>
    <x v="3"/>
    <x v="3"/>
    <x v="0"/>
    <x v="3"/>
    <x v="3"/>
    <x v="3"/>
    <x v="3"/>
    <x v="3"/>
  </r>
  <r>
    <x v="4"/>
    <x v="4"/>
    <x v="2"/>
    <x v="4"/>
    <x v="2"/>
    <x v="4"/>
    <x v="4"/>
    <x v="0"/>
    <x v="3"/>
    <x v="4"/>
    <x v="4"/>
    <x v="4"/>
    <x v="4"/>
  </r>
  <r>
    <x v="5"/>
    <x v="5"/>
    <x v="2"/>
    <x v="3"/>
    <x v="2"/>
    <x v="5"/>
    <x v="5"/>
    <x v="1"/>
    <x v="1"/>
    <x v="5"/>
    <x v="5"/>
    <x v="3"/>
    <x v="5"/>
  </r>
  <r>
    <x v="6"/>
    <x v="6"/>
    <x v="0"/>
    <x v="5"/>
    <x v="3"/>
    <x v="6"/>
    <x v="6"/>
    <x v="1"/>
    <x v="3"/>
    <x v="6"/>
    <x v="6"/>
    <x v="5"/>
    <x v="6"/>
  </r>
  <r>
    <x v="7"/>
    <x v="7"/>
    <x v="2"/>
    <x v="4"/>
    <x v="0"/>
    <x v="4"/>
    <x v="7"/>
    <x v="1"/>
    <x v="2"/>
    <x v="7"/>
    <x v="7"/>
    <x v="4"/>
    <x v="7"/>
  </r>
  <r>
    <x v="8"/>
    <x v="8"/>
    <x v="1"/>
    <x v="6"/>
    <x v="0"/>
    <x v="7"/>
    <x v="8"/>
    <x v="1"/>
    <x v="1"/>
    <x v="8"/>
    <x v="8"/>
    <x v="6"/>
    <x v="8"/>
  </r>
  <r>
    <x v="9"/>
    <x v="9"/>
    <x v="1"/>
    <x v="7"/>
    <x v="1"/>
    <x v="8"/>
    <x v="9"/>
    <x v="2"/>
    <x v="1"/>
    <x v="9"/>
    <x v="9"/>
    <x v="7"/>
    <x v="9"/>
  </r>
  <r>
    <x v="10"/>
    <x v="10"/>
    <x v="2"/>
    <x v="3"/>
    <x v="0"/>
    <x v="3"/>
    <x v="10"/>
    <x v="2"/>
    <x v="1"/>
    <x v="5"/>
    <x v="5"/>
    <x v="3"/>
    <x v="5"/>
  </r>
  <r>
    <x v="11"/>
    <x v="11"/>
    <x v="3"/>
    <x v="8"/>
    <x v="2"/>
    <x v="9"/>
    <x v="11"/>
    <x v="3"/>
    <x v="3"/>
    <x v="10"/>
    <x v="10"/>
    <x v="8"/>
    <x v="10"/>
  </r>
  <r>
    <x v="12"/>
    <x v="12"/>
    <x v="2"/>
    <x v="4"/>
    <x v="0"/>
    <x v="4"/>
    <x v="12"/>
    <x v="4"/>
    <x v="2"/>
    <x v="7"/>
    <x v="7"/>
    <x v="4"/>
    <x v="7"/>
  </r>
  <r>
    <x v="13"/>
    <x v="13"/>
    <x v="4"/>
    <x v="9"/>
    <x v="2"/>
    <x v="10"/>
    <x v="13"/>
    <x v="4"/>
    <x v="3"/>
    <x v="11"/>
    <x v="11"/>
    <x v="9"/>
    <x v="11"/>
  </r>
  <r>
    <x v="14"/>
    <x v="14"/>
    <x v="0"/>
    <x v="10"/>
    <x v="0"/>
    <x v="11"/>
    <x v="14"/>
    <x v="4"/>
    <x v="3"/>
    <x v="12"/>
    <x v="12"/>
    <x v="10"/>
    <x v="12"/>
  </r>
  <r>
    <x v="15"/>
    <x v="15"/>
    <x v="0"/>
    <x v="5"/>
    <x v="0"/>
    <x v="12"/>
    <x v="15"/>
    <x v="4"/>
    <x v="0"/>
    <x v="13"/>
    <x v="13"/>
    <x v="5"/>
    <x v="13"/>
  </r>
  <r>
    <x v="16"/>
    <x v="16"/>
    <x v="2"/>
    <x v="4"/>
    <x v="0"/>
    <x v="4"/>
    <x v="16"/>
    <x v="5"/>
    <x v="3"/>
    <x v="4"/>
    <x v="4"/>
    <x v="4"/>
    <x v="4"/>
  </r>
  <r>
    <x v="17"/>
    <x v="17"/>
    <x v="4"/>
    <x v="11"/>
    <x v="0"/>
    <x v="13"/>
    <x v="17"/>
    <x v="5"/>
    <x v="3"/>
    <x v="14"/>
    <x v="14"/>
    <x v="11"/>
    <x v="14"/>
  </r>
  <r>
    <x v="18"/>
    <x v="18"/>
    <x v="4"/>
    <x v="12"/>
    <x v="0"/>
    <x v="14"/>
    <x v="18"/>
    <x v="5"/>
    <x v="1"/>
    <x v="15"/>
    <x v="15"/>
    <x v="12"/>
    <x v="15"/>
  </r>
  <r>
    <x v="19"/>
    <x v="19"/>
    <x v="4"/>
    <x v="12"/>
    <x v="3"/>
    <x v="14"/>
    <x v="19"/>
    <x v="5"/>
    <x v="3"/>
    <x v="16"/>
    <x v="16"/>
    <x v="12"/>
    <x v="16"/>
  </r>
  <r>
    <x v="20"/>
    <x v="20"/>
    <x v="0"/>
    <x v="0"/>
    <x v="3"/>
    <x v="15"/>
    <x v="20"/>
    <x v="5"/>
    <x v="0"/>
    <x v="0"/>
    <x v="0"/>
    <x v="0"/>
    <x v="0"/>
  </r>
  <r>
    <x v="21"/>
    <x v="15"/>
    <x v="3"/>
    <x v="13"/>
    <x v="0"/>
    <x v="16"/>
    <x v="15"/>
    <x v="5"/>
    <x v="2"/>
    <x v="17"/>
    <x v="17"/>
    <x v="13"/>
    <x v="17"/>
  </r>
  <r>
    <x v="22"/>
    <x v="21"/>
    <x v="3"/>
    <x v="8"/>
    <x v="2"/>
    <x v="9"/>
    <x v="21"/>
    <x v="5"/>
    <x v="2"/>
    <x v="18"/>
    <x v="18"/>
    <x v="8"/>
    <x v="18"/>
  </r>
  <r>
    <x v="23"/>
    <x v="22"/>
    <x v="4"/>
    <x v="12"/>
    <x v="2"/>
    <x v="17"/>
    <x v="22"/>
    <x v="5"/>
    <x v="1"/>
    <x v="15"/>
    <x v="15"/>
    <x v="12"/>
    <x v="15"/>
  </r>
  <r>
    <x v="24"/>
    <x v="23"/>
    <x v="3"/>
    <x v="8"/>
    <x v="2"/>
    <x v="9"/>
    <x v="23"/>
    <x v="6"/>
    <x v="1"/>
    <x v="19"/>
    <x v="19"/>
    <x v="8"/>
    <x v="19"/>
  </r>
  <r>
    <x v="25"/>
    <x v="24"/>
    <x v="4"/>
    <x v="11"/>
    <x v="2"/>
    <x v="13"/>
    <x v="24"/>
    <x v="6"/>
    <x v="2"/>
    <x v="20"/>
    <x v="20"/>
    <x v="11"/>
    <x v="20"/>
  </r>
  <r>
    <x v="26"/>
    <x v="25"/>
    <x v="0"/>
    <x v="10"/>
    <x v="2"/>
    <x v="18"/>
    <x v="25"/>
    <x v="7"/>
    <x v="0"/>
    <x v="21"/>
    <x v="21"/>
    <x v="10"/>
    <x v="21"/>
  </r>
  <r>
    <x v="27"/>
    <x v="26"/>
    <x v="3"/>
    <x v="14"/>
    <x v="2"/>
    <x v="19"/>
    <x v="12"/>
    <x v="7"/>
    <x v="3"/>
    <x v="22"/>
    <x v="22"/>
    <x v="14"/>
    <x v="22"/>
  </r>
  <r>
    <x v="28"/>
    <x v="27"/>
    <x v="2"/>
    <x v="15"/>
    <x v="0"/>
    <x v="20"/>
    <x v="26"/>
    <x v="7"/>
    <x v="0"/>
    <x v="23"/>
    <x v="23"/>
    <x v="15"/>
    <x v="23"/>
  </r>
  <r>
    <x v="29"/>
    <x v="28"/>
    <x v="3"/>
    <x v="16"/>
    <x v="0"/>
    <x v="21"/>
    <x v="27"/>
    <x v="8"/>
    <x v="0"/>
    <x v="24"/>
    <x v="24"/>
    <x v="16"/>
    <x v="24"/>
  </r>
  <r>
    <x v="30"/>
    <x v="12"/>
    <x v="4"/>
    <x v="17"/>
    <x v="0"/>
    <x v="22"/>
    <x v="12"/>
    <x v="8"/>
    <x v="3"/>
    <x v="25"/>
    <x v="25"/>
    <x v="17"/>
    <x v="25"/>
  </r>
  <r>
    <x v="31"/>
    <x v="29"/>
    <x v="0"/>
    <x v="10"/>
    <x v="3"/>
    <x v="11"/>
    <x v="28"/>
    <x v="8"/>
    <x v="2"/>
    <x v="26"/>
    <x v="26"/>
    <x v="10"/>
    <x v="26"/>
  </r>
  <r>
    <x v="32"/>
    <x v="30"/>
    <x v="4"/>
    <x v="9"/>
    <x v="2"/>
    <x v="23"/>
    <x v="29"/>
    <x v="8"/>
    <x v="2"/>
    <x v="27"/>
    <x v="27"/>
    <x v="9"/>
    <x v="27"/>
  </r>
  <r>
    <x v="33"/>
    <x v="31"/>
    <x v="2"/>
    <x v="4"/>
    <x v="0"/>
    <x v="24"/>
    <x v="30"/>
    <x v="8"/>
    <x v="3"/>
    <x v="4"/>
    <x v="4"/>
    <x v="4"/>
    <x v="4"/>
  </r>
  <r>
    <x v="34"/>
    <x v="32"/>
    <x v="0"/>
    <x v="18"/>
    <x v="2"/>
    <x v="25"/>
    <x v="31"/>
    <x v="9"/>
    <x v="3"/>
    <x v="28"/>
    <x v="28"/>
    <x v="18"/>
    <x v="28"/>
  </r>
  <r>
    <x v="35"/>
    <x v="33"/>
    <x v="4"/>
    <x v="9"/>
    <x v="3"/>
    <x v="10"/>
    <x v="32"/>
    <x v="9"/>
    <x v="1"/>
    <x v="29"/>
    <x v="29"/>
    <x v="9"/>
    <x v="29"/>
  </r>
  <r>
    <x v="36"/>
    <x v="34"/>
    <x v="3"/>
    <x v="8"/>
    <x v="0"/>
    <x v="9"/>
    <x v="33"/>
    <x v="9"/>
    <x v="2"/>
    <x v="18"/>
    <x v="18"/>
    <x v="8"/>
    <x v="18"/>
  </r>
  <r>
    <x v="37"/>
    <x v="22"/>
    <x v="4"/>
    <x v="11"/>
    <x v="2"/>
    <x v="26"/>
    <x v="22"/>
    <x v="9"/>
    <x v="2"/>
    <x v="20"/>
    <x v="20"/>
    <x v="11"/>
    <x v="20"/>
  </r>
  <r>
    <x v="38"/>
    <x v="16"/>
    <x v="3"/>
    <x v="13"/>
    <x v="0"/>
    <x v="27"/>
    <x v="16"/>
    <x v="10"/>
    <x v="2"/>
    <x v="17"/>
    <x v="17"/>
    <x v="13"/>
    <x v="17"/>
  </r>
  <r>
    <x v="39"/>
    <x v="35"/>
    <x v="1"/>
    <x v="19"/>
    <x v="0"/>
    <x v="28"/>
    <x v="34"/>
    <x v="10"/>
    <x v="0"/>
    <x v="30"/>
    <x v="30"/>
    <x v="19"/>
    <x v="30"/>
  </r>
  <r>
    <x v="40"/>
    <x v="36"/>
    <x v="2"/>
    <x v="4"/>
    <x v="2"/>
    <x v="24"/>
    <x v="35"/>
    <x v="10"/>
    <x v="1"/>
    <x v="31"/>
    <x v="31"/>
    <x v="4"/>
    <x v="31"/>
  </r>
  <r>
    <x v="41"/>
    <x v="23"/>
    <x v="3"/>
    <x v="20"/>
    <x v="2"/>
    <x v="29"/>
    <x v="23"/>
    <x v="10"/>
    <x v="3"/>
    <x v="32"/>
    <x v="32"/>
    <x v="20"/>
    <x v="32"/>
  </r>
  <r>
    <x v="42"/>
    <x v="37"/>
    <x v="4"/>
    <x v="17"/>
    <x v="0"/>
    <x v="30"/>
    <x v="36"/>
    <x v="11"/>
    <x v="2"/>
    <x v="33"/>
    <x v="33"/>
    <x v="17"/>
    <x v="33"/>
  </r>
  <r>
    <x v="43"/>
    <x v="38"/>
    <x v="3"/>
    <x v="20"/>
    <x v="3"/>
    <x v="31"/>
    <x v="37"/>
    <x v="11"/>
    <x v="3"/>
    <x v="32"/>
    <x v="32"/>
    <x v="20"/>
    <x v="32"/>
  </r>
  <r>
    <x v="44"/>
    <x v="33"/>
    <x v="2"/>
    <x v="2"/>
    <x v="3"/>
    <x v="2"/>
    <x v="32"/>
    <x v="12"/>
    <x v="3"/>
    <x v="34"/>
    <x v="34"/>
    <x v="2"/>
    <x v="34"/>
  </r>
  <r>
    <x v="45"/>
    <x v="39"/>
    <x v="4"/>
    <x v="21"/>
    <x v="0"/>
    <x v="32"/>
    <x v="38"/>
    <x v="13"/>
    <x v="1"/>
    <x v="35"/>
    <x v="35"/>
    <x v="21"/>
    <x v="35"/>
  </r>
  <r>
    <x v="46"/>
    <x v="40"/>
    <x v="1"/>
    <x v="1"/>
    <x v="1"/>
    <x v="33"/>
    <x v="39"/>
    <x v="13"/>
    <x v="0"/>
    <x v="36"/>
    <x v="36"/>
    <x v="1"/>
    <x v="36"/>
  </r>
  <r>
    <x v="47"/>
    <x v="32"/>
    <x v="1"/>
    <x v="7"/>
    <x v="2"/>
    <x v="34"/>
    <x v="31"/>
    <x v="13"/>
    <x v="0"/>
    <x v="37"/>
    <x v="37"/>
    <x v="7"/>
    <x v="37"/>
  </r>
  <r>
    <x v="48"/>
    <x v="41"/>
    <x v="1"/>
    <x v="22"/>
    <x v="2"/>
    <x v="35"/>
    <x v="40"/>
    <x v="13"/>
    <x v="2"/>
    <x v="38"/>
    <x v="38"/>
    <x v="22"/>
    <x v="38"/>
  </r>
  <r>
    <x v="49"/>
    <x v="42"/>
    <x v="4"/>
    <x v="9"/>
    <x v="0"/>
    <x v="23"/>
    <x v="41"/>
    <x v="13"/>
    <x v="0"/>
    <x v="39"/>
    <x v="39"/>
    <x v="9"/>
    <x v="39"/>
  </r>
  <r>
    <x v="50"/>
    <x v="43"/>
    <x v="3"/>
    <x v="14"/>
    <x v="1"/>
    <x v="19"/>
    <x v="42"/>
    <x v="13"/>
    <x v="2"/>
    <x v="40"/>
    <x v="40"/>
    <x v="14"/>
    <x v="40"/>
  </r>
  <r>
    <x v="51"/>
    <x v="43"/>
    <x v="2"/>
    <x v="23"/>
    <x v="1"/>
    <x v="36"/>
    <x v="42"/>
    <x v="13"/>
    <x v="0"/>
    <x v="41"/>
    <x v="41"/>
    <x v="23"/>
    <x v="41"/>
  </r>
  <r>
    <x v="52"/>
    <x v="44"/>
    <x v="1"/>
    <x v="6"/>
    <x v="3"/>
    <x v="37"/>
    <x v="43"/>
    <x v="13"/>
    <x v="0"/>
    <x v="42"/>
    <x v="42"/>
    <x v="6"/>
    <x v="42"/>
  </r>
  <r>
    <x v="53"/>
    <x v="45"/>
    <x v="0"/>
    <x v="10"/>
    <x v="2"/>
    <x v="11"/>
    <x v="44"/>
    <x v="13"/>
    <x v="0"/>
    <x v="21"/>
    <x v="21"/>
    <x v="10"/>
    <x v="21"/>
  </r>
  <r>
    <x v="54"/>
    <x v="46"/>
    <x v="4"/>
    <x v="21"/>
    <x v="2"/>
    <x v="32"/>
    <x v="45"/>
    <x v="14"/>
    <x v="2"/>
    <x v="43"/>
    <x v="43"/>
    <x v="21"/>
    <x v="43"/>
  </r>
  <r>
    <x v="55"/>
    <x v="47"/>
    <x v="2"/>
    <x v="4"/>
    <x v="2"/>
    <x v="4"/>
    <x v="46"/>
    <x v="15"/>
    <x v="0"/>
    <x v="44"/>
    <x v="44"/>
    <x v="4"/>
    <x v="44"/>
  </r>
  <r>
    <x v="56"/>
    <x v="48"/>
    <x v="3"/>
    <x v="20"/>
    <x v="0"/>
    <x v="31"/>
    <x v="18"/>
    <x v="15"/>
    <x v="2"/>
    <x v="45"/>
    <x v="45"/>
    <x v="20"/>
    <x v="45"/>
  </r>
  <r>
    <x v="57"/>
    <x v="49"/>
    <x v="1"/>
    <x v="19"/>
    <x v="0"/>
    <x v="38"/>
    <x v="47"/>
    <x v="15"/>
    <x v="1"/>
    <x v="46"/>
    <x v="46"/>
    <x v="19"/>
    <x v="46"/>
  </r>
  <r>
    <x v="58"/>
    <x v="50"/>
    <x v="4"/>
    <x v="12"/>
    <x v="2"/>
    <x v="14"/>
    <x v="48"/>
    <x v="16"/>
    <x v="2"/>
    <x v="47"/>
    <x v="47"/>
    <x v="12"/>
    <x v="47"/>
  </r>
  <r>
    <x v="59"/>
    <x v="51"/>
    <x v="3"/>
    <x v="14"/>
    <x v="0"/>
    <x v="19"/>
    <x v="40"/>
    <x v="16"/>
    <x v="1"/>
    <x v="48"/>
    <x v="48"/>
    <x v="14"/>
    <x v="48"/>
  </r>
  <r>
    <x v="60"/>
    <x v="15"/>
    <x v="0"/>
    <x v="18"/>
    <x v="0"/>
    <x v="39"/>
    <x v="15"/>
    <x v="16"/>
    <x v="3"/>
    <x v="28"/>
    <x v="28"/>
    <x v="18"/>
    <x v="28"/>
  </r>
  <r>
    <x v="61"/>
    <x v="52"/>
    <x v="3"/>
    <x v="20"/>
    <x v="0"/>
    <x v="29"/>
    <x v="49"/>
    <x v="17"/>
    <x v="1"/>
    <x v="49"/>
    <x v="49"/>
    <x v="20"/>
    <x v="49"/>
  </r>
  <r>
    <x v="62"/>
    <x v="53"/>
    <x v="0"/>
    <x v="5"/>
    <x v="0"/>
    <x v="6"/>
    <x v="50"/>
    <x v="18"/>
    <x v="2"/>
    <x v="50"/>
    <x v="50"/>
    <x v="5"/>
    <x v="50"/>
  </r>
  <r>
    <x v="63"/>
    <x v="54"/>
    <x v="1"/>
    <x v="1"/>
    <x v="3"/>
    <x v="33"/>
    <x v="51"/>
    <x v="18"/>
    <x v="1"/>
    <x v="1"/>
    <x v="1"/>
    <x v="1"/>
    <x v="1"/>
  </r>
  <r>
    <x v="64"/>
    <x v="6"/>
    <x v="1"/>
    <x v="22"/>
    <x v="3"/>
    <x v="40"/>
    <x v="6"/>
    <x v="18"/>
    <x v="3"/>
    <x v="51"/>
    <x v="51"/>
    <x v="22"/>
    <x v="51"/>
  </r>
  <r>
    <x v="65"/>
    <x v="30"/>
    <x v="3"/>
    <x v="16"/>
    <x v="2"/>
    <x v="41"/>
    <x v="29"/>
    <x v="18"/>
    <x v="1"/>
    <x v="52"/>
    <x v="52"/>
    <x v="16"/>
    <x v="52"/>
  </r>
  <r>
    <x v="66"/>
    <x v="16"/>
    <x v="1"/>
    <x v="19"/>
    <x v="0"/>
    <x v="38"/>
    <x v="16"/>
    <x v="19"/>
    <x v="0"/>
    <x v="30"/>
    <x v="30"/>
    <x v="19"/>
    <x v="30"/>
  </r>
  <r>
    <x v="67"/>
    <x v="9"/>
    <x v="0"/>
    <x v="24"/>
    <x v="1"/>
    <x v="42"/>
    <x v="9"/>
    <x v="19"/>
    <x v="1"/>
    <x v="53"/>
    <x v="53"/>
    <x v="24"/>
    <x v="53"/>
  </r>
  <r>
    <x v="68"/>
    <x v="55"/>
    <x v="1"/>
    <x v="1"/>
    <x v="2"/>
    <x v="1"/>
    <x v="52"/>
    <x v="19"/>
    <x v="2"/>
    <x v="54"/>
    <x v="54"/>
    <x v="1"/>
    <x v="54"/>
  </r>
  <r>
    <x v="69"/>
    <x v="52"/>
    <x v="3"/>
    <x v="14"/>
    <x v="0"/>
    <x v="19"/>
    <x v="49"/>
    <x v="19"/>
    <x v="1"/>
    <x v="48"/>
    <x v="48"/>
    <x v="14"/>
    <x v="48"/>
  </r>
  <r>
    <x v="70"/>
    <x v="56"/>
    <x v="0"/>
    <x v="0"/>
    <x v="2"/>
    <x v="0"/>
    <x v="53"/>
    <x v="19"/>
    <x v="0"/>
    <x v="0"/>
    <x v="0"/>
    <x v="0"/>
    <x v="0"/>
  </r>
  <r>
    <x v="71"/>
    <x v="32"/>
    <x v="3"/>
    <x v="8"/>
    <x v="2"/>
    <x v="9"/>
    <x v="31"/>
    <x v="20"/>
    <x v="0"/>
    <x v="55"/>
    <x v="55"/>
    <x v="8"/>
    <x v="55"/>
  </r>
  <r>
    <x v="72"/>
    <x v="57"/>
    <x v="2"/>
    <x v="2"/>
    <x v="2"/>
    <x v="2"/>
    <x v="54"/>
    <x v="20"/>
    <x v="1"/>
    <x v="56"/>
    <x v="56"/>
    <x v="2"/>
    <x v="56"/>
  </r>
  <r>
    <x v="73"/>
    <x v="58"/>
    <x v="1"/>
    <x v="1"/>
    <x v="0"/>
    <x v="1"/>
    <x v="55"/>
    <x v="20"/>
    <x v="1"/>
    <x v="1"/>
    <x v="1"/>
    <x v="1"/>
    <x v="1"/>
  </r>
  <r>
    <x v="74"/>
    <x v="59"/>
    <x v="4"/>
    <x v="12"/>
    <x v="2"/>
    <x v="14"/>
    <x v="56"/>
    <x v="21"/>
    <x v="3"/>
    <x v="16"/>
    <x v="16"/>
    <x v="12"/>
    <x v="16"/>
  </r>
  <r>
    <x v="75"/>
    <x v="60"/>
    <x v="1"/>
    <x v="1"/>
    <x v="0"/>
    <x v="33"/>
    <x v="57"/>
    <x v="21"/>
    <x v="1"/>
    <x v="1"/>
    <x v="1"/>
    <x v="1"/>
    <x v="1"/>
  </r>
  <r>
    <x v="76"/>
    <x v="61"/>
    <x v="0"/>
    <x v="18"/>
    <x v="2"/>
    <x v="39"/>
    <x v="58"/>
    <x v="21"/>
    <x v="2"/>
    <x v="57"/>
    <x v="57"/>
    <x v="18"/>
    <x v="57"/>
  </r>
  <r>
    <x v="77"/>
    <x v="62"/>
    <x v="2"/>
    <x v="23"/>
    <x v="0"/>
    <x v="36"/>
    <x v="59"/>
    <x v="21"/>
    <x v="0"/>
    <x v="41"/>
    <x v="41"/>
    <x v="23"/>
    <x v="41"/>
  </r>
  <r>
    <x v="78"/>
    <x v="63"/>
    <x v="4"/>
    <x v="17"/>
    <x v="2"/>
    <x v="30"/>
    <x v="60"/>
    <x v="22"/>
    <x v="1"/>
    <x v="58"/>
    <x v="58"/>
    <x v="17"/>
    <x v="58"/>
  </r>
  <r>
    <x v="79"/>
    <x v="64"/>
    <x v="4"/>
    <x v="9"/>
    <x v="2"/>
    <x v="10"/>
    <x v="61"/>
    <x v="22"/>
    <x v="1"/>
    <x v="29"/>
    <x v="29"/>
    <x v="9"/>
    <x v="29"/>
  </r>
  <r>
    <x v="80"/>
    <x v="39"/>
    <x v="3"/>
    <x v="14"/>
    <x v="0"/>
    <x v="19"/>
    <x v="38"/>
    <x v="22"/>
    <x v="1"/>
    <x v="48"/>
    <x v="48"/>
    <x v="14"/>
    <x v="48"/>
  </r>
  <r>
    <x v="81"/>
    <x v="1"/>
    <x v="3"/>
    <x v="16"/>
    <x v="1"/>
    <x v="41"/>
    <x v="1"/>
    <x v="22"/>
    <x v="2"/>
    <x v="59"/>
    <x v="59"/>
    <x v="16"/>
    <x v="59"/>
  </r>
  <r>
    <x v="82"/>
    <x v="4"/>
    <x v="3"/>
    <x v="8"/>
    <x v="2"/>
    <x v="43"/>
    <x v="4"/>
    <x v="22"/>
    <x v="0"/>
    <x v="55"/>
    <x v="55"/>
    <x v="8"/>
    <x v="55"/>
  </r>
  <r>
    <x v="83"/>
    <x v="10"/>
    <x v="2"/>
    <x v="23"/>
    <x v="0"/>
    <x v="36"/>
    <x v="10"/>
    <x v="22"/>
    <x v="1"/>
    <x v="60"/>
    <x v="60"/>
    <x v="23"/>
    <x v="60"/>
  </r>
  <r>
    <x v="84"/>
    <x v="57"/>
    <x v="4"/>
    <x v="17"/>
    <x v="2"/>
    <x v="22"/>
    <x v="54"/>
    <x v="23"/>
    <x v="0"/>
    <x v="61"/>
    <x v="61"/>
    <x v="17"/>
    <x v="61"/>
  </r>
  <r>
    <x v="85"/>
    <x v="45"/>
    <x v="0"/>
    <x v="0"/>
    <x v="2"/>
    <x v="15"/>
    <x v="44"/>
    <x v="23"/>
    <x v="2"/>
    <x v="62"/>
    <x v="62"/>
    <x v="0"/>
    <x v="62"/>
  </r>
  <r>
    <x v="86"/>
    <x v="65"/>
    <x v="1"/>
    <x v="6"/>
    <x v="1"/>
    <x v="7"/>
    <x v="62"/>
    <x v="24"/>
    <x v="0"/>
    <x v="42"/>
    <x v="42"/>
    <x v="6"/>
    <x v="42"/>
  </r>
  <r>
    <x v="87"/>
    <x v="66"/>
    <x v="2"/>
    <x v="3"/>
    <x v="0"/>
    <x v="3"/>
    <x v="63"/>
    <x v="25"/>
    <x v="2"/>
    <x v="63"/>
    <x v="63"/>
    <x v="3"/>
    <x v="63"/>
  </r>
  <r>
    <x v="88"/>
    <x v="67"/>
    <x v="4"/>
    <x v="21"/>
    <x v="0"/>
    <x v="44"/>
    <x v="64"/>
    <x v="26"/>
    <x v="1"/>
    <x v="35"/>
    <x v="35"/>
    <x v="21"/>
    <x v="35"/>
  </r>
  <r>
    <x v="89"/>
    <x v="68"/>
    <x v="4"/>
    <x v="21"/>
    <x v="0"/>
    <x v="32"/>
    <x v="65"/>
    <x v="26"/>
    <x v="0"/>
    <x v="64"/>
    <x v="64"/>
    <x v="21"/>
    <x v="64"/>
  </r>
  <r>
    <x v="90"/>
    <x v="69"/>
    <x v="3"/>
    <x v="16"/>
    <x v="1"/>
    <x v="41"/>
    <x v="66"/>
    <x v="26"/>
    <x v="1"/>
    <x v="52"/>
    <x v="52"/>
    <x v="16"/>
    <x v="52"/>
  </r>
  <r>
    <x v="91"/>
    <x v="70"/>
    <x v="1"/>
    <x v="1"/>
    <x v="3"/>
    <x v="1"/>
    <x v="7"/>
    <x v="26"/>
    <x v="1"/>
    <x v="1"/>
    <x v="1"/>
    <x v="1"/>
    <x v="1"/>
  </r>
  <r>
    <x v="92"/>
    <x v="33"/>
    <x v="1"/>
    <x v="22"/>
    <x v="3"/>
    <x v="40"/>
    <x v="32"/>
    <x v="26"/>
    <x v="1"/>
    <x v="65"/>
    <x v="65"/>
    <x v="22"/>
    <x v="65"/>
  </r>
  <r>
    <x v="93"/>
    <x v="71"/>
    <x v="3"/>
    <x v="16"/>
    <x v="2"/>
    <x v="21"/>
    <x v="57"/>
    <x v="27"/>
    <x v="2"/>
    <x v="59"/>
    <x v="59"/>
    <x v="16"/>
    <x v="59"/>
  </r>
  <r>
    <x v="94"/>
    <x v="72"/>
    <x v="1"/>
    <x v="7"/>
    <x v="2"/>
    <x v="34"/>
    <x v="67"/>
    <x v="27"/>
    <x v="0"/>
    <x v="37"/>
    <x v="37"/>
    <x v="7"/>
    <x v="37"/>
  </r>
  <r>
    <x v="95"/>
    <x v="73"/>
    <x v="3"/>
    <x v="20"/>
    <x v="0"/>
    <x v="31"/>
    <x v="68"/>
    <x v="27"/>
    <x v="0"/>
    <x v="66"/>
    <x v="66"/>
    <x v="20"/>
    <x v="66"/>
  </r>
  <r>
    <x v="96"/>
    <x v="74"/>
    <x v="4"/>
    <x v="11"/>
    <x v="2"/>
    <x v="13"/>
    <x v="69"/>
    <x v="27"/>
    <x v="3"/>
    <x v="14"/>
    <x v="14"/>
    <x v="11"/>
    <x v="14"/>
  </r>
  <r>
    <x v="97"/>
    <x v="75"/>
    <x v="0"/>
    <x v="24"/>
    <x v="2"/>
    <x v="42"/>
    <x v="70"/>
    <x v="27"/>
    <x v="2"/>
    <x v="67"/>
    <x v="67"/>
    <x v="24"/>
    <x v="67"/>
  </r>
  <r>
    <x v="98"/>
    <x v="36"/>
    <x v="3"/>
    <x v="14"/>
    <x v="2"/>
    <x v="45"/>
    <x v="35"/>
    <x v="28"/>
    <x v="1"/>
    <x v="48"/>
    <x v="48"/>
    <x v="14"/>
    <x v="48"/>
  </r>
  <r>
    <x v="99"/>
    <x v="76"/>
    <x v="3"/>
    <x v="13"/>
    <x v="2"/>
    <x v="16"/>
    <x v="71"/>
    <x v="28"/>
    <x v="3"/>
    <x v="68"/>
    <x v="68"/>
    <x v="13"/>
    <x v="68"/>
  </r>
  <r>
    <x v="100"/>
    <x v="75"/>
    <x v="3"/>
    <x v="20"/>
    <x v="2"/>
    <x v="29"/>
    <x v="70"/>
    <x v="28"/>
    <x v="1"/>
    <x v="49"/>
    <x v="49"/>
    <x v="20"/>
    <x v="49"/>
  </r>
  <r>
    <x v="101"/>
    <x v="56"/>
    <x v="4"/>
    <x v="12"/>
    <x v="2"/>
    <x v="14"/>
    <x v="53"/>
    <x v="28"/>
    <x v="1"/>
    <x v="15"/>
    <x v="15"/>
    <x v="12"/>
    <x v="15"/>
  </r>
  <r>
    <x v="102"/>
    <x v="0"/>
    <x v="1"/>
    <x v="19"/>
    <x v="0"/>
    <x v="38"/>
    <x v="0"/>
    <x v="29"/>
    <x v="1"/>
    <x v="46"/>
    <x v="46"/>
    <x v="19"/>
    <x v="46"/>
  </r>
  <r>
    <x v="103"/>
    <x v="77"/>
    <x v="1"/>
    <x v="22"/>
    <x v="2"/>
    <x v="40"/>
    <x v="28"/>
    <x v="29"/>
    <x v="2"/>
    <x v="38"/>
    <x v="38"/>
    <x v="22"/>
    <x v="38"/>
  </r>
  <r>
    <x v="104"/>
    <x v="78"/>
    <x v="1"/>
    <x v="19"/>
    <x v="0"/>
    <x v="28"/>
    <x v="72"/>
    <x v="30"/>
    <x v="0"/>
    <x v="30"/>
    <x v="30"/>
    <x v="19"/>
    <x v="30"/>
  </r>
  <r>
    <x v="105"/>
    <x v="79"/>
    <x v="2"/>
    <x v="2"/>
    <x v="2"/>
    <x v="2"/>
    <x v="73"/>
    <x v="30"/>
    <x v="3"/>
    <x v="34"/>
    <x v="34"/>
    <x v="2"/>
    <x v="34"/>
  </r>
  <r>
    <x v="106"/>
    <x v="80"/>
    <x v="4"/>
    <x v="12"/>
    <x v="0"/>
    <x v="17"/>
    <x v="31"/>
    <x v="30"/>
    <x v="1"/>
    <x v="15"/>
    <x v="15"/>
    <x v="12"/>
    <x v="15"/>
  </r>
  <r>
    <x v="107"/>
    <x v="81"/>
    <x v="2"/>
    <x v="23"/>
    <x v="2"/>
    <x v="36"/>
    <x v="74"/>
    <x v="30"/>
    <x v="2"/>
    <x v="69"/>
    <x v="69"/>
    <x v="23"/>
    <x v="69"/>
  </r>
  <r>
    <x v="108"/>
    <x v="36"/>
    <x v="4"/>
    <x v="21"/>
    <x v="2"/>
    <x v="44"/>
    <x v="35"/>
    <x v="30"/>
    <x v="3"/>
    <x v="70"/>
    <x v="70"/>
    <x v="21"/>
    <x v="70"/>
  </r>
  <r>
    <x v="109"/>
    <x v="9"/>
    <x v="3"/>
    <x v="14"/>
    <x v="1"/>
    <x v="19"/>
    <x v="9"/>
    <x v="30"/>
    <x v="3"/>
    <x v="22"/>
    <x v="22"/>
    <x v="14"/>
    <x v="22"/>
  </r>
  <r>
    <x v="110"/>
    <x v="51"/>
    <x v="1"/>
    <x v="22"/>
    <x v="0"/>
    <x v="35"/>
    <x v="40"/>
    <x v="30"/>
    <x v="0"/>
    <x v="71"/>
    <x v="71"/>
    <x v="22"/>
    <x v="71"/>
  </r>
  <r>
    <x v="111"/>
    <x v="82"/>
    <x v="4"/>
    <x v="17"/>
    <x v="0"/>
    <x v="22"/>
    <x v="75"/>
    <x v="30"/>
    <x v="1"/>
    <x v="58"/>
    <x v="58"/>
    <x v="17"/>
    <x v="58"/>
  </r>
  <r>
    <x v="112"/>
    <x v="83"/>
    <x v="2"/>
    <x v="15"/>
    <x v="2"/>
    <x v="46"/>
    <x v="76"/>
    <x v="30"/>
    <x v="3"/>
    <x v="72"/>
    <x v="72"/>
    <x v="15"/>
    <x v="72"/>
  </r>
  <r>
    <x v="113"/>
    <x v="84"/>
    <x v="0"/>
    <x v="24"/>
    <x v="0"/>
    <x v="47"/>
    <x v="77"/>
    <x v="31"/>
    <x v="2"/>
    <x v="67"/>
    <x v="67"/>
    <x v="24"/>
    <x v="67"/>
  </r>
  <r>
    <x v="114"/>
    <x v="85"/>
    <x v="2"/>
    <x v="2"/>
    <x v="2"/>
    <x v="2"/>
    <x v="78"/>
    <x v="32"/>
    <x v="0"/>
    <x v="73"/>
    <x v="73"/>
    <x v="2"/>
    <x v="73"/>
  </r>
  <r>
    <x v="115"/>
    <x v="41"/>
    <x v="2"/>
    <x v="4"/>
    <x v="2"/>
    <x v="24"/>
    <x v="40"/>
    <x v="32"/>
    <x v="1"/>
    <x v="31"/>
    <x v="31"/>
    <x v="4"/>
    <x v="31"/>
  </r>
  <r>
    <x v="116"/>
    <x v="42"/>
    <x v="3"/>
    <x v="8"/>
    <x v="0"/>
    <x v="43"/>
    <x v="41"/>
    <x v="32"/>
    <x v="3"/>
    <x v="10"/>
    <x v="10"/>
    <x v="8"/>
    <x v="10"/>
  </r>
  <r>
    <x v="117"/>
    <x v="4"/>
    <x v="0"/>
    <x v="10"/>
    <x v="2"/>
    <x v="18"/>
    <x v="4"/>
    <x v="32"/>
    <x v="0"/>
    <x v="21"/>
    <x v="21"/>
    <x v="10"/>
    <x v="21"/>
  </r>
  <r>
    <x v="118"/>
    <x v="86"/>
    <x v="0"/>
    <x v="5"/>
    <x v="2"/>
    <x v="6"/>
    <x v="69"/>
    <x v="32"/>
    <x v="2"/>
    <x v="50"/>
    <x v="50"/>
    <x v="5"/>
    <x v="50"/>
  </r>
  <r>
    <x v="119"/>
    <x v="87"/>
    <x v="4"/>
    <x v="21"/>
    <x v="2"/>
    <x v="32"/>
    <x v="79"/>
    <x v="33"/>
    <x v="3"/>
    <x v="70"/>
    <x v="70"/>
    <x v="21"/>
    <x v="70"/>
  </r>
  <r>
    <x v="120"/>
    <x v="88"/>
    <x v="0"/>
    <x v="5"/>
    <x v="2"/>
    <x v="12"/>
    <x v="12"/>
    <x v="33"/>
    <x v="3"/>
    <x v="6"/>
    <x v="6"/>
    <x v="5"/>
    <x v="6"/>
  </r>
  <r>
    <x v="121"/>
    <x v="42"/>
    <x v="3"/>
    <x v="8"/>
    <x v="0"/>
    <x v="43"/>
    <x v="41"/>
    <x v="33"/>
    <x v="3"/>
    <x v="10"/>
    <x v="10"/>
    <x v="8"/>
    <x v="10"/>
  </r>
  <r>
    <x v="122"/>
    <x v="89"/>
    <x v="2"/>
    <x v="3"/>
    <x v="2"/>
    <x v="5"/>
    <x v="80"/>
    <x v="34"/>
    <x v="0"/>
    <x v="74"/>
    <x v="74"/>
    <x v="3"/>
    <x v="74"/>
  </r>
  <r>
    <x v="123"/>
    <x v="65"/>
    <x v="2"/>
    <x v="23"/>
    <x v="1"/>
    <x v="36"/>
    <x v="62"/>
    <x v="34"/>
    <x v="3"/>
    <x v="75"/>
    <x v="75"/>
    <x v="23"/>
    <x v="75"/>
  </r>
  <r>
    <x v="124"/>
    <x v="90"/>
    <x v="0"/>
    <x v="5"/>
    <x v="2"/>
    <x v="12"/>
    <x v="81"/>
    <x v="34"/>
    <x v="2"/>
    <x v="50"/>
    <x v="50"/>
    <x v="5"/>
    <x v="50"/>
  </r>
  <r>
    <x v="125"/>
    <x v="91"/>
    <x v="3"/>
    <x v="20"/>
    <x v="1"/>
    <x v="29"/>
    <x v="82"/>
    <x v="34"/>
    <x v="2"/>
    <x v="45"/>
    <x v="45"/>
    <x v="20"/>
    <x v="45"/>
  </r>
  <r>
    <x v="126"/>
    <x v="92"/>
    <x v="4"/>
    <x v="11"/>
    <x v="2"/>
    <x v="26"/>
    <x v="43"/>
    <x v="34"/>
    <x v="0"/>
    <x v="76"/>
    <x v="76"/>
    <x v="11"/>
    <x v="76"/>
  </r>
  <r>
    <x v="127"/>
    <x v="33"/>
    <x v="3"/>
    <x v="16"/>
    <x v="3"/>
    <x v="21"/>
    <x v="32"/>
    <x v="34"/>
    <x v="1"/>
    <x v="52"/>
    <x v="52"/>
    <x v="16"/>
    <x v="52"/>
  </r>
  <r>
    <x v="128"/>
    <x v="24"/>
    <x v="3"/>
    <x v="20"/>
    <x v="2"/>
    <x v="31"/>
    <x v="24"/>
    <x v="34"/>
    <x v="1"/>
    <x v="49"/>
    <x v="49"/>
    <x v="20"/>
    <x v="49"/>
  </r>
  <r>
    <x v="129"/>
    <x v="72"/>
    <x v="1"/>
    <x v="22"/>
    <x v="2"/>
    <x v="40"/>
    <x v="67"/>
    <x v="35"/>
    <x v="1"/>
    <x v="65"/>
    <x v="65"/>
    <x v="22"/>
    <x v="65"/>
  </r>
  <r>
    <x v="130"/>
    <x v="93"/>
    <x v="2"/>
    <x v="2"/>
    <x v="2"/>
    <x v="2"/>
    <x v="83"/>
    <x v="35"/>
    <x v="0"/>
    <x v="73"/>
    <x v="73"/>
    <x v="2"/>
    <x v="73"/>
  </r>
  <r>
    <x v="131"/>
    <x v="94"/>
    <x v="0"/>
    <x v="24"/>
    <x v="1"/>
    <x v="42"/>
    <x v="84"/>
    <x v="35"/>
    <x v="3"/>
    <x v="77"/>
    <x v="77"/>
    <x v="24"/>
    <x v="77"/>
  </r>
  <r>
    <x v="132"/>
    <x v="95"/>
    <x v="4"/>
    <x v="9"/>
    <x v="1"/>
    <x v="10"/>
    <x v="85"/>
    <x v="36"/>
    <x v="1"/>
    <x v="29"/>
    <x v="29"/>
    <x v="9"/>
    <x v="29"/>
  </r>
  <r>
    <x v="133"/>
    <x v="96"/>
    <x v="1"/>
    <x v="6"/>
    <x v="0"/>
    <x v="7"/>
    <x v="51"/>
    <x v="36"/>
    <x v="1"/>
    <x v="8"/>
    <x v="8"/>
    <x v="6"/>
    <x v="8"/>
  </r>
  <r>
    <x v="134"/>
    <x v="97"/>
    <x v="0"/>
    <x v="18"/>
    <x v="0"/>
    <x v="39"/>
    <x v="86"/>
    <x v="36"/>
    <x v="0"/>
    <x v="78"/>
    <x v="78"/>
    <x v="18"/>
    <x v="78"/>
  </r>
  <r>
    <x v="135"/>
    <x v="98"/>
    <x v="1"/>
    <x v="7"/>
    <x v="1"/>
    <x v="8"/>
    <x v="87"/>
    <x v="37"/>
    <x v="3"/>
    <x v="79"/>
    <x v="79"/>
    <x v="7"/>
    <x v="79"/>
  </r>
  <r>
    <x v="136"/>
    <x v="99"/>
    <x v="2"/>
    <x v="15"/>
    <x v="1"/>
    <x v="46"/>
    <x v="88"/>
    <x v="37"/>
    <x v="2"/>
    <x v="80"/>
    <x v="80"/>
    <x v="15"/>
    <x v="80"/>
  </r>
  <r>
    <x v="137"/>
    <x v="67"/>
    <x v="3"/>
    <x v="16"/>
    <x v="0"/>
    <x v="21"/>
    <x v="64"/>
    <x v="38"/>
    <x v="3"/>
    <x v="81"/>
    <x v="81"/>
    <x v="16"/>
    <x v="81"/>
  </r>
  <r>
    <x v="138"/>
    <x v="11"/>
    <x v="1"/>
    <x v="7"/>
    <x v="2"/>
    <x v="34"/>
    <x v="11"/>
    <x v="38"/>
    <x v="0"/>
    <x v="37"/>
    <x v="37"/>
    <x v="7"/>
    <x v="37"/>
  </r>
  <r>
    <x v="139"/>
    <x v="100"/>
    <x v="3"/>
    <x v="14"/>
    <x v="0"/>
    <x v="19"/>
    <x v="89"/>
    <x v="38"/>
    <x v="2"/>
    <x v="40"/>
    <x v="40"/>
    <x v="14"/>
    <x v="40"/>
  </r>
  <r>
    <x v="140"/>
    <x v="64"/>
    <x v="4"/>
    <x v="11"/>
    <x v="2"/>
    <x v="13"/>
    <x v="61"/>
    <x v="38"/>
    <x v="3"/>
    <x v="14"/>
    <x v="14"/>
    <x v="11"/>
    <x v="14"/>
  </r>
  <r>
    <x v="141"/>
    <x v="47"/>
    <x v="1"/>
    <x v="6"/>
    <x v="2"/>
    <x v="7"/>
    <x v="46"/>
    <x v="38"/>
    <x v="1"/>
    <x v="8"/>
    <x v="8"/>
    <x v="6"/>
    <x v="8"/>
  </r>
  <r>
    <x v="142"/>
    <x v="90"/>
    <x v="4"/>
    <x v="12"/>
    <x v="2"/>
    <x v="17"/>
    <x v="81"/>
    <x v="38"/>
    <x v="1"/>
    <x v="15"/>
    <x v="15"/>
    <x v="12"/>
    <x v="15"/>
  </r>
  <r>
    <x v="143"/>
    <x v="101"/>
    <x v="2"/>
    <x v="4"/>
    <x v="3"/>
    <x v="4"/>
    <x v="90"/>
    <x v="38"/>
    <x v="0"/>
    <x v="44"/>
    <x v="44"/>
    <x v="4"/>
    <x v="44"/>
  </r>
  <r>
    <x v="144"/>
    <x v="92"/>
    <x v="2"/>
    <x v="3"/>
    <x v="2"/>
    <x v="3"/>
    <x v="43"/>
    <x v="38"/>
    <x v="2"/>
    <x v="63"/>
    <x v="63"/>
    <x v="3"/>
    <x v="63"/>
  </r>
  <r>
    <x v="145"/>
    <x v="28"/>
    <x v="1"/>
    <x v="6"/>
    <x v="0"/>
    <x v="7"/>
    <x v="27"/>
    <x v="39"/>
    <x v="0"/>
    <x v="42"/>
    <x v="42"/>
    <x v="6"/>
    <x v="42"/>
  </r>
  <r>
    <x v="146"/>
    <x v="88"/>
    <x v="1"/>
    <x v="7"/>
    <x v="2"/>
    <x v="34"/>
    <x v="12"/>
    <x v="39"/>
    <x v="3"/>
    <x v="79"/>
    <x v="79"/>
    <x v="7"/>
    <x v="79"/>
  </r>
  <r>
    <x v="147"/>
    <x v="102"/>
    <x v="1"/>
    <x v="7"/>
    <x v="0"/>
    <x v="34"/>
    <x v="91"/>
    <x v="39"/>
    <x v="3"/>
    <x v="79"/>
    <x v="79"/>
    <x v="7"/>
    <x v="79"/>
  </r>
  <r>
    <x v="148"/>
    <x v="103"/>
    <x v="3"/>
    <x v="14"/>
    <x v="1"/>
    <x v="19"/>
    <x v="92"/>
    <x v="39"/>
    <x v="2"/>
    <x v="40"/>
    <x v="40"/>
    <x v="14"/>
    <x v="40"/>
  </r>
  <r>
    <x v="149"/>
    <x v="104"/>
    <x v="1"/>
    <x v="7"/>
    <x v="2"/>
    <x v="8"/>
    <x v="93"/>
    <x v="39"/>
    <x v="2"/>
    <x v="82"/>
    <x v="82"/>
    <x v="7"/>
    <x v="82"/>
  </r>
  <r>
    <x v="150"/>
    <x v="105"/>
    <x v="4"/>
    <x v="21"/>
    <x v="0"/>
    <x v="32"/>
    <x v="94"/>
    <x v="39"/>
    <x v="3"/>
    <x v="70"/>
    <x v="70"/>
    <x v="21"/>
    <x v="70"/>
  </r>
  <r>
    <x v="151"/>
    <x v="94"/>
    <x v="3"/>
    <x v="16"/>
    <x v="1"/>
    <x v="21"/>
    <x v="84"/>
    <x v="39"/>
    <x v="2"/>
    <x v="59"/>
    <x v="59"/>
    <x v="16"/>
    <x v="59"/>
  </r>
  <r>
    <x v="152"/>
    <x v="99"/>
    <x v="2"/>
    <x v="15"/>
    <x v="1"/>
    <x v="20"/>
    <x v="88"/>
    <x v="39"/>
    <x v="3"/>
    <x v="72"/>
    <x v="72"/>
    <x v="15"/>
    <x v="72"/>
  </r>
  <r>
    <x v="153"/>
    <x v="106"/>
    <x v="3"/>
    <x v="8"/>
    <x v="2"/>
    <x v="43"/>
    <x v="95"/>
    <x v="40"/>
    <x v="1"/>
    <x v="19"/>
    <x v="19"/>
    <x v="8"/>
    <x v="19"/>
  </r>
  <r>
    <x v="154"/>
    <x v="75"/>
    <x v="1"/>
    <x v="22"/>
    <x v="2"/>
    <x v="40"/>
    <x v="70"/>
    <x v="40"/>
    <x v="1"/>
    <x v="65"/>
    <x v="65"/>
    <x v="22"/>
    <x v="65"/>
  </r>
  <r>
    <x v="155"/>
    <x v="30"/>
    <x v="3"/>
    <x v="14"/>
    <x v="2"/>
    <x v="19"/>
    <x v="29"/>
    <x v="40"/>
    <x v="2"/>
    <x v="40"/>
    <x v="40"/>
    <x v="14"/>
    <x v="40"/>
  </r>
  <r>
    <x v="156"/>
    <x v="107"/>
    <x v="0"/>
    <x v="10"/>
    <x v="3"/>
    <x v="18"/>
    <x v="83"/>
    <x v="40"/>
    <x v="0"/>
    <x v="21"/>
    <x v="21"/>
    <x v="10"/>
    <x v="21"/>
  </r>
  <r>
    <x v="157"/>
    <x v="108"/>
    <x v="2"/>
    <x v="3"/>
    <x v="0"/>
    <x v="3"/>
    <x v="96"/>
    <x v="41"/>
    <x v="3"/>
    <x v="3"/>
    <x v="3"/>
    <x v="3"/>
    <x v="3"/>
  </r>
  <r>
    <x v="158"/>
    <x v="109"/>
    <x v="3"/>
    <x v="20"/>
    <x v="2"/>
    <x v="29"/>
    <x v="79"/>
    <x v="41"/>
    <x v="2"/>
    <x v="45"/>
    <x v="45"/>
    <x v="20"/>
    <x v="45"/>
  </r>
  <r>
    <x v="159"/>
    <x v="58"/>
    <x v="4"/>
    <x v="11"/>
    <x v="0"/>
    <x v="13"/>
    <x v="55"/>
    <x v="41"/>
    <x v="0"/>
    <x v="76"/>
    <x v="76"/>
    <x v="11"/>
    <x v="76"/>
  </r>
  <r>
    <x v="160"/>
    <x v="110"/>
    <x v="4"/>
    <x v="12"/>
    <x v="0"/>
    <x v="14"/>
    <x v="5"/>
    <x v="41"/>
    <x v="3"/>
    <x v="16"/>
    <x v="16"/>
    <x v="12"/>
    <x v="16"/>
  </r>
  <r>
    <x v="161"/>
    <x v="89"/>
    <x v="4"/>
    <x v="21"/>
    <x v="2"/>
    <x v="32"/>
    <x v="80"/>
    <x v="42"/>
    <x v="3"/>
    <x v="70"/>
    <x v="70"/>
    <x v="21"/>
    <x v="70"/>
  </r>
  <r>
    <x v="162"/>
    <x v="111"/>
    <x v="4"/>
    <x v="21"/>
    <x v="0"/>
    <x v="44"/>
    <x v="19"/>
    <x v="42"/>
    <x v="2"/>
    <x v="43"/>
    <x v="43"/>
    <x v="21"/>
    <x v="43"/>
  </r>
  <r>
    <x v="163"/>
    <x v="112"/>
    <x v="1"/>
    <x v="1"/>
    <x v="3"/>
    <x v="1"/>
    <x v="97"/>
    <x v="42"/>
    <x v="0"/>
    <x v="36"/>
    <x v="36"/>
    <x v="1"/>
    <x v="36"/>
  </r>
  <r>
    <x v="164"/>
    <x v="44"/>
    <x v="1"/>
    <x v="7"/>
    <x v="3"/>
    <x v="34"/>
    <x v="43"/>
    <x v="42"/>
    <x v="0"/>
    <x v="37"/>
    <x v="37"/>
    <x v="7"/>
    <x v="37"/>
  </r>
  <r>
    <x v="165"/>
    <x v="65"/>
    <x v="3"/>
    <x v="8"/>
    <x v="1"/>
    <x v="9"/>
    <x v="62"/>
    <x v="43"/>
    <x v="3"/>
    <x v="10"/>
    <x v="10"/>
    <x v="8"/>
    <x v="10"/>
  </r>
  <r>
    <x v="166"/>
    <x v="94"/>
    <x v="0"/>
    <x v="24"/>
    <x v="1"/>
    <x v="47"/>
    <x v="84"/>
    <x v="43"/>
    <x v="2"/>
    <x v="67"/>
    <x v="67"/>
    <x v="24"/>
    <x v="67"/>
  </r>
  <r>
    <x v="167"/>
    <x v="63"/>
    <x v="3"/>
    <x v="8"/>
    <x v="2"/>
    <x v="9"/>
    <x v="60"/>
    <x v="44"/>
    <x v="0"/>
    <x v="55"/>
    <x v="55"/>
    <x v="8"/>
    <x v="55"/>
  </r>
  <r>
    <x v="168"/>
    <x v="89"/>
    <x v="1"/>
    <x v="6"/>
    <x v="2"/>
    <x v="7"/>
    <x v="80"/>
    <x v="44"/>
    <x v="2"/>
    <x v="83"/>
    <x v="83"/>
    <x v="6"/>
    <x v="83"/>
  </r>
  <r>
    <x v="169"/>
    <x v="113"/>
    <x v="2"/>
    <x v="23"/>
    <x v="2"/>
    <x v="36"/>
    <x v="98"/>
    <x v="44"/>
    <x v="3"/>
    <x v="75"/>
    <x v="75"/>
    <x v="23"/>
    <x v="75"/>
  </r>
  <r>
    <x v="170"/>
    <x v="6"/>
    <x v="4"/>
    <x v="9"/>
    <x v="3"/>
    <x v="10"/>
    <x v="6"/>
    <x v="44"/>
    <x v="3"/>
    <x v="11"/>
    <x v="11"/>
    <x v="9"/>
    <x v="11"/>
  </r>
  <r>
    <x v="171"/>
    <x v="114"/>
    <x v="1"/>
    <x v="19"/>
    <x v="1"/>
    <x v="28"/>
    <x v="99"/>
    <x v="44"/>
    <x v="0"/>
    <x v="30"/>
    <x v="30"/>
    <x v="19"/>
    <x v="30"/>
  </r>
  <r>
    <x v="172"/>
    <x v="16"/>
    <x v="2"/>
    <x v="2"/>
    <x v="0"/>
    <x v="48"/>
    <x v="16"/>
    <x v="45"/>
    <x v="2"/>
    <x v="2"/>
    <x v="2"/>
    <x v="2"/>
    <x v="2"/>
  </r>
  <r>
    <x v="173"/>
    <x v="115"/>
    <x v="0"/>
    <x v="18"/>
    <x v="2"/>
    <x v="39"/>
    <x v="100"/>
    <x v="45"/>
    <x v="1"/>
    <x v="84"/>
    <x v="84"/>
    <x v="18"/>
    <x v="84"/>
  </r>
  <r>
    <x v="174"/>
    <x v="51"/>
    <x v="2"/>
    <x v="2"/>
    <x v="0"/>
    <x v="2"/>
    <x v="40"/>
    <x v="45"/>
    <x v="2"/>
    <x v="2"/>
    <x v="2"/>
    <x v="2"/>
    <x v="2"/>
  </r>
  <r>
    <x v="175"/>
    <x v="104"/>
    <x v="4"/>
    <x v="12"/>
    <x v="2"/>
    <x v="17"/>
    <x v="93"/>
    <x v="45"/>
    <x v="2"/>
    <x v="47"/>
    <x v="47"/>
    <x v="12"/>
    <x v="47"/>
  </r>
  <r>
    <x v="176"/>
    <x v="76"/>
    <x v="3"/>
    <x v="20"/>
    <x v="2"/>
    <x v="31"/>
    <x v="71"/>
    <x v="45"/>
    <x v="1"/>
    <x v="49"/>
    <x v="49"/>
    <x v="20"/>
    <x v="49"/>
  </r>
  <r>
    <x v="177"/>
    <x v="116"/>
    <x v="0"/>
    <x v="24"/>
    <x v="3"/>
    <x v="42"/>
    <x v="101"/>
    <x v="45"/>
    <x v="0"/>
    <x v="85"/>
    <x v="85"/>
    <x v="24"/>
    <x v="85"/>
  </r>
  <r>
    <x v="178"/>
    <x v="101"/>
    <x v="3"/>
    <x v="14"/>
    <x v="3"/>
    <x v="45"/>
    <x v="90"/>
    <x v="46"/>
    <x v="0"/>
    <x v="86"/>
    <x v="86"/>
    <x v="14"/>
    <x v="86"/>
  </r>
  <r>
    <x v="179"/>
    <x v="37"/>
    <x v="2"/>
    <x v="2"/>
    <x v="0"/>
    <x v="48"/>
    <x v="36"/>
    <x v="47"/>
    <x v="1"/>
    <x v="56"/>
    <x v="56"/>
    <x v="2"/>
    <x v="56"/>
  </r>
  <r>
    <x v="180"/>
    <x v="117"/>
    <x v="0"/>
    <x v="18"/>
    <x v="2"/>
    <x v="39"/>
    <x v="102"/>
    <x v="47"/>
    <x v="0"/>
    <x v="78"/>
    <x v="78"/>
    <x v="18"/>
    <x v="78"/>
  </r>
  <r>
    <x v="181"/>
    <x v="52"/>
    <x v="1"/>
    <x v="6"/>
    <x v="0"/>
    <x v="7"/>
    <x v="49"/>
    <x v="47"/>
    <x v="1"/>
    <x v="8"/>
    <x v="8"/>
    <x v="6"/>
    <x v="8"/>
  </r>
  <r>
    <x v="182"/>
    <x v="113"/>
    <x v="4"/>
    <x v="21"/>
    <x v="2"/>
    <x v="32"/>
    <x v="98"/>
    <x v="48"/>
    <x v="2"/>
    <x v="43"/>
    <x v="43"/>
    <x v="21"/>
    <x v="43"/>
  </r>
  <r>
    <x v="183"/>
    <x v="107"/>
    <x v="3"/>
    <x v="8"/>
    <x v="3"/>
    <x v="43"/>
    <x v="83"/>
    <x v="48"/>
    <x v="1"/>
    <x v="19"/>
    <x v="19"/>
    <x v="8"/>
    <x v="19"/>
  </r>
  <r>
    <x v="184"/>
    <x v="1"/>
    <x v="1"/>
    <x v="1"/>
    <x v="1"/>
    <x v="1"/>
    <x v="1"/>
    <x v="49"/>
    <x v="2"/>
    <x v="54"/>
    <x v="54"/>
    <x v="1"/>
    <x v="54"/>
  </r>
  <r>
    <x v="185"/>
    <x v="86"/>
    <x v="1"/>
    <x v="19"/>
    <x v="2"/>
    <x v="38"/>
    <x v="69"/>
    <x v="49"/>
    <x v="0"/>
    <x v="30"/>
    <x v="30"/>
    <x v="19"/>
    <x v="30"/>
  </r>
  <r>
    <x v="186"/>
    <x v="118"/>
    <x v="1"/>
    <x v="6"/>
    <x v="3"/>
    <x v="7"/>
    <x v="103"/>
    <x v="50"/>
    <x v="1"/>
    <x v="8"/>
    <x v="8"/>
    <x v="6"/>
    <x v="8"/>
  </r>
  <r>
    <x v="187"/>
    <x v="19"/>
    <x v="1"/>
    <x v="7"/>
    <x v="3"/>
    <x v="8"/>
    <x v="19"/>
    <x v="50"/>
    <x v="3"/>
    <x v="79"/>
    <x v="79"/>
    <x v="7"/>
    <x v="79"/>
  </r>
  <r>
    <x v="188"/>
    <x v="63"/>
    <x v="3"/>
    <x v="16"/>
    <x v="2"/>
    <x v="41"/>
    <x v="60"/>
    <x v="51"/>
    <x v="0"/>
    <x v="24"/>
    <x v="24"/>
    <x v="16"/>
    <x v="24"/>
  </r>
  <r>
    <x v="189"/>
    <x v="0"/>
    <x v="1"/>
    <x v="1"/>
    <x v="0"/>
    <x v="1"/>
    <x v="0"/>
    <x v="51"/>
    <x v="0"/>
    <x v="36"/>
    <x v="36"/>
    <x v="1"/>
    <x v="36"/>
  </r>
  <r>
    <x v="190"/>
    <x v="5"/>
    <x v="0"/>
    <x v="24"/>
    <x v="2"/>
    <x v="42"/>
    <x v="5"/>
    <x v="52"/>
    <x v="2"/>
    <x v="67"/>
    <x v="67"/>
    <x v="24"/>
    <x v="67"/>
  </r>
  <r>
    <x v="191"/>
    <x v="28"/>
    <x v="0"/>
    <x v="24"/>
    <x v="0"/>
    <x v="42"/>
    <x v="27"/>
    <x v="52"/>
    <x v="3"/>
    <x v="77"/>
    <x v="77"/>
    <x v="24"/>
    <x v="77"/>
  </r>
  <r>
    <x v="192"/>
    <x v="119"/>
    <x v="2"/>
    <x v="2"/>
    <x v="2"/>
    <x v="2"/>
    <x v="58"/>
    <x v="52"/>
    <x v="2"/>
    <x v="2"/>
    <x v="2"/>
    <x v="2"/>
    <x v="2"/>
  </r>
  <r>
    <x v="193"/>
    <x v="109"/>
    <x v="4"/>
    <x v="12"/>
    <x v="2"/>
    <x v="14"/>
    <x v="79"/>
    <x v="52"/>
    <x v="0"/>
    <x v="87"/>
    <x v="87"/>
    <x v="12"/>
    <x v="87"/>
  </r>
  <r>
    <x v="194"/>
    <x v="110"/>
    <x v="1"/>
    <x v="6"/>
    <x v="0"/>
    <x v="7"/>
    <x v="5"/>
    <x v="52"/>
    <x v="0"/>
    <x v="42"/>
    <x v="42"/>
    <x v="6"/>
    <x v="42"/>
  </r>
  <r>
    <x v="195"/>
    <x v="64"/>
    <x v="3"/>
    <x v="14"/>
    <x v="2"/>
    <x v="19"/>
    <x v="61"/>
    <x v="53"/>
    <x v="0"/>
    <x v="86"/>
    <x v="86"/>
    <x v="14"/>
    <x v="86"/>
  </r>
  <r>
    <x v="196"/>
    <x v="57"/>
    <x v="2"/>
    <x v="15"/>
    <x v="2"/>
    <x v="46"/>
    <x v="54"/>
    <x v="53"/>
    <x v="1"/>
    <x v="88"/>
    <x v="88"/>
    <x v="15"/>
    <x v="88"/>
  </r>
  <r>
    <x v="197"/>
    <x v="120"/>
    <x v="4"/>
    <x v="11"/>
    <x v="0"/>
    <x v="26"/>
    <x v="66"/>
    <x v="54"/>
    <x v="1"/>
    <x v="89"/>
    <x v="89"/>
    <x v="11"/>
    <x v="89"/>
  </r>
  <r>
    <x v="198"/>
    <x v="47"/>
    <x v="2"/>
    <x v="23"/>
    <x v="2"/>
    <x v="49"/>
    <x v="46"/>
    <x v="55"/>
    <x v="0"/>
    <x v="41"/>
    <x v="41"/>
    <x v="23"/>
    <x v="41"/>
  </r>
  <r>
    <x v="199"/>
    <x v="75"/>
    <x v="4"/>
    <x v="12"/>
    <x v="2"/>
    <x v="17"/>
    <x v="70"/>
    <x v="55"/>
    <x v="2"/>
    <x v="47"/>
    <x v="47"/>
    <x v="12"/>
    <x v="47"/>
  </r>
  <r>
    <x v="200"/>
    <x v="78"/>
    <x v="3"/>
    <x v="14"/>
    <x v="0"/>
    <x v="45"/>
    <x v="72"/>
    <x v="56"/>
    <x v="0"/>
    <x v="86"/>
    <x v="86"/>
    <x v="14"/>
    <x v="86"/>
  </r>
  <r>
    <x v="201"/>
    <x v="113"/>
    <x v="1"/>
    <x v="7"/>
    <x v="2"/>
    <x v="34"/>
    <x v="98"/>
    <x v="56"/>
    <x v="2"/>
    <x v="82"/>
    <x v="82"/>
    <x v="7"/>
    <x v="82"/>
  </r>
  <r>
    <x v="202"/>
    <x v="66"/>
    <x v="1"/>
    <x v="6"/>
    <x v="0"/>
    <x v="7"/>
    <x v="63"/>
    <x v="56"/>
    <x v="0"/>
    <x v="42"/>
    <x v="42"/>
    <x v="6"/>
    <x v="42"/>
  </r>
  <r>
    <x v="203"/>
    <x v="121"/>
    <x v="3"/>
    <x v="8"/>
    <x v="2"/>
    <x v="43"/>
    <x v="104"/>
    <x v="56"/>
    <x v="0"/>
    <x v="55"/>
    <x v="55"/>
    <x v="8"/>
    <x v="55"/>
  </r>
  <r>
    <x v="204"/>
    <x v="122"/>
    <x v="4"/>
    <x v="21"/>
    <x v="3"/>
    <x v="44"/>
    <x v="105"/>
    <x v="57"/>
    <x v="1"/>
    <x v="35"/>
    <x v="35"/>
    <x v="21"/>
    <x v="35"/>
  </r>
  <r>
    <x v="205"/>
    <x v="13"/>
    <x v="4"/>
    <x v="9"/>
    <x v="2"/>
    <x v="23"/>
    <x v="13"/>
    <x v="57"/>
    <x v="0"/>
    <x v="39"/>
    <x v="39"/>
    <x v="9"/>
    <x v="39"/>
  </r>
  <r>
    <x v="206"/>
    <x v="88"/>
    <x v="0"/>
    <x v="18"/>
    <x v="2"/>
    <x v="39"/>
    <x v="12"/>
    <x v="57"/>
    <x v="0"/>
    <x v="78"/>
    <x v="78"/>
    <x v="18"/>
    <x v="78"/>
  </r>
  <r>
    <x v="207"/>
    <x v="75"/>
    <x v="1"/>
    <x v="1"/>
    <x v="2"/>
    <x v="33"/>
    <x v="70"/>
    <x v="57"/>
    <x v="3"/>
    <x v="90"/>
    <x v="90"/>
    <x v="1"/>
    <x v="90"/>
  </r>
  <r>
    <x v="208"/>
    <x v="63"/>
    <x v="3"/>
    <x v="20"/>
    <x v="2"/>
    <x v="31"/>
    <x v="60"/>
    <x v="58"/>
    <x v="3"/>
    <x v="32"/>
    <x v="32"/>
    <x v="20"/>
    <x v="32"/>
  </r>
  <r>
    <x v="209"/>
    <x v="47"/>
    <x v="1"/>
    <x v="7"/>
    <x v="2"/>
    <x v="34"/>
    <x v="46"/>
    <x v="58"/>
    <x v="1"/>
    <x v="9"/>
    <x v="9"/>
    <x v="7"/>
    <x v="9"/>
  </r>
  <r>
    <x v="210"/>
    <x v="17"/>
    <x v="2"/>
    <x v="23"/>
    <x v="0"/>
    <x v="49"/>
    <x v="17"/>
    <x v="58"/>
    <x v="3"/>
    <x v="75"/>
    <x v="75"/>
    <x v="23"/>
    <x v="75"/>
  </r>
  <r>
    <x v="211"/>
    <x v="114"/>
    <x v="3"/>
    <x v="20"/>
    <x v="1"/>
    <x v="29"/>
    <x v="99"/>
    <x v="58"/>
    <x v="3"/>
    <x v="32"/>
    <x v="32"/>
    <x v="20"/>
    <x v="32"/>
  </r>
  <r>
    <x v="212"/>
    <x v="34"/>
    <x v="4"/>
    <x v="21"/>
    <x v="0"/>
    <x v="32"/>
    <x v="33"/>
    <x v="58"/>
    <x v="2"/>
    <x v="43"/>
    <x v="43"/>
    <x v="21"/>
    <x v="43"/>
  </r>
  <r>
    <x v="213"/>
    <x v="123"/>
    <x v="3"/>
    <x v="20"/>
    <x v="3"/>
    <x v="29"/>
    <x v="106"/>
    <x v="59"/>
    <x v="3"/>
    <x v="32"/>
    <x v="32"/>
    <x v="20"/>
    <x v="32"/>
  </r>
  <r>
    <x v="214"/>
    <x v="92"/>
    <x v="2"/>
    <x v="2"/>
    <x v="2"/>
    <x v="48"/>
    <x v="43"/>
    <x v="59"/>
    <x v="2"/>
    <x v="2"/>
    <x v="2"/>
    <x v="2"/>
    <x v="2"/>
  </r>
  <r>
    <x v="215"/>
    <x v="15"/>
    <x v="0"/>
    <x v="18"/>
    <x v="0"/>
    <x v="25"/>
    <x v="15"/>
    <x v="59"/>
    <x v="1"/>
    <x v="84"/>
    <x v="84"/>
    <x v="18"/>
    <x v="84"/>
  </r>
  <r>
    <x v="216"/>
    <x v="116"/>
    <x v="1"/>
    <x v="22"/>
    <x v="3"/>
    <x v="40"/>
    <x v="101"/>
    <x v="59"/>
    <x v="1"/>
    <x v="65"/>
    <x v="65"/>
    <x v="22"/>
    <x v="65"/>
  </r>
  <r>
    <x v="217"/>
    <x v="124"/>
    <x v="4"/>
    <x v="17"/>
    <x v="1"/>
    <x v="30"/>
    <x v="107"/>
    <x v="60"/>
    <x v="0"/>
    <x v="61"/>
    <x v="61"/>
    <x v="17"/>
    <x v="61"/>
  </r>
  <r>
    <x v="218"/>
    <x v="68"/>
    <x v="1"/>
    <x v="1"/>
    <x v="0"/>
    <x v="33"/>
    <x v="65"/>
    <x v="60"/>
    <x v="2"/>
    <x v="54"/>
    <x v="54"/>
    <x v="1"/>
    <x v="54"/>
  </r>
  <r>
    <x v="219"/>
    <x v="41"/>
    <x v="3"/>
    <x v="14"/>
    <x v="2"/>
    <x v="19"/>
    <x v="40"/>
    <x v="61"/>
    <x v="3"/>
    <x v="22"/>
    <x v="22"/>
    <x v="14"/>
    <x v="22"/>
  </r>
  <r>
    <x v="220"/>
    <x v="5"/>
    <x v="1"/>
    <x v="6"/>
    <x v="2"/>
    <x v="37"/>
    <x v="5"/>
    <x v="62"/>
    <x v="1"/>
    <x v="8"/>
    <x v="8"/>
    <x v="6"/>
    <x v="8"/>
  </r>
  <r>
    <x v="221"/>
    <x v="72"/>
    <x v="1"/>
    <x v="6"/>
    <x v="2"/>
    <x v="37"/>
    <x v="67"/>
    <x v="62"/>
    <x v="3"/>
    <x v="91"/>
    <x v="91"/>
    <x v="6"/>
    <x v="91"/>
  </r>
  <r>
    <x v="222"/>
    <x v="79"/>
    <x v="2"/>
    <x v="4"/>
    <x v="2"/>
    <x v="24"/>
    <x v="73"/>
    <x v="62"/>
    <x v="1"/>
    <x v="31"/>
    <x v="31"/>
    <x v="4"/>
    <x v="31"/>
  </r>
  <r>
    <x v="223"/>
    <x v="119"/>
    <x v="2"/>
    <x v="2"/>
    <x v="2"/>
    <x v="48"/>
    <x v="58"/>
    <x v="62"/>
    <x v="1"/>
    <x v="56"/>
    <x v="56"/>
    <x v="2"/>
    <x v="56"/>
  </r>
  <r>
    <x v="224"/>
    <x v="125"/>
    <x v="3"/>
    <x v="13"/>
    <x v="1"/>
    <x v="27"/>
    <x v="106"/>
    <x v="62"/>
    <x v="0"/>
    <x v="92"/>
    <x v="92"/>
    <x v="13"/>
    <x v="92"/>
  </r>
  <r>
    <x v="225"/>
    <x v="78"/>
    <x v="2"/>
    <x v="3"/>
    <x v="0"/>
    <x v="3"/>
    <x v="72"/>
    <x v="63"/>
    <x v="0"/>
    <x v="74"/>
    <x v="74"/>
    <x v="3"/>
    <x v="74"/>
  </r>
  <r>
    <x v="226"/>
    <x v="126"/>
    <x v="0"/>
    <x v="0"/>
    <x v="2"/>
    <x v="15"/>
    <x v="108"/>
    <x v="63"/>
    <x v="1"/>
    <x v="93"/>
    <x v="93"/>
    <x v="0"/>
    <x v="93"/>
  </r>
  <r>
    <x v="227"/>
    <x v="60"/>
    <x v="2"/>
    <x v="23"/>
    <x v="0"/>
    <x v="36"/>
    <x v="57"/>
    <x v="63"/>
    <x v="0"/>
    <x v="41"/>
    <x v="41"/>
    <x v="23"/>
    <x v="41"/>
  </r>
  <r>
    <x v="228"/>
    <x v="8"/>
    <x v="2"/>
    <x v="2"/>
    <x v="0"/>
    <x v="48"/>
    <x v="8"/>
    <x v="63"/>
    <x v="1"/>
    <x v="56"/>
    <x v="56"/>
    <x v="2"/>
    <x v="56"/>
  </r>
  <r>
    <x v="229"/>
    <x v="99"/>
    <x v="4"/>
    <x v="17"/>
    <x v="1"/>
    <x v="22"/>
    <x v="88"/>
    <x v="63"/>
    <x v="2"/>
    <x v="33"/>
    <x v="33"/>
    <x v="17"/>
    <x v="33"/>
  </r>
  <r>
    <x v="230"/>
    <x v="127"/>
    <x v="0"/>
    <x v="10"/>
    <x v="3"/>
    <x v="11"/>
    <x v="109"/>
    <x v="64"/>
    <x v="3"/>
    <x v="12"/>
    <x v="12"/>
    <x v="10"/>
    <x v="12"/>
  </r>
  <r>
    <x v="231"/>
    <x v="128"/>
    <x v="4"/>
    <x v="21"/>
    <x v="2"/>
    <x v="44"/>
    <x v="25"/>
    <x v="64"/>
    <x v="3"/>
    <x v="70"/>
    <x v="70"/>
    <x v="21"/>
    <x v="70"/>
  </r>
  <r>
    <x v="232"/>
    <x v="129"/>
    <x v="0"/>
    <x v="5"/>
    <x v="2"/>
    <x v="6"/>
    <x v="110"/>
    <x v="65"/>
    <x v="0"/>
    <x v="13"/>
    <x v="13"/>
    <x v="5"/>
    <x v="13"/>
  </r>
  <r>
    <x v="233"/>
    <x v="130"/>
    <x v="3"/>
    <x v="16"/>
    <x v="2"/>
    <x v="21"/>
    <x v="111"/>
    <x v="65"/>
    <x v="2"/>
    <x v="59"/>
    <x v="59"/>
    <x v="16"/>
    <x v="59"/>
  </r>
  <r>
    <x v="234"/>
    <x v="91"/>
    <x v="1"/>
    <x v="1"/>
    <x v="1"/>
    <x v="1"/>
    <x v="82"/>
    <x v="65"/>
    <x v="3"/>
    <x v="90"/>
    <x v="90"/>
    <x v="1"/>
    <x v="90"/>
  </r>
  <r>
    <x v="235"/>
    <x v="74"/>
    <x v="4"/>
    <x v="12"/>
    <x v="2"/>
    <x v="17"/>
    <x v="69"/>
    <x v="65"/>
    <x v="1"/>
    <x v="15"/>
    <x v="15"/>
    <x v="12"/>
    <x v="15"/>
  </r>
  <r>
    <x v="236"/>
    <x v="101"/>
    <x v="4"/>
    <x v="17"/>
    <x v="3"/>
    <x v="22"/>
    <x v="90"/>
    <x v="65"/>
    <x v="3"/>
    <x v="25"/>
    <x v="25"/>
    <x v="17"/>
    <x v="25"/>
  </r>
  <r>
    <x v="237"/>
    <x v="131"/>
    <x v="1"/>
    <x v="1"/>
    <x v="0"/>
    <x v="33"/>
    <x v="112"/>
    <x v="65"/>
    <x v="1"/>
    <x v="1"/>
    <x v="1"/>
    <x v="1"/>
    <x v="1"/>
  </r>
  <r>
    <x v="238"/>
    <x v="42"/>
    <x v="4"/>
    <x v="12"/>
    <x v="0"/>
    <x v="14"/>
    <x v="41"/>
    <x v="65"/>
    <x v="1"/>
    <x v="15"/>
    <x v="15"/>
    <x v="12"/>
    <x v="15"/>
  </r>
  <r>
    <x v="239"/>
    <x v="7"/>
    <x v="4"/>
    <x v="21"/>
    <x v="0"/>
    <x v="32"/>
    <x v="7"/>
    <x v="65"/>
    <x v="2"/>
    <x v="43"/>
    <x v="43"/>
    <x v="21"/>
    <x v="43"/>
  </r>
  <r>
    <x v="240"/>
    <x v="46"/>
    <x v="1"/>
    <x v="1"/>
    <x v="2"/>
    <x v="33"/>
    <x v="45"/>
    <x v="65"/>
    <x v="3"/>
    <x v="90"/>
    <x v="90"/>
    <x v="1"/>
    <x v="90"/>
  </r>
  <r>
    <x v="241"/>
    <x v="31"/>
    <x v="0"/>
    <x v="0"/>
    <x v="0"/>
    <x v="15"/>
    <x v="30"/>
    <x v="65"/>
    <x v="1"/>
    <x v="93"/>
    <x v="93"/>
    <x v="0"/>
    <x v="93"/>
  </r>
  <r>
    <x v="242"/>
    <x v="132"/>
    <x v="2"/>
    <x v="3"/>
    <x v="2"/>
    <x v="3"/>
    <x v="113"/>
    <x v="66"/>
    <x v="3"/>
    <x v="3"/>
    <x v="3"/>
    <x v="3"/>
    <x v="3"/>
  </r>
  <r>
    <x v="243"/>
    <x v="30"/>
    <x v="0"/>
    <x v="0"/>
    <x v="2"/>
    <x v="0"/>
    <x v="29"/>
    <x v="66"/>
    <x v="0"/>
    <x v="0"/>
    <x v="0"/>
    <x v="0"/>
    <x v="0"/>
  </r>
  <r>
    <x v="244"/>
    <x v="47"/>
    <x v="1"/>
    <x v="1"/>
    <x v="2"/>
    <x v="1"/>
    <x v="46"/>
    <x v="67"/>
    <x v="3"/>
    <x v="90"/>
    <x v="90"/>
    <x v="1"/>
    <x v="90"/>
  </r>
  <r>
    <x v="245"/>
    <x v="110"/>
    <x v="3"/>
    <x v="20"/>
    <x v="0"/>
    <x v="29"/>
    <x v="5"/>
    <x v="67"/>
    <x v="1"/>
    <x v="49"/>
    <x v="49"/>
    <x v="20"/>
    <x v="49"/>
  </r>
  <r>
    <x v="246"/>
    <x v="133"/>
    <x v="2"/>
    <x v="15"/>
    <x v="0"/>
    <x v="46"/>
    <x v="114"/>
    <x v="68"/>
    <x v="1"/>
    <x v="88"/>
    <x v="88"/>
    <x v="15"/>
    <x v="88"/>
  </r>
  <r>
    <x v="247"/>
    <x v="0"/>
    <x v="0"/>
    <x v="10"/>
    <x v="0"/>
    <x v="18"/>
    <x v="0"/>
    <x v="69"/>
    <x v="1"/>
    <x v="94"/>
    <x v="94"/>
    <x v="10"/>
    <x v="94"/>
  </r>
  <r>
    <x v="248"/>
    <x v="131"/>
    <x v="0"/>
    <x v="0"/>
    <x v="0"/>
    <x v="0"/>
    <x v="112"/>
    <x v="69"/>
    <x v="1"/>
    <x v="93"/>
    <x v="93"/>
    <x v="0"/>
    <x v="93"/>
  </r>
  <r>
    <x v="249"/>
    <x v="32"/>
    <x v="1"/>
    <x v="19"/>
    <x v="2"/>
    <x v="28"/>
    <x v="31"/>
    <x v="69"/>
    <x v="2"/>
    <x v="95"/>
    <x v="95"/>
    <x v="19"/>
    <x v="95"/>
  </r>
  <r>
    <x v="250"/>
    <x v="110"/>
    <x v="1"/>
    <x v="7"/>
    <x v="0"/>
    <x v="34"/>
    <x v="5"/>
    <x v="69"/>
    <x v="0"/>
    <x v="37"/>
    <x v="37"/>
    <x v="7"/>
    <x v="37"/>
  </r>
  <r>
    <x v="251"/>
    <x v="134"/>
    <x v="3"/>
    <x v="13"/>
    <x v="0"/>
    <x v="27"/>
    <x v="115"/>
    <x v="70"/>
    <x v="1"/>
    <x v="96"/>
    <x v="96"/>
    <x v="13"/>
    <x v="96"/>
  </r>
  <r>
    <x v="252"/>
    <x v="91"/>
    <x v="1"/>
    <x v="6"/>
    <x v="1"/>
    <x v="7"/>
    <x v="82"/>
    <x v="70"/>
    <x v="1"/>
    <x v="8"/>
    <x v="8"/>
    <x v="6"/>
    <x v="8"/>
  </r>
  <r>
    <x v="253"/>
    <x v="58"/>
    <x v="1"/>
    <x v="19"/>
    <x v="0"/>
    <x v="28"/>
    <x v="55"/>
    <x v="70"/>
    <x v="0"/>
    <x v="30"/>
    <x v="30"/>
    <x v="19"/>
    <x v="30"/>
  </r>
  <r>
    <x v="254"/>
    <x v="63"/>
    <x v="0"/>
    <x v="24"/>
    <x v="2"/>
    <x v="47"/>
    <x v="60"/>
    <x v="71"/>
    <x v="0"/>
    <x v="85"/>
    <x v="85"/>
    <x v="24"/>
    <x v="85"/>
  </r>
  <r>
    <x v="255"/>
    <x v="15"/>
    <x v="0"/>
    <x v="0"/>
    <x v="0"/>
    <x v="0"/>
    <x v="15"/>
    <x v="71"/>
    <x v="2"/>
    <x v="62"/>
    <x v="62"/>
    <x v="0"/>
    <x v="62"/>
  </r>
  <r>
    <x v="256"/>
    <x v="27"/>
    <x v="4"/>
    <x v="17"/>
    <x v="0"/>
    <x v="22"/>
    <x v="26"/>
    <x v="71"/>
    <x v="3"/>
    <x v="25"/>
    <x v="25"/>
    <x v="17"/>
    <x v="25"/>
  </r>
  <r>
    <x v="257"/>
    <x v="42"/>
    <x v="4"/>
    <x v="11"/>
    <x v="0"/>
    <x v="13"/>
    <x v="41"/>
    <x v="72"/>
    <x v="2"/>
    <x v="20"/>
    <x v="20"/>
    <x v="11"/>
    <x v="20"/>
  </r>
  <r>
    <x v="258"/>
    <x v="135"/>
    <x v="1"/>
    <x v="7"/>
    <x v="4"/>
    <x v="34"/>
    <x v="116"/>
    <x v="72"/>
    <x v="1"/>
    <x v="9"/>
    <x v="9"/>
    <x v="7"/>
    <x v="9"/>
  </r>
  <r>
    <x v="259"/>
    <x v="136"/>
    <x v="0"/>
    <x v="10"/>
    <x v="1"/>
    <x v="11"/>
    <x v="117"/>
    <x v="72"/>
    <x v="0"/>
    <x v="21"/>
    <x v="21"/>
    <x v="10"/>
    <x v="21"/>
  </r>
  <r>
    <x v="260"/>
    <x v="47"/>
    <x v="2"/>
    <x v="2"/>
    <x v="2"/>
    <x v="2"/>
    <x v="46"/>
    <x v="73"/>
    <x v="0"/>
    <x v="73"/>
    <x v="73"/>
    <x v="2"/>
    <x v="73"/>
  </r>
  <r>
    <x v="261"/>
    <x v="101"/>
    <x v="2"/>
    <x v="4"/>
    <x v="3"/>
    <x v="4"/>
    <x v="90"/>
    <x v="73"/>
    <x v="0"/>
    <x v="44"/>
    <x v="44"/>
    <x v="4"/>
    <x v="44"/>
  </r>
  <r>
    <x v="262"/>
    <x v="82"/>
    <x v="4"/>
    <x v="11"/>
    <x v="0"/>
    <x v="26"/>
    <x v="75"/>
    <x v="73"/>
    <x v="0"/>
    <x v="76"/>
    <x v="76"/>
    <x v="11"/>
    <x v="76"/>
  </r>
  <r>
    <x v="263"/>
    <x v="137"/>
    <x v="3"/>
    <x v="13"/>
    <x v="1"/>
    <x v="27"/>
    <x v="118"/>
    <x v="73"/>
    <x v="1"/>
    <x v="96"/>
    <x v="96"/>
    <x v="13"/>
    <x v="96"/>
  </r>
  <r>
    <x v="264"/>
    <x v="138"/>
    <x v="4"/>
    <x v="11"/>
    <x v="2"/>
    <x v="26"/>
    <x v="119"/>
    <x v="74"/>
    <x v="0"/>
    <x v="76"/>
    <x v="76"/>
    <x v="11"/>
    <x v="76"/>
  </r>
  <r>
    <x v="265"/>
    <x v="24"/>
    <x v="1"/>
    <x v="6"/>
    <x v="2"/>
    <x v="37"/>
    <x v="24"/>
    <x v="75"/>
    <x v="3"/>
    <x v="91"/>
    <x v="91"/>
    <x v="6"/>
    <x v="91"/>
  </r>
  <r>
    <x v="266"/>
    <x v="100"/>
    <x v="4"/>
    <x v="17"/>
    <x v="0"/>
    <x v="22"/>
    <x v="89"/>
    <x v="76"/>
    <x v="0"/>
    <x v="61"/>
    <x v="61"/>
    <x v="17"/>
    <x v="61"/>
  </r>
  <r>
    <x v="267"/>
    <x v="66"/>
    <x v="2"/>
    <x v="23"/>
    <x v="0"/>
    <x v="49"/>
    <x v="63"/>
    <x v="76"/>
    <x v="0"/>
    <x v="41"/>
    <x v="41"/>
    <x v="23"/>
    <x v="41"/>
  </r>
  <r>
    <x v="268"/>
    <x v="137"/>
    <x v="4"/>
    <x v="17"/>
    <x v="1"/>
    <x v="22"/>
    <x v="118"/>
    <x v="76"/>
    <x v="2"/>
    <x v="33"/>
    <x v="33"/>
    <x v="17"/>
    <x v="33"/>
  </r>
  <r>
    <x v="269"/>
    <x v="77"/>
    <x v="1"/>
    <x v="22"/>
    <x v="2"/>
    <x v="40"/>
    <x v="28"/>
    <x v="76"/>
    <x v="2"/>
    <x v="38"/>
    <x v="38"/>
    <x v="22"/>
    <x v="38"/>
  </r>
  <r>
    <x v="270"/>
    <x v="79"/>
    <x v="3"/>
    <x v="16"/>
    <x v="2"/>
    <x v="41"/>
    <x v="73"/>
    <x v="77"/>
    <x v="1"/>
    <x v="52"/>
    <x v="52"/>
    <x v="16"/>
    <x v="52"/>
  </r>
  <r>
    <x v="271"/>
    <x v="59"/>
    <x v="0"/>
    <x v="24"/>
    <x v="2"/>
    <x v="42"/>
    <x v="56"/>
    <x v="77"/>
    <x v="1"/>
    <x v="53"/>
    <x v="53"/>
    <x v="24"/>
    <x v="53"/>
  </r>
  <r>
    <x v="272"/>
    <x v="139"/>
    <x v="3"/>
    <x v="20"/>
    <x v="3"/>
    <x v="29"/>
    <x v="31"/>
    <x v="77"/>
    <x v="3"/>
    <x v="32"/>
    <x v="32"/>
    <x v="20"/>
    <x v="32"/>
  </r>
  <r>
    <x v="273"/>
    <x v="19"/>
    <x v="3"/>
    <x v="13"/>
    <x v="3"/>
    <x v="16"/>
    <x v="19"/>
    <x v="77"/>
    <x v="3"/>
    <x v="68"/>
    <x v="68"/>
    <x v="13"/>
    <x v="68"/>
  </r>
  <r>
    <x v="274"/>
    <x v="140"/>
    <x v="1"/>
    <x v="22"/>
    <x v="0"/>
    <x v="40"/>
    <x v="120"/>
    <x v="77"/>
    <x v="1"/>
    <x v="65"/>
    <x v="65"/>
    <x v="22"/>
    <x v="65"/>
  </r>
  <r>
    <x v="275"/>
    <x v="141"/>
    <x v="1"/>
    <x v="6"/>
    <x v="2"/>
    <x v="7"/>
    <x v="121"/>
    <x v="77"/>
    <x v="2"/>
    <x v="83"/>
    <x v="83"/>
    <x v="6"/>
    <x v="83"/>
  </r>
  <r>
    <x v="276"/>
    <x v="34"/>
    <x v="0"/>
    <x v="10"/>
    <x v="0"/>
    <x v="11"/>
    <x v="33"/>
    <x v="77"/>
    <x v="3"/>
    <x v="12"/>
    <x v="12"/>
    <x v="10"/>
    <x v="12"/>
  </r>
  <r>
    <x v="277"/>
    <x v="142"/>
    <x v="1"/>
    <x v="1"/>
    <x v="1"/>
    <x v="33"/>
    <x v="122"/>
    <x v="77"/>
    <x v="2"/>
    <x v="54"/>
    <x v="54"/>
    <x v="1"/>
    <x v="54"/>
  </r>
  <r>
    <x v="278"/>
    <x v="143"/>
    <x v="2"/>
    <x v="4"/>
    <x v="0"/>
    <x v="24"/>
    <x v="123"/>
    <x v="78"/>
    <x v="3"/>
    <x v="4"/>
    <x v="4"/>
    <x v="4"/>
    <x v="4"/>
  </r>
  <r>
    <x v="279"/>
    <x v="80"/>
    <x v="1"/>
    <x v="19"/>
    <x v="0"/>
    <x v="38"/>
    <x v="31"/>
    <x v="78"/>
    <x v="2"/>
    <x v="95"/>
    <x v="95"/>
    <x v="19"/>
    <x v="95"/>
  </r>
  <r>
    <x v="280"/>
    <x v="87"/>
    <x v="4"/>
    <x v="21"/>
    <x v="2"/>
    <x v="32"/>
    <x v="79"/>
    <x v="78"/>
    <x v="0"/>
    <x v="64"/>
    <x v="64"/>
    <x v="21"/>
    <x v="64"/>
  </r>
  <r>
    <x v="281"/>
    <x v="106"/>
    <x v="2"/>
    <x v="2"/>
    <x v="2"/>
    <x v="48"/>
    <x v="95"/>
    <x v="78"/>
    <x v="0"/>
    <x v="73"/>
    <x v="73"/>
    <x v="2"/>
    <x v="73"/>
  </r>
  <r>
    <x v="282"/>
    <x v="144"/>
    <x v="1"/>
    <x v="6"/>
    <x v="2"/>
    <x v="37"/>
    <x v="124"/>
    <x v="78"/>
    <x v="3"/>
    <x v="91"/>
    <x v="91"/>
    <x v="6"/>
    <x v="91"/>
  </r>
  <r>
    <x v="283"/>
    <x v="145"/>
    <x v="2"/>
    <x v="2"/>
    <x v="0"/>
    <x v="2"/>
    <x v="125"/>
    <x v="78"/>
    <x v="3"/>
    <x v="34"/>
    <x v="34"/>
    <x v="2"/>
    <x v="34"/>
  </r>
  <r>
    <x v="284"/>
    <x v="142"/>
    <x v="4"/>
    <x v="12"/>
    <x v="1"/>
    <x v="14"/>
    <x v="122"/>
    <x v="78"/>
    <x v="1"/>
    <x v="15"/>
    <x v="15"/>
    <x v="12"/>
    <x v="15"/>
  </r>
  <r>
    <x v="285"/>
    <x v="12"/>
    <x v="2"/>
    <x v="15"/>
    <x v="0"/>
    <x v="20"/>
    <x v="12"/>
    <x v="79"/>
    <x v="0"/>
    <x v="23"/>
    <x v="23"/>
    <x v="15"/>
    <x v="23"/>
  </r>
  <r>
    <x v="286"/>
    <x v="58"/>
    <x v="1"/>
    <x v="19"/>
    <x v="0"/>
    <x v="38"/>
    <x v="55"/>
    <x v="79"/>
    <x v="3"/>
    <x v="97"/>
    <x v="97"/>
    <x v="19"/>
    <x v="97"/>
  </r>
  <r>
    <x v="287"/>
    <x v="10"/>
    <x v="4"/>
    <x v="11"/>
    <x v="0"/>
    <x v="13"/>
    <x v="10"/>
    <x v="79"/>
    <x v="0"/>
    <x v="76"/>
    <x v="76"/>
    <x v="11"/>
    <x v="76"/>
  </r>
  <r>
    <x v="288"/>
    <x v="127"/>
    <x v="1"/>
    <x v="7"/>
    <x v="3"/>
    <x v="34"/>
    <x v="109"/>
    <x v="80"/>
    <x v="2"/>
    <x v="82"/>
    <x v="82"/>
    <x v="7"/>
    <x v="82"/>
  </r>
  <r>
    <x v="289"/>
    <x v="146"/>
    <x v="2"/>
    <x v="23"/>
    <x v="1"/>
    <x v="36"/>
    <x v="126"/>
    <x v="80"/>
    <x v="2"/>
    <x v="69"/>
    <x v="69"/>
    <x v="23"/>
    <x v="69"/>
  </r>
  <r>
    <x v="290"/>
    <x v="102"/>
    <x v="0"/>
    <x v="10"/>
    <x v="0"/>
    <x v="11"/>
    <x v="91"/>
    <x v="80"/>
    <x v="3"/>
    <x v="12"/>
    <x v="12"/>
    <x v="10"/>
    <x v="12"/>
  </r>
  <r>
    <x v="291"/>
    <x v="130"/>
    <x v="1"/>
    <x v="19"/>
    <x v="2"/>
    <x v="28"/>
    <x v="111"/>
    <x v="80"/>
    <x v="0"/>
    <x v="30"/>
    <x v="30"/>
    <x v="19"/>
    <x v="30"/>
  </r>
  <r>
    <x v="292"/>
    <x v="6"/>
    <x v="0"/>
    <x v="10"/>
    <x v="3"/>
    <x v="18"/>
    <x v="6"/>
    <x v="80"/>
    <x v="1"/>
    <x v="94"/>
    <x v="94"/>
    <x v="10"/>
    <x v="94"/>
  </r>
  <r>
    <x v="293"/>
    <x v="26"/>
    <x v="2"/>
    <x v="23"/>
    <x v="2"/>
    <x v="36"/>
    <x v="12"/>
    <x v="80"/>
    <x v="1"/>
    <x v="60"/>
    <x v="60"/>
    <x v="23"/>
    <x v="60"/>
  </r>
  <r>
    <x v="294"/>
    <x v="107"/>
    <x v="1"/>
    <x v="19"/>
    <x v="3"/>
    <x v="38"/>
    <x v="83"/>
    <x v="80"/>
    <x v="1"/>
    <x v="46"/>
    <x v="46"/>
    <x v="19"/>
    <x v="46"/>
  </r>
  <r>
    <x v="295"/>
    <x v="71"/>
    <x v="3"/>
    <x v="20"/>
    <x v="2"/>
    <x v="29"/>
    <x v="57"/>
    <x v="81"/>
    <x v="0"/>
    <x v="66"/>
    <x v="66"/>
    <x v="20"/>
    <x v="66"/>
  </r>
  <r>
    <x v="296"/>
    <x v="106"/>
    <x v="4"/>
    <x v="11"/>
    <x v="2"/>
    <x v="26"/>
    <x v="95"/>
    <x v="81"/>
    <x v="3"/>
    <x v="14"/>
    <x v="14"/>
    <x v="11"/>
    <x v="14"/>
  </r>
  <r>
    <x v="297"/>
    <x v="127"/>
    <x v="3"/>
    <x v="20"/>
    <x v="3"/>
    <x v="29"/>
    <x v="109"/>
    <x v="82"/>
    <x v="0"/>
    <x v="66"/>
    <x v="66"/>
    <x v="20"/>
    <x v="66"/>
  </r>
  <r>
    <x v="298"/>
    <x v="147"/>
    <x v="4"/>
    <x v="21"/>
    <x v="0"/>
    <x v="32"/>
    <x v="127"/>
    <x v="82"/>
    <x v="0"/>
    <x v="64"/>
    <x v="64"/>
    <x v="21"/>
    <x v="64"/>
  </r>
  <r>
    <x v="299"/>
    <x v="85"/>
    <x v="0"/>
    <x v="0"/>
    <x v="2"/>
    <x v="0"/>
    <x v="78"/>
    <x v="82"/>
    <x v="3"/>
    <x v="98"/>
    <x v="98"/>
    <x v="0"/>
    <x v="98"/>
  </r>
  <r>
    <x v="300"/>
    <x v="148"/>
    <x v="0"/>
    <x v="0"/>
    <x v="3"/>
    <x v="15"/>
    <x v="128"/>
    <x v="82"/>
    <x v="2"/>
    <x v="62"/>
    <x v="62"/>
    <x v="0"/>
    <x v="62"/>
  </r>
  <r>
    <x v="301"/>
    <x v="136"/>
    <x v="1"/>
    <x v="7"/>
    <x v="1"/>
    <x v="8"/>
    <x v="117"/>
    <x v="82"/>
    <x v="2"/>
    <x v="82"/>
    <x v="82"/>
    <x v="7"/>
    <x v="82"/>
  </r>
  <r>
    <x v="302"/>
    <x v="129"/>
    <x v="1"/>
    <x v="22"/>
    <x v="2"/>
    <x v="40"/>
    <x v="110"/>
    <x v="83"/>
    <x v="0"/>
    <x v="71"/>
    <x v="71"/>
    <x v="22"/>
    <x v="71"/>
  </r>
  <r>
    <x v="303"/>
    <x v="18"/>
    <x v="2"/>
    <x v="15"/>
    <x v="0"/>
    <x v="46"/>
    <x v="18"/>
    <x v="83"/>
    <x v="3"/>
    <x v="72"/>
    <x v="72"/>
    <x v="15"/>
    <x v="72"/>
  </r>
  <r>
    <x v="304"/>
    <x v="109"/>
    <x v="3"/>
    <x v="13"/>
    <x v="2"/>
    <x v="16"/>
    <x v="79"/>
    <x v="83"/>
    <x v="3"/>
    <x v="68"/>
    <x v="68"/>
    <x v="13"/>
    <x v="68"/>
  </r>
  <r>
    <x v="305"/>
    <x v="104"/>
    <x v="2"/>
    <x v="3"/>
    <x v="2"/>
    <x v="5"/>
    <x v="93"/>
    <x v="83"/>
    <x v="2"/>
    <x v="63"/>
    <x v="63"/>
    <x v="3"/>
    <x v="63"/>
  </r>
  <r>
    <x v="306"/>
    <x v="125"/>
    <x v="4"/>
    <x v="17"/>
    <x v="1"/>
    <x v="22"/>
    <x v="106"/>
    <x v="83"/>
    <x v="0"/>
    <x v="61"/>
    <x v="61"/>
    <x v="17"/>
    <x v="61"/>
  </r>
  <r>
    <x v="307"/>
    <x v="4"/>
    <x v="2"/>
    <x v="3"/>
    <x v="2"/>
    <x v="3"/>
    <x v="4"/>
    <x v="83"/>
    <x v="2"/>
    <x v="63"/>
    <x v="63"/>
    <x v="3"/>
    <x v="63"/>
  </r>
  <r>
    <x v="308"/>
    <x v="67"/>
    <x v="0"/>
    <x v="18"/>
    <x v="0"/>
    <x v="25"/>
    <x v="64"/>
    <x v="84"/>
    <x v="2"/>
    <x v="57"/>
    <x v="57"/>
    <x v="18"/>
    <x v="57"/>
  </r>
  <r>
    <x v="309"/>
    <x v="149"/>
    <x v="4"/>
    <x v="11"/>
    <x v="2"/>
    <x v="26"/>
    <x v="129"/>
    <x v="84"/>
    <x v="0"/>
    <x v="76"/>
    <x v="76"/>
    <x v="11"/>
    <x v="76"/>
  </r>
  <r>
    <x v="310"/>
    <x v="150"/>
    <x v="1"/>
    <x v="19"/>
    <x v="1"/>
    <x v="38"/>
    <x v="130"/>
    <x v="84"/>
    <x v="2"/>
    <x v="95"/>
    <x v="95"/>
    <x v="19"/>
    <x v="95"/>
  </r>
  <r>
    <x v="311"/>
    <x v="151"/>
    <x v="4"/>
    <x v="11"/>
    <x v="0"/>
    <x v="13"/>
    <x v="131"/>
    <x v="84"/>
    <x v="3"/>
    <x v="14"/>
    <x v="14"/>
    <x v="11"/>
    <x v="14"/>
  </r>
  <r>
    <x v="312"/>
    <x v="45"/>
    <x v="1"/>
    <x v="1"/>
    <x v="2"/>
    <x v="1"/>
    <x v="44"/>
    <x v="84"/>
    <x v="1"/>
    <x v="1"/>
    <x v="1"/>
    <x v="1"/>
    <x v="1"/>
  </r>
  <r>
    <x v="313"/>
    <x v="77"/>
    <x v="2"/>
    <x v="3"/>
    <x v="2"/>
    <x v="5"/>
    <x v="28"/>
    <x v="85"/>
    <x v="2"/>
    <x v="63"/>
    <x v="63"/>
    <x v="3"/>
    <x v="63"/>
  </r>
  <r>
    <x v="314"/>
    <x v="62"/>
    <x v="1"/>
    <x v="6"/>
    <x v="0"/>
    <x v="7"/>
    <x v="59"/>
    <x v="85"/>
    <x v="3"/>
    <x v="91"/>
    <x v="91"/>
    <x v="6"/>
    <x v="91"/>
  </r>
  <r>
    <x v="315"/>
    <x v="13"/>
    <x v="0"/>
    <x v="0"/>
    <x v="2"/>
    <x v="0"/>
    <x v="13"/>
    <x v="86"/>
    <x v="0"/>
    <x v="0"/>
    <x v="0"/>
    <x v="0"/>
    <x v="0"/>
  </r>
  <r>
    <x v="316"/>
    <x v="9"/>
    <x v="1"/>
    <x v="6"/>
    <x v="1"/>
    <x v="37"/>
    <x v="9"/>
    <x v="86"/>
    <x v="0"/>
    <x v="42"/>
    <x v="42"/>
    <x v="6"/>
    <x v="42"/>
  </r>
  <r>
    <x v="317"/>
    <x v="68"/>
    <x v="4"/>
    <x v="12"/>
    <x v="0"/>
    <x v="17"/>
    <x v="65"/>
    <x v="86"/>
    <x v="2"/>
    <x v="47"/>
    <x v="47"/>
    <x v="12"/>
    <x v="47"/>
  </r>
  <r>
    <x v="318"/>
    <x v="38"/>
    <x v="1"/>
    <x v="22"/>
    <x v="3"/>
    <x v="35"/>
    <x v="37"/>
    <x v="86"/>
    <x v="2"/>
    <x v="38"/>
    <x v="38"/>
    <x v="22"/>
    <x v="38"/>
  </r>
  <r>
    <x v="319"/>
    <x v="29"/>
    <x v="0"/>
    <x v="5"/>
    <x v="3"/>
    <x v="12"/>
    <x v="28"/>
    <x v="86"/>
    <x v="2"/>
    <x v="50"/>
    <x v="50"/>
    <x v="5"/>
    <x v="50"/>
  </r>
  <r>
    <x v="320"/>
    <x v="83"/>
    <x v="1"/>
    <x v="1"/>
    <x v="2"/>
    <x v="1"/>
    <x v="76"/>
    <x v="86"/>
    <x v="3"/>
    <x v="90"/>
    <x v="90"/>
    <x v="1"/>
    <x v="90"/>
  </r>
  <r>
    <x v="321"/>
    <x v="94"/>
    <x v="3"/>
    <x v="13"/>
    <x v="1"/>
    <x v="27"/>
    <x v="84"/>
    <x v="87"/>
    <x v="0"/>
    <x v="92"/>
    <x v="92"/>
    <x v="13"/>
    <x v="92"/>
  </r>
  <r>
    <x v="322"/>
    <x v="16"/>
    <x v="2"/>
    <x v="2"/>
    <x v="0"/>
    <x v="48"/>
    <x v="16"/>
    <x v="88"/>
    <x v="3"/>
    <x v="34"/>
    <x v="34"/>
    <x v="2"/>
    <x v="34"/>
  </r>
  <r>
    <x v="323"/>
    <x v="37"/>
    <x v="0"/>
    <x v="10"/>
    <x v="0"/>
    <x v="18"/>
    <x v="36"/>
    <x v="88"/>
    <x v="1"/>
    <x v="94"/>
    <x v="94"/>
    <x v="10"/>
    <x v="94"/>
  </r>
  <r>
    <x v="324"/>
    <x v="152"/>
    <x v="4"/>
    <x v="17"/>
    <x v="2"/>
    <x v="22"/>
    <x v="132"/>
    <x v="88"/>
    <x v="1"/>
    <x v="58"/>
    <x v="58"/>
    <x v="17"/>
    <x v="58"/>
  </r>
  <r>
    <x v="325"/>
    <x v="17"/>
    <x v="1"/>
    <x v="1"/>
    <x v="0"/>
    <x v="1"/>
    <x v="17"/>
    <x v="88"/>
    <x v="1"/>
    <x v="1"/>
    <x v="1"/>
    <x v="1"/>
    <x v="1"/>
  </r>
  <r>
    <x v="326"/>
    <x v="9"/>
    <x v="2"/>
    <x v="23"/>
    <x v="1"/>
    <x v="36"/>
    <x v="9"/>
    <x v="88"/>
    <x v="2"/>
    <x v="69"/>
    <x v="69"/>
    <x v="23"/>
    <x v="69"/>
  </r>
  <r>
    <x v="327"/>
    <x v="120"/>
    <x v="3"/>
    <x v="16"/>
    <x v="0"/>
    <x v="21"/>
    <x v="66"/>
    <x v="88"/>
    <x v="3"/>
    <x v="81"/>
    <x v="81"/>
    <x v="16"/>
    <x v="81"/>
  </r>
  <r>
    <x v="328"/>
    <x v="30"/>
    <x v="1"/>
    <x v="7"/>
    <x v="2"/>
    <x v="34"/>
    <x v="29"/>
    <x v="88"/>
    <x v="3"/>
    <x v="79"/>
    <x v="79"/>
    <x v="7"/>
    <x v="79"/>
  </r>
  <r>
    <x v="329"/>
    <x v="80"/>
    <x v="1"/>
    <x v="7"/>
    <x v="0"/>
    <x v="8"/>
    <x v="31"/>
    <x v="89"/>
    <x v="2"/>
    <x v="82"/>
    <x v="82"/>
    <x v="7"/>
    <x v="82"/>
  </r>
  <r>
    <x v="330"/>
    <x v="153"/>
    <x v="1"/>
    <x v="1"/>
    <x v="2"/>
    <x v="1"/>
    <x v="94"/>
    <x v="89"/>
    <x v="0"/>
    <x v="36"/>
    <x v="36"/>
    <x v="1"/>
    <x v="36"/>
  </r>
  <r>
    <x v="331"/>
    <x v="145"/>
    <x v="3"/>
    <x v="13"/>
    <x v="0"/>
    <x v="27"/>
    <x v="125"/>
    <x v="89"/>
    <x v="3"/>
    <x v="68"/>
    <x v="68"/>
    <x v="13"/>
    <x v="68"/>
  </r>
  <r>
    <x v="332"/>
    <x v="107"/>
    <x v="2"/>
    <x v="2"/>
    <x v="3"/>
    <x v="48"/>
    <x v="83"/>
    <x v="89"/>
    <x v="0"/>
    <x v="73"/>
    <x v="73"/>
    <x v="2"/>
    <x v="73"/>
  </r>
  <r>
    <x v="333"/>
    <x v="95"/>
    <x v="3"/>
    <x v="8"/>
    <x v="1"/>
    <x v="9"/>
    <x v="85"/>
    <x v="90"/>
    <x v="0"/>
    <x v="55"/>
    <x v="55"/>
    <x v="8"/>
    <x v="55"/>
  </r>
  <r>
    <x v="334"/>
    <x v="87"/>
    <x v="2"/>
    <x v="3"/>
    <x v="2"/>
    <x v="5"/>
    <x v="79"/>
    <x v="90"/>
    <x v="3"/>
    <x v="3"/>
    <x v="3"/>
    <x v="3"/>
    <x v="3"/>
  </r>
  <r>
    <x v="335"/>
    <x v="151"/>
    <x v="1"/>
    <x v="19"/>
    <x v="0"/>
    <x v="28"/>
    <x v="131"/>
    <x v="90"/>
    <x v="3"/>
    <x v="97"/>
    <x v="97"/>
    <x v="19"/>
    <x v="97"/>
  </r>
  <r>
    <x v="336"/>
    <x v="75"/>
    <x v="1"/>
    <x v="7"/>
    <x v="2"/>
    <x v="8"/>
    <x v="70"/>
    <x v="90"/>
    <x v="3"/>
    <x v="79"/>
    <x v="79"/>
    <x v="7"/>
    <x v="79"/>
  </r>
  <r>
    <x v="337"/>
    <x v="148"/>
    <x v="1"/>
    <x v="19"/>
    <x v="3"/>
    <x v="38"/>
    <x v="128"/>
    <x v="90"/>
    <x v="2"/>
    <x v="95"/>
    <x v="95"/>
    <x v="19"/>
    <x v="95"/>
  </r>
  <r>
    <x v="338"/>
    <x v="31"/>
    <x v="3"/>
    <x v="14"/>
    <x v="0"/>
    <x v="19"/>
    <x v="30"/>
    <x v="90"/>
    <x v="3"/>
    <x v="22"/>
    <x v="22"/>
    <x v="14"/>
    <x v="22"/>
  </r>
  <r>
    <x v="339"/>
    <x v="31"/>
    <x v="1"/>
    <x v="6"/>
    <x v="0"/>
    <x v="7"/>
    <x v="30"/>
    <x v="90"/>
    <x v="0"/>
    <x v="42"/>
    <x v="42"/>
    <x v="6"/>
    <x v="42"/>
  </r>
  <r>
    <x v="340"/>
    <x v="38"/>
    <x v="0"/>
    <x v="18"/>
    <x v="3"/>
    <x v="39"/>
    <x v="37"/>
    <x v="91"/>
    <x v="0"/>
    <x v="78"/>
    <x v="78"/>
    <x v="18"/>
    <x v="78"/>
  </r>
  <r>
    <x v="341"/>
    <x v="109"/>
    <x v="3"/>
    <x v="13"/>
    <x v="2"/>
    <x v="16"/>
    <x v="79"/>
    <x v="91"/>
    <x v="3"/>
    <x v="68"/>
    <x v="68"/>
    <x v="13"/>
    <x v="68"/>
  </r>
  <r>
    <x v="342"/>
    <x v="4"/>
    <x v="2"/>
    <x v="23"/>
    <x v="2"/>
    <x v="49"/>
    <x v="4"/>
    <x v="91"/>
    <x v="1"/>
    <x v="60"/>
    <x v="60"/>
    <x v="23"/>
    <x v="60"/>
  </r>
  <r>
    <x v="343"/>
    <x v="137"/>
    <x v="2"/>
    <x v="2"/>
    <x v="1"/>
    <x v="2"/>
    <x v="118"/>
    <x v="91"/>
    <x v="1"/>
    <x v="56"/>
    <x v="56"/>
    <x v="2"/>
    <x v="56"/>
  </r>
  <r>
    <x v="344"/>
    <x v="154"/>
    <x v="0"/>
    <x v="24"/>
    <x v="0"/>
    <x v="47"/>
    <x v="133"/>
    <x v="91"/>
    <x v="1"/>
    <x v="53"/>
    <x v="53"/>
    <x v="24"/>
    <x v="53"/>
  </r>
  <r>
    <x v="345"/>
    <x v="155"/>
    <x v="0"/>
    <x v="0"/>
    <x v="2"/>
    <x v="15"/>
    <x v="134"/>
    <x v="91"/>
    <x v="2"/>
    <x v="62"/>
    <x v="62"/>
    <x v="0"/>
    <x v="62"/>
  </r>
  <r>
    <x v="346"/>
    <x v="127"/>
    <x v="0"/>
    <x v="18"/>
    <x v="3"/>
    <x v="39"/>
    <x v="109"/>
    <x v="92"/>
    <x v="0"/>
    <x v="78"/>
    <x v="78"/>
    <x v="18"/>
    <x v="78"/>
  </r>
  <r>
    <x v="347"/>
    <x v="139"/>
    <x v="2"/>
    <x v="23"/>
    <x v="3"/>
    <x v="36"/>
    <x v="31"/>
    <x v="92"/>
    <x v="0"/>
    <x v="41"/>
    <x v="41"/>
    <x v="23"/>
    <x v="41"/>
  </r>
  <r>
    <x v="348"/>
    <x v="103"/>
    <x v="2"/>
    <x v="15"/>
    <x v="1"/>
    <x v="20"/>
    <x v="92"/>
    <x v="92"/>
    <x v="2"/>
    <x v="80"/>
    <x v="80"/>
    <x v="15"/>
    <x v="80"/>
  </r>
  <r>
    <x v="349"/>
    <x v="74"/>
    <x v="4"/>
    <x v="17"/>
    <x v="2"/>
    <x v="22"/>
    <x v="69"/>
    <x v="92"/>
    <x v="2"/>
    <x v="33"/>
    <x v="33"/>
    <x v="17"/>
    <x v="33"/>
  </r>
  <r>
    <x v="350"/>
    <x v="19"/>
    <x v="4"/>
    <x v="17"/>
    <x v="3"/>
    <x v="22"/>
    <x v="19"/>
    <x v="92"/>
    <x v="3"/>
    <x v="25"/>
    <x v="25"/>
    <x v="17"/>
    <x v="25"/>
  </r>
  <r>
    <x v="351"/>
    <x v="120"/>
    <x v="2"/>
    <x v="15"/>
    <x v="0"/>
    <x v="46"/>
    <x v="66"/>
    <x v="92"/>
    <x v="3"/>
    <x v="72"/>
    <x v="72"/>
    <x v="15"/>
    <x v="72"/>
  </r>
  <r>
    <x v="352"/>
    <x v="61"/>
    <x v="4"/>
    <x v="9"/>
    <x v="2"/>
    <x v="10"/>
    <x v="58"/>
    <x v="92"/>
    <x v="2"/>
    <x v="27"/>
    <x v="27"/>
    <x v="9"/>
    <x v="27"/>
  </r>
  <r>
    <x v="353"/>
    <x v="104"/>
    <x v="4"/>
    <x v="17"/>
    <x v="2"/>
    <x v="30"/>
    <x v="93"/>
    <x v="93"/>
    <x v="1"/>
    <x v="58"/>
    <x v="58"/>
    <x v="17"/>
    <x v="58"/>
  </r>
  <r>
    <x v="354"/>
    <x v="60"/>
    <x v="2"/>
    <x v="15"/>
    <x v="0"/>
    <x v="20"/>
    <x v="57"/>
    <x v="93"/>
    <x v="2"/>
    <x v="80"/>
    <x v="80"/>
    <x v="15"/>
    <x v="80"/>
  </r>
  <r>
    <x v="355"/>
    <x v="110"/>
    <x v="4"/>
    <x v="9"/>
    <x v="0"/>
    <x v="10"/>
    <x v="5"/>
    <x v="93"/>
    <x v="2"/>
    <x v="27"/>
    <x v="27"/>
    <x v="9"/>
    <x v="27"/>
  </r>
  <r>
    <x v="356"/>
    <x v="80"/>
    <x v="4"/>
    <x v="9"/>
    <x v="0"/>
    <x v="23"/>
    <x v="31"/>
    <x v="94"/>
    <x v="0"/>
    <x v="39"/>
    <x v="39"/>
    <x v="9"/>
    <x v="39"/>
  </r>
  <r>
    <x v="357"/>
    <x v="62"/>
    <x v="3"/>
    <x v="20"/>
    <x v="0"/>
    <x v="29"/>
    <x v="59"/>
    <x v="94"/>
    <x v="1"/>
    <x v="49"/>
    <x v="49"/>
    <x v="20"/>
    <x v="49"/>
  </r>
  <r>
    <x v="358"/>
    <x v="156"/>
    <x v="0"/>
    <x v="18"/>
    <x v="2"/>
    <x v="39"/>
    <x v="135"/>
    <x v="95"/>
    <x v="3"/>
    <x v="28"/>
    <x v="28"/>
    <x v="18"/>
    <x v="28"/>
  </r>
  <r>
    <x v="359"/>
    <x v="129"/>
    <x v="1"/>
    <x v="19"/>
    <x v="2"/>
    <x v="28"/>
    <x v="110"/>
    <x v="95"/>
    <x v="2"/>
    <x v="95"/>
    <x v="95"/>
    <x v="19"/>
    <x v="95"/>
  </r>
  <r>
    <x v="360"/>
    <x v="44"/>
    <x v="1"/>
    <x v="1"/>
    <x v="3"/>
    <x v="1"/>
    <x v="43"/>
    <x v="95"/>
    <x v="1"/>
    <x v="1"/>
    <x v="1"/>
    <x v="1"/>
    <x v="1"/>
  </r>
  <r>
    <x v="361"/>
    <x v="146"/>
    <x v="4"/>
    <x v="11"/>
    <x v="1"/>
    <x v="26"/>
    <x v="126"/>
    <x v="96"/>
    <x v="3"/>
    <x v="14"/>
    <x v="14"/>
    <x v="11"/>
    <x v="14"/>
  </r>
  <r>
    <x v="362"/>
    <x v="157"/>
    <x v="2"/>
    <x v="2"/>
    <x v="2"/>
    <x v="2"/>
    <x v="136"/>
    <x v="96"/>
    <x v="1"/>
    <x v="56"/>
    <x v="56"/>
    <x v="2"/>
    <x v="56"/>
  </r>
  <r>
    <x v="363"/>
    <x v="65"/>
    <x v="2"/>
    <x v="15"/>
    <x v="1"/>
    <x v="20"/>
    <x v="62"/>
    <x v="96"/>
    <x v="0"/>
    <x v="23"/>
    <x v="23"/>
    <x v="15"/>
    <x v="23"/>
  </r>
  <r>
    <x v="364"/>
    <x v="32"/>
    <x v="3"/>
    <x v="8"/>
    <x v="2"/>
    <x v="9"/>
    <x v="31"/>
    <x v="96"/>
    <x v="1"/>
    <x v="19"/>
    <x v="19"/>
    <x v="8"/>
    <x v="19"/>
  </r>
  <r>
    <x v="365"/>
    <x v="2"/>
    <x v="3"/>
    <x v="8"/>
    <x v="0"/>
    <x v="43"/>
    <x v="2"/>
    <x v="96"/>
    <x v="2"/>
    <x v="18"/>
    <x v="18"/>
    <x v="8"/>
    <x v="18"/>
  </r>
  <r>
    <x v="366"/>
    <x v="116"/>
    <x v="1"/>
    <x v="1"/>
    <x v="3"/>
    <x v="33"/>
    <x v="101"/>
    <x v="96"/>
    <x v="0"/>
    <x v="36"/>
    <x v="36"/>
    <x v="1"/>
    <x v="36"/>
  </r>
  <r>
    <x v="367"/>
    <x v="53"/>
    <x v="4"/>
    <x v="11"/>
    <x v="0"/>
    <x v="13"/>
    <x v="50"/>
    <x v="97"/>
    <x v="3"/>
    <x v="14"/>
    <x v="14"/>
    <x v="11"/>
    <x v="14"/>
  </r>
  <r>
    <x v="368"/>
    <x v="152"/>
    <x v="2"/>
    <x v="15"/>
    <x v="2"/>
    <x v="46"/>
    <x v="132"/>
    <x v="97"/>
    <x v="0"/>
    <x v="23"/>
    <x v="23"/>
    <x v="15"/>
    <x v="23"/>
  </r>
  <r>
    <x v="369"/>
    <x v="91"/>
    <x v="3"/>
    <x v="13"/>
    <x v="1"/>
    <x v="16"/>
    <x v="82"/>
    <x v="97"/>
    <x v="0"/>
    <x v="92"/>
    <x v="92"/>
    <x v="13"/>
    <x v="92"/>
  </r>
  <r>
    <x v="370"/>
    <x v="40"/>
    <x v="2"/>
    <x v="2"/>
    <x v="1"/>
    <x v="48"/>
    <x v="39"/>
    <x v="97"/>
    <x v="3"/>
    <x v="34"/>
    <x v="34"/>
    <x v="2"/>
    <x v="34"/>
  </r>
  <r>
    <x v="371"/>
    <x v="158"/>
    <x v="2"/>
    <x v="4"/>
    <x v="3"/>
    <x v="24"/>
    <x v="137"/>
    <x v="97"/>
    <x v="1"/>
    <x v="31"/>
    <x v="31"/>
    <x v="4"/>
    <x v="31"/>
  </r>
  <r>
    <x v="372"/>
    <x v="154"/>
    <x v="3"/>
    <x v="14"/>
    <x v="0"/>
    <x v="19"/>
    <x v="133"/>
    <x v="97"/>
    <x v="2"/>
    <x v="40"/>
    <x v="40"/>
    <x v="14"/>
    <x v="40"/>
  </r>
  <r>
    <x v="373"/>
    <x v="72"/>
    <x v="2"/>
    <x v="3"/>
    <x v="2"/>
    <x v="5"/>
    <x v="67"/>
    <x v="98"/>
    <x v="2"/>
    <x v="63"/>
    <x v="63"/>
    <x v="3"/>
    <x v="63"/>
  </r>
  <r>
    <x v="374"/>
    <x v="28"/>
    <x v="3"/>
    <x v="8"/>
    <x v="0"/>
    <x v="43"/>
    <x v="27"/>
    <x v="98"/>
    <x v="3"/>
    <x v="10"/>
    <x v="10"/>
    <x v="8"/>
    <x v="10"/>
  </r>
  <r>
    <x v="375"/>
    <x v="28"/>
    <x v="2"/>
    <x v="3"/>
    <x v="0"/>
    <x v="5"/>
    <x v="27"/>
    <x v="98"/>
    <x v="1"/>
    <x v="5"/>
    <x v="5"/>
    <x v="3"/>
    <x v="5"/>
  </r>
  <r>
    <x v="376"/>
    <x v="13"/>
    <x v="2"/>
    <x v="15"/>
    <x v="2"/>
    <x v="20"/>
    <x v="13"/>
    <x v="98"/>
    <x v="0"/>
    <x v="23"/>
    <x v="23"/>
    <x v="15"/>
    <x v="23"/>
  </r>
  <r>
    <x v="377"/>
    <x v="138"/>
    <x v="0"/>
    <x v="5"/>
    <x v="2"/>
    <x v="12"/>
    <x v="119"/>
    <x v="98"/>
    <x v="2"/>
    <x v="50"/>
    <x v="50"/>
    <x v="5"/>
    <x v="50"/>
  </r>
  <r>
    <x v="378"/>
    <x v="81"/>
    <x v="4"/>
    <x v="12"/>
    <x v="2"/>
    <x v="14"/>
    <x v="74"/>
    <x v="98"/>
    <x v="1"/>
    <x v="15"/>
    <x v="15"/>
    <x v="12"/>
    <x v="15"/>
  </r>
  <r>
    <x v="379"/>
    <x v="106"/>
    <x v="2"/>
    <x v="2"/>
    <x v="2"/>
    <x v="2"/>
    <x v="95"/>
    <x v="98"/>
    <x v="2"/>
    <x v="2"/>
    <x v="2"/>
    <x v="2"/>
    <x v="2"/>
  </r>
  <r>
    <x v="380"/>
    <x v="0"/>
    <x v="0"/>
    <x v="24"/>
    <x v="0"/>
    <x v="42"/>
    <x v="0"/>
    <x v="99"/>
    <x v="3"/>
    <x v="77"/>
    <x v="77"/>
    <x v="24"/>
    <x v="77"/>
  </r>
  <r>
    <x v="381"/>
    <x v="159"/>
    <x v="3"/>
    <x v="13"/>
    <x v="0"/>
    <x v="27"/>
    <x v="138"/>
    <x v="99"/>
    <x v="2"/>
    <x v="17"/>
    <x v="17"/>
    <x v="13"/>
    <x v="17"/>
  </r>
  <r>
    <x v="382"/>
    <x v="37"/>
    <x v="2"/>
    <x v="2"/>
    <x v="0"/>
    <x v="48"/>
    <x v="36"/>
    <x v="99"/>
    <x v="3"/>
    <x v="34"/>
    <x v="34"/>
    <x v="2"/>
    <x v="34"/>
  </r>
  <r>
    <x v="383"/>
    <x v="35"/>
    <x v="4"/>
    <x v="12"/>
    <x v="0"/>
    <x v="17"/>
    <x v="34"/>
    <x v="99"/>
    <x v="3"/>
    <x v="16"/>
    <x v="16"/>
    <x v="12"/>
    <x v="16"/>
  </r>
  <r>
    <x v="384"/>
    <x v="117"/>
    <x v="0"/>
    <x v="10"/>
    <x v="2"/>
    <x v="18"/>
    <x v="102"/>
    <x v="99"/>
    <x v="1"/>
    <x v="94"/>
    <x v="94"/>
    <x v="10"/>
    <x v="94"/>
  </r>
  <r>
    <x v="385"/>
    <x v="134"/>
    <x v="3"/>
    <x v="14"/>
    <x v="0"/>
    <x v="45"/>
    <x v="115"/>
    <x v="99"/>
    <x v="0"/>
    <x v="86"/>
    <x v="86"/>
    <x v="14"/>
    <x v="86"/>
  </r>
  <r>
    <x v="386"/>
    <x v="160"/>
    <x v="4"/>
    <x v="21"/>
    <x v="2"/>
    <x v="44"/>
    <x v="139"/>
    <x v="99"/>
    <x v="2"/>
    <x v="43"/>
    <x v="43"/>
    <x v="21"/>
    <x v="43"/>
  </r>
  <r>
    <x v="387"/>
    <x v="77"/>
    <x v="0"/>
    <x v="18"/>
    <x v="2"/>
    <x v="39"/>
    <x v="28"/>
    <x v="99"/>
    <x v="0"/>
    <x v="78"/>
    <x v="78"/>
    <x v="18"/>
    <x v="78"/>
  </r>
  <r>
    <x v="388"/>
    <x v="67"/>
    <x v="2"/>
    <x v="15"/>
    <x v="0"/>
    <x v="20"/>
    <x v="64"/>
    <x v="100"/>
    <x v="0"/>
    <x v="23"/>
    <x v="23"/>
    <x v="15"/>
    <x v="23"/>
  </r>
  <r>
    <x v="389"/>
    <x v="11"/>
    <x v="1"/>
    <x v="22"/>
    <x v="2"/>
    <x v="35"/>
    <x v="11"/>
    <x v="100"/>
    <x v="0"/>
    <x v="71"/>
    <x v="71"/>
    <x v="22"/>
    <x v="71"/>
  </r>
  <r>
    <x v="390"/>
    <x v="132"/>
    <x v="3"/>
    <x v="16"/>
    <x v="2"/>
    <x v="21"/>
    <x v="113"/>
    <x v="101"/>
    <x v="1"/>
    <x v="52"/>
    <x v="52"/>
    <x v="16"/>
    <x v="52"/>
  </r>
  <r>
    <x v="391"/>
    <x v="113"/>
    <x v="4"/>
    <x v="17"/>
    <x v="2"/>
    <x v="22"/>
    <x v="98"/>
    <x v="101"/>
    <x v="3"/>
    <x v="25"/>
    <x v="25"/>
    <x v="17"/>
    <x v="25"/>
  </r>
  <r>
    <x v="392"/>
    <x v="85"/>
    <x v="0"/>
    <x v="24"/>
    <x v="2"/>
    <x v="42"/>
    <x v="78"/>
    <x v="101"/>
    <x v="2"/>
    <x v="67"/>
    <x v="67"/>
    <x v="24"/>
    <x v="67"/>
  </r>
  <r>
    <x v="393"/>
    <x v="70"/>
    <x v="4"/>
    <x v="21"/>
    <x v="3"/>
    <x v="44"/>
    <x v="7"/>
    <x v="101"/>
    <x v="2"/>
    <x v="43"/>
    <x v="43"/>
    <x v="21"/>
    <x v="43"/>
  </r>
  <r>
    <x v="394"/>
    <x v="46"/>
    <x v="2"/>
    <x v="15"/>
    <x v="2"/>
    <x v="20"/>
    <x v="45"/>
    <x v="101"/>
    <x v="2"/>
    <x v="80"/>
    <x v="80"/>
    <x v="15"/>
    <x v="80"/>
  </r>
  <r>
    <x v="395"/>
    <x v="8"/>
    <x v="3"/>
    <x v="20"/>
    <x v="0"/>
    <x v="31"/>
    <x v="8"/>
    <x v="101"/>
    <x v="3"/>
    <x v="32"/>
    <x v="32"/>
    <x v="20"/>
    <x v="32"/>
  </r>
  <r>
    <x v="396"/>
    <x v="161"/>
    <x v="3"/>
    <x v="13"/>
    <x v="2"/>
    <x v="16"/>
    <x v="140"/>
    <x v="102"/>
    <x v="2"/>
    <x v="17"/>
    <x v="17"/>
    <x v="13"/>
    <x v="17"/>
  </r>
  <r>
    <x v="397"/>
    <x v="79"/>
    <x v="1"/>
    <x v="19"/>
    <x v="2"/>
    <x v="28"/>
    <x v="73"/>
    <x v="102"/>
    <x v="0"/>
    <x v="30"/>
    <x v="30"/>
    <x v="19"/>
    <x v="30"/>
  </r>
  <r>
    <x v="398"/>
    <x v="127"/>
    <x v="4"/>
    <x v="17"/>
    <x v="3"/>
    <x v="22"/>
    <x v="109"/>
    <x v="102"/>
    <x v="1"/>
    <x v="58"/>
    <x v="58"/>
    <x v="17"/>
    <x v="58"/>
  </r>
  <r>
    <x v="399"/>
    <x v="33"/>
    <x v="3"/>
    <x v="16"/>
    <x v="3"/>
    <x v="21"/>
    <x v="32"/>
    <x v="102"/>
    <x v="0"/>
    <x v="24"/>
    <x v="24"/>
    <x v="16"/>
    <x v="24"/>
  </r>
  <r>
    <x v="400"/>
    <x v="158"/>
    <x v="0"/>
    <x v="5"/>
    <x v="3"/>
    <x v="6"/>
    <x v="137"/>
    <x v="102"/>
    <x v="3"/>
    <x v="6"/>
    <x v="6"/>
    <x v="5"/>
    <x v="6"/>
  </r>
  <r>
    <x v="401"/>
    <x v="63"/>
    <x v="3"/>
    <x v="8"/>
    <x v="2"/>
    <x v="43"/>
    <x v="60"/>
    <x v="103"/>
    <x v="0"/>
    <x v="55"/>
    <x v="55"/>
    <x v="8"/>
    <x v="55"/>
  </r>
  <r>
    <x v="402"/>
    <x v="78"/>
    <x v="0"/>
    <x v="10"/>
    <x v="0"/>
    <x v="11"/>
    <x v="72"/>
    <x v="103"/>
    <x v="2"/>
    <x v="26"/>
    <x v="26"/>
    <x v="10"/>
    <x v="26"/>
  </r>
  <r>
    <x v="403"/>
    <x v="85"/>
    <x v="1"/>
    <x v="1"/>
    <x v="2"/>
    <x v="33"/>
    <x v="78"/>
    <x v="103"/>
    <x v="2"/>
    <x v="54"/>
    <x v="54"/>
    <x v="1"/>
    <x v="54"/>
  </r>
  <r>
    <x v="404"/>
    <x v="120"/>
    <x v="1"/>
    <x v="22"/>
    <x v="0"/>
    <x v="35"/>
    <x v="66"/>
    <x v="103"/>
    <x v="1"/>
    <x v="65"/>
    <x v="65"/>
    <x v="22"/>
    <x v="65"/>
  </r>
  <r>
    <x v="405"/>
    <x v="77"/>
    <x v="2"/>
    <x v="23"/>
    <x v="2"/>
    <x v="36"/>
    <x v="28"/>
    <x v="103"/>
    <x v="3"/>
    <x v="75"/>
    <x v="75"/>
    <x v="23"/>
    <x v="75"/>
  </r>
  <r>
    <x v="406"/>
    <x v="63"/>
    <x v="0"/>
    <x v="10"/>
    <x v="2"/>
    <x v="11"/>
    <x v="60"/>
    <x v="104"/>
    <x v="3"/>
    <x v="12"/>
    <x v="12"/>
    <x v="10"/>
    <x v="12"/>
  </r>
  <r>
    <x v="407"/>
    <x v="26"/>
    <x v="4"/>
    <x v="21"/>
    <x v="2"/>
    <x v="44"/>
    <x v="12"/>
    <x v="104"/>
    <x v="2"/>
    <x v="43"/>
    <x v="43"/>
    <x v="21"/>
    <x v="43"/>
  </r>
  <r>
    <x v="408"/>
    <x v="44"/>
    <x v="0"/>
    <x v="10"/>
    <x v="3"/>
    <x v="11"/>
    <x v="43"/>
    <x v="104"/>
    <x v="3"/>
    <x v="12"/>
    <x v="12"/>
    <x v="10"/>
    <x v="12"/>
  </r>
  <r>
    <x v="409"/>
    <x v="162"/>
    <x v="3"/>
    <x v="20"/>
    <x v="3"/>
    <x v="29"/>
    <x v="126"/>
    <x v="104"/>
    <x v="3"/>
    <x v="32"/>
    <x v="32"/>
    <x v="20"/>
    <x v="32"/>
  </r>
  <r>
    <x v="410"/>
    <x v="163"/>
    <x v="2"/>
    <x v="15"/>
    <x v="2"/>
    <x v="46"/>
    <x v="35"/>
    <x v="105"/>
    <x v="2"/>
    <x v="80"/>
    <x v="80"/>
    <x v="15"/>
    <x v="80"/>
  </r>
  <r>
    <x v="411"/>
    <x v="159"/>
    <x v="0"/>
    <x v="5"/>
    <x v="0"/>
    <x v="12"/>
    <x v="138"/>
    <x v="105"/>
    <x v="3"/>
    <x v="6"/>
    <x v="6"/>
    <x v="5"/>
    <x v="6"/>
  </r>
  <r>
    <x v="412"/>
    <x v="35"/>
    <x v="2"/>
    <x v="23"/>
    <x v="0"/>
    <x v="49"/>
    <x v="34"/>
    <x v="105"/>
    <x v="3"/>
    <x v="75"/>
    <x v="75"/>
    <x v="23"/>
    <x v="75"/>
  </r>
  <r>
    <x v="413"/>
    <x v="39"/>
    <x v="3"/>
    <x v="14"/>
    <x v="0"/>
    <x v="45"/>
    <x v="38"/>
    <x v="105"/>
    <x v="1"/>
    <x v="48"/>
    <x v="48"/>
    <x v="14"/>
    <x v="48"/>
  </r>
  <r>
    <x v="414"/>
    <x v="23"/>
    <x v="0"/>
    <x v="24"/>
    <x v="2"/>
    <x v="42"/>
    <x v="23"/>
    <x v="105"/>
    <x v="2"/>
    <x v="67"/>
    <x v="67"/>
    <x v="24"/>
    <x v="67"/>
  </r>
  <r>
    <x v="415"/>
    <x v="49"/>
    <x v="0"/>
    <x v="10"/>
    <x v="0"/>
    <x v="18"/>
    <x v="47"/>
    <x v="106"/>
    <x v="0"/>
    <x v="21"/>
    <x v="21"/>
    <x v="10"/>
    <x v="21"/>
  </r>
  <r>
    <x v="416"/>
    <x v="15"/>
    <x v="3"/>
    <x v="20"/>
    <x v="0"/>
    <x v="31"/>
    <x v="15"/>
    <x v="107"/>
    <x v="0"/>
    <x v="66"/>
    <x v="66"/>
    <x v="20"/>
    <x v="66"/>
  </r>
  <r>
    <x v="417"/>
    <x v="42"/>
    <x v="0"/>
    <x v="10"/>
    <x v="0"/>
    <x v="18"/>
    <x v="41"/>
    <x v="107"/>
    <x v="1"/>
    <x v="94"/>
    <x v="94"/>
    <x v="10"/>
    <x v="94"/>
  </r>
  <r>
    <x v="418"/>
    <x v="114"/>
    <x v="2"/>
    <x v="15"/>
    <x v="1"/>
    <x v="20"/>
    <x v="99"/>
    <x v="107"/>
    <x v="0"/>
    <x v="23"/>
    <x v="23"/>
    <x v="15"/>
    <x v="23"/>
  </r>
  <r>
    <x v="419"/>
    <x v="120"/>
    <x v="4"/>
    <x v="21"/>
    <x v="0"/>
    <x v="44"/>
    <x v="66"/>
    <x v="107"/>
    <x v="1"/>
    <x v="35"/>
    <x v="35"/>
    <x v="21"/>
    <x v="35"/>
  </r>
  <r>
    <x v="420"/>
    <x v="30"/>
    <x v="1"/>
    <x v="22"/>
    <x v="2"/>
    <x v="35"/>
    <x v="29"/>
    <x v="107"/>
    <x v="2"/>
    <x v="38"/>
    <x v="38"/>
    <x v="22"/>
    <x v="38"/>
  </r>
  <r>
    <x v="421"/>
    <x v="100"/>
    <x v="1"/>
    <x v="7"/>
    <x v="0"/>
    <x v="8"/>
    <x v="89"/>
    <x v="108"/>
    <x v="3"/>
    <x v="79"/>
    <x v="79"/>
    <x v="7"/>
    <x v="79"/>
  </r>
  <r>
    <x v="422"/>
    <x v="6"/>
    <x v="2"/>
    <x v="4"/>
    <x v="3"/>
    <x v="24"/>
    <x v="6"/>
    <x v="108"/>
    <x v="1"/>
    <x v="31"/>
    <x v="31"/>
    <x v="4"/>
    <x v="31"/>
  </r>
  <r>
    <x v="423"/>
    <x v="129"/>
    <x v="0"/>
    <x v="0"/>
    <x v="2"/>
    <x v="0"/>
    <x v="110"/>
    <x v="109"/>
    <x v="1"/>
    <x v="93"/>
    <x v="93"/>
    <x v="0"/>
    <x v="93"/>
  </r>
  <r>
    <x v="424"/>
    <x v="126"/>
    <x v="3"/>
    <x v="20"/>
    <x v="2"/>
    <x v="29"/>
    <x v="108"/>
    <x v="109"/>
    <x v="3"/>
    <x v="32"/>
    <x v="32"/>
    <x v="20"/>
    <x v="32"/>
  </r>
  <r>
    <x v="425"/>
    <x v="152"/>
    <x v="3"/>
    <x v="13"/>
    <x v="2"/>
    <x v="16"/>
    <x v="132"/>
    <x v="109"/>
    <x v="0"/>
    <x v="92"/>
    <x v="92"/>
    <x v="13"/>
    <x v="92"/>
  </r>
  <r>
    <x v="426"/>
    <x v="123"/>
    <x v="3"/>
    <x v="16"/>
    <x v="3"/>
    <x v="41"/>
    <x v="106"/>
    <x v="109"/>
    <x v="1"/>
    <x v="52"/>
    <x v="52"/>
    <x v="16"/>
    <x v="52"/>
  </r>
  <r>
    <x v="427"/>
    <x v="49"/>
    <x v="2"/>
    <x v="4"/>
    <x v="0"/>
    <x v="24"/>
    <x v="47"/>
    <x v="109"/>
    <x v="1"/>
    <x v="31"/>
    <x v="31"/>
    <x v="4"/>
    <x v="31"/>
  </r>
  <r>
    <x v="428"/>
    <x v="159"/>
    <x v="4"/>
    <x v="11"/>
    <x v="0"/>
    <x v="13"/>
    <x v="138"/>
    <x v="110"/>
    <x v="2"/>
    <x v="20"/>
    <x v="20"/>
    <x v="11"/>
    <x v="20"/>
  </r>
  <r>
    <x v="429"/>
    <x v="80"/>
    <x v="1"/>
    <x v="22"/>
    <x v="0"/>
    <x v="40"/>
    <x v="31"/>
    <x v="110"/>
    <x v="1"/>
    <x v="65"/>
    <x v="65"/>
    <x v="22"/>
    <x v="65"/>
  </r>
  <r>
    <x v="430"/>
    <x v="146"/>
    <x v="1"/>
    <x v="6"/>
    <x v="1"/>
    <x v="7"/>
    <x v="126"/>
    <x v="110"/>
    <x v="3"/>
    <x v="91"/>
    <x v="91"/>
    <x v="6"/>
    <x v="91"/>
  </r>
  <r>
    <x v="431"/>
    <x v="96"/>
    <x v="4"/>
    <x v="21"/>
    <x v="0"/>
    <x v="44"/>
    <x v="51"/>
    <x v="110"/>
    <x v="0"/>
    <x v="64"/>
    <x v="64"/>
    <x v="21"/>
    <x v="64"/>
  </r>
  <r>
    <x v="432"/>
    <x v="147"/>
    <x v="4"/>
    <x v="21"/>
    <x v="0"/>
    <x v="32"/>
    <x v="127"/>
    <x v="110"/>
    <x v="2"/>
    <x v="43"/>
    <x v="43"/>
    <x v="21"/>
    <x v="43"/>
  </r>
  <r>
    <x v="433"/>
    <x v="36"/>
    <x v="0"/>
    <x v="18"/>
    <x v="2"/>
    <x v="25"/>
    <x v="35"/>
    <x v="110"/>
    <x v="1"/>
    <x v="84"/>
    <x v="84"/>
    <x v="18"/>
    <x v="84"/>
  </r>
  <r>
    <x v="434"/>
    <x v="19"/>
    <x v="4"/>
    <x v="21"/>
    <x v="3"/>
    <x v="32"/>
    <x v="19"/>
    <x v="110"/>
    <x v="2"/>
    <x v="43"/>
    <x v="43"/>
    <x v="21"/>
    <x v="43"/>
  </r>
  <r>
    <x v="435"/>
    <x v="158"/>
    <x v="2"/>
    <x v="15"/>
    <x v="3"/>
    <x v="46"/>
    <x v="137"/>
    <x v="110"/>
    <x v="1"/>
    <x v="88"/>
    <x v="88"/>
    <x v="15"/>
    <x v="88"/>
  </r>
  <r>
    <x v="436"/>
    <x v="142"/>
    <x v="1"/>
    <x v="7"/>
    <x v="1"/>
    <x v="8"/>
    <x v="122"/>
    <x v="110"/>
    <x v="3"/>
    <x v="79"/>
    <x v="79"/>
    <x v="7"/>
    <x v="79"/>
  </r>
  <r>
    <x v="437"/>
    <x v="161"/>
    <x v="0"/>
    <x v="5"/>
    <x v="2"/>
    <x v="12"/>
    <x v="140"/>
    <x v="111"/>
    <x v="3"/>
    <x v="6"/>
    <x v="6"/>
    <x v="5"/>
    <x v="6"/>
  </r>
  <r>
    <x v="438"/>
    <x v="28"/>
    <x v="2"/>
    <x v="15"/>
    <x v="0"/>
    <x v="20"/>
    <x v="27"/>
    <x v="111"/>
    <x v="1"/>
    <x v="88"/>
    <x v="88"/>
    <x v="15"/>
    <x v="88"/>
  </r>
  <r>
    <x v="439"/>
    <x v="55"/>
    <x v="3"/>
    <x v="14"/>
    <x v="2"/>
    <x v="19"/>
    <x v="52"/>
    <x v="111"/>
    <x v="0"/>
    <x v="86"/>
    <x v="86"/>
    <x v="14"/>
    <x v="86"/>
  </r>
  <r>
    <x v="440"/>
    <x v="51"/>
    <x v="1"/>
    <x v="7"/>
    <x v="0"/>
    <x v="8"/>
    <x v="40"/>
    <x v="111"/>
    <x v="3"/>
    <x v="79"/>
    <x v="79"/>
    <x v="7"/>
    <x v="79"/>
  </r>
  <r>
    <x v="441"/>
    <x v="135"/>
    <x v="1"/>
    <x v="1"/>
    <x v="4"/>
    <x v="33"/>
    <x v="116"/>
    <x v="111"/>
    <x v="1"/>
    <x v="1"/>
    <x v="1"/>
    <x v="1"/>
    <x v="1"/>
  </r>
  <r>
    <x v="442"/>
    <x v="164"/>
    <x v="2"/>
    <x v="4"/>
    <x v="2"/>
    <x v="24"/>
    <x v="141"/>
    <x v="111"/>
    <x v="3"/>
    <x v="4"/>
    <x v="4"/>
    <x v="4"/>
    <x v="4"/>
  </r>
  <r>
    <x v="443"/>
    <x v="64"/>
    <x v="3"/>
    <x v="8"/>
    <x v="2"/>
    <x v="9"/>
    <x v="61"/>
    <x v="112"/>
    <x v="0"/>
    <x v="55"/>
    <x v="55"/>
    <x v="8"/>
    <x v="55"/>
  </r>
  <r>
    <x v="444"/>
    <x v="93"/>
    <x v="0"/>
    <x v="5"/>
    <x v="2"/>
    <x v="6"/>
    <x v="83"/>
    <x v="113"/>
    <x v="2"/>
    <x v="50"/>
    <x v="50"/>
    <x v="5"/>
    <x v="50"/>
  </r>
  <r>
    <x v="445"/>
    <x v="52"/>
    <x v="4"/>
    <x v="21"/>
    <x v="0"/>
    <x v="32"/>
    <x v="49"/>
    <x v="113"/>
    <x v="2"/>
    <x v="43"/>
    <x v="43"/>
    <x v="21"/>
    <x v="43"/>
  </r>
  <r>
    <x v="446"/>
    <x v="19"/>
    <x v="1"/>
    <x v="1"/>
    <x v="3"/>
    <x v="33"/>
    <x v="19"/>
    <x v="113"/>
    <x v="2"/>
    <x v="54"/>
    <x v="54"/>
    <x v="1"/>
    <x v="54"/>
  </r>
  <r>
    <x v="447"/>
    <x v="59"/>
    <x v="1"/>
    <x v="6"/>
    <x v="2"/>
    <x v="7"/>
    <x v="56"/>
    <x v="114"/>
    <x v="0"/>
    <x v="42"/>
    <x v="42"/>
    <x v="6"/>
    <x v="42"/>
  </r>
  <r>
    <x v="448"/>
    <x v="165"/>
    <x v="1"/>
    <x v="7"/>
    <x v="2"/>
    <x v="34"/>
    <x v="67"/>
    <x v="114"/>
    <x v="0"/>
    <x v="37"/>
    <x v="37"/>
    <x v="7"/>
    <x v="37"/>
  </r>
  <r>
    <x v="449"/>
    <x v="38"/>
    <x v="3"/>
    <x v="14"/>
    <x v="3"/>
    <x v="19"/>
    <x v="37"/>
    <x v="115"/>
    <x v="0"/>
    <x v="86"/>
    <x v="86"/>
    <x v="14"/>
    <x v="86"/>
  </r>
  <r>
    <x v="450"/>
    <x v="166"/>
    <x v="3"/>
    <x v="8"/>
    <x v="0"/>
    <x v="9"/>
    <x v="17"/>
    <x v="115"/>
    <x v="0"/>
    <x v="55"/>
    <x v="55"/>
    <x v="8"/>
    <x v="55"/>
  </r>
  <r>
    <x v="451"/>
    <x v="63"/>
    <x v="4"/>
    <x v="11"/>
    <x v="2"/>
    <x v="26"/>
    <x v="60"/>
    <x v="116"/>
    <x v="0"/>
    <x v="76"/>
    <x v="76"/>
    <x v="11"/>
    <x v="76"/>
  </r>
  <r>
    <x v="452"/>
    <x v="6"/>
    <x v="4"/>
    <x v="17"/>
    <x v="3"/>
    <x v="22"/>
    <x v="6"/>
    <x v="116"/>
    <x v="1"/>
    <x v="58"/>
    <x v="58"/>
    <x v="17"/>
    <x v="58"/>
  </r>
  <r>
    <x v="453"/>
    <x v="79"/>
    <x v="2"/>
    <x v="15"/>
    <x v="2"/>
    <x v="20"/>
    <x v="73"/>
    <x v="117"/>
    <x v="0"/>
    <x v="23"/>
    <x v="23"/>
    <x v="15"/>
    <x v="23"/>
  </r>
  <r>
    <x v="454"/>
    <x v="59"/>
    <x v="1"/>
    <x v="7"/>
    <x v="2"/>
    <x v="34"/>
    <x v="56"/>
    <x v="117"/>
    <x v="2"/>
    <x v="82"/>
    <x v="82"/>
    <x v="7"/>
    <x v="82"/>
  </r>
  <r>
    <x v="455"/>
    <x v="153"/>
    <x v="2"/>
    <x v="23"/>
    <x v="2"/>
    <x v="36"/>
    <x v="94"/>
    <x v="117"/>
    <x v="3"/>
    <x v="75"/>
    <x v="75"/>
    <x v="23"/>
    <x v="75"/>
  </r>
  <r>
    <x v="456"/>
    <x v="2"/>
    <x v="2"/>
    <x v="15"/>
    <x v="0"/>
    <x v="20"/>
    <x v="2"/>
    <x v="117"/>
    <x v="1"/>
    <x v="88"/>
    <x v="88"/>
    <x v="15"/>
    <x v="88"/>
  </r>
  <r>
    <x v="457"/>
    <x v="27"/>
    <x v="4"/>
    <x v="21"/>
    <x v="0"/>
    <x v="44"/>
    <x v="26"/>
    <x v="117"/>
    <x v="0"/>
    <x v="64"/>
    <x v="64"/>
    <x v="21"/>
    <x v="64"/>
  </r>
  <r>
    <x v="458"/>
    <x v="158"/>
    <x v="0"/>
    <x v="24"/>
    <x v="3"/>
    <x v="47"/>
    <x v="137"/>
    <x v="117"/>
    <x v="0"/>
    <x v="85"/>
    <x v="85"/>
    <x v="24"/>
    <x v="85"/>
  </r>
  <r>
    <x v="459"/>
    <x v="46"/>
    <x v="4"/>
    <x v="9"/>
    <x v="2"/>
    <x v="10"/>
    <x v="45"/>
    <x v="117"/>
    <x v="3"/>
    <x v="11"/>
    <x v="11"/>
    <x v="9"/>
    <x v="11"/>
  </r>
  <r>
    <x v="460"/>
    <x v="129"/>
    <x v="1"/>
    <x v="1"/>
    <x v="2"/>
    <x v="33"/>
    <x v="110"/>
    <x v="118"/>
    <x v="2"/>
    <x v="54"/>
    <x v="54"/>
    <x v="1"/>
    <x v="54"/>
  </r>
  <r>
    <x v="461"/>
    <x v="25"/>
    <x v="4"/>
    <x v="21"/>
    <x v="2"/>
    <x v="44"/>
    <x v="25"/>
    <x v="118"/>
    <x v="3"/>
    <x v="70"/>
    <x v="70"/>
    <x v="21"/>
    <x v="70"/>
  </r>
  <r>
    <x v="462"/>
    <x v="31"/>
    <x v="1"/>
    <x v="19"/>
    <x v="0"/>
    <x v="38"/>
    <x v="30"/>
    <x v="119"/>
    <x v="3"/>
    <x v="97"/>
    <x v="97"/>
    <x v="19"/>
    <x v="97"/>
  </r>
  <r>
    <x v="463"/>
    <x v="0"/>
    <x v="2"/>
    <x v="15"/>
    <x v="0"/>
    <x v="46"/>
    <x v="0"/>
    <x v="120"/>
    <x v="2"/>
    <x v="80"/>
    <x v="80"/>
    <x v="15"/>
    <x v="80"/>
  </r>
  <r>
    <x v="464"/>
    <x v="149"/>
    <x v="1"/>
    <x v="6"/>
    <x v="2"/>
    <x v="37"/>
    <x v="129"/>
    <x v="120"/>
    <x v="0"/>
    <x v="42"/>
    <x v="42"/>
    <x v="6"/>
    <x v="42"/>
  </r>
  <r>
    <x v="465"/>
    <x v="167"/>
    <x v="1"/>
    <x v="19"/>
    <x v="0"/>
    <x v="38"/>
    <x v="114"/>
    <x v="120"/>
    <x v="3"/>
    <x v="97"/>
    <x v="97"/>
    <x v="19"/>
    <x v="97"/>
  </r>
  <r>
    <x v="466"/>
    <x v="60"/>
    <x v="0"/>
    <x v="10"/>
    <x v="0"/>
    <x v="11"/>
    <x v="57"/>
    <x v="120"/>
    <x v="1"/>
    <x v="94"/>
    <x v="94"/>
    <x v="10"/>
    <x v="94"/>
  </r>
  <r>
    <x v="467"/>
    <x v="145"/>
    <x v="4"/>
    <x v="9"/>
    <x v="0"/>
    <x v="23"/>
    <x v="125"/>
    <x v="120"/>
    <x v="0"/>
    <x v="39"/>
    <x v="39"/>
    <x v="9"/>
    <x v="39"/>
  </r>
  <r>
    <x v="468"/>
    <x v="29"/>
    <x v="0"/>
    <x v="5"/>
    <x v="3"/>
    <x v="6"/>
    <x v="28"/>
    <x v="121"/>
    <x v="3"/>
    <x v="6"/>
    <x v="6"/>
    <x v="5"/>
    <x v="6"/>
  </r>
  <r>
    <x v="469"/>
    <x v="70"/>
    <x v="1"/>
    <x v="22"/>
    <x v="3"/>
    <x v="40"/>
    <x v="7"/>
    <x v="121"/>
    <x v="0"/>
    <x v="71"/>
    <x v="71"/>
    <x v="22"/>
    <x v="71"/>
  </r>
  <r>
    <x v="470"/>
    <x v="43"/>
    <x v="0"/>
    <x v="24"/>
    <x v="1"/>
    <x v="42"/>
    <x v="42"/>
    <x v="121"/>
    <x v="3"/>
    <x v="77"/>
    <x v="77"/>
    <x v="24"/>
    <x v="77"/>
  </r>
  <r>
    <x v="471"/>
    <x v="46"/>
    <x v="4"/>
    <x v="11"/>
    <x v="2"/>
    <x v="13"/>
    <x v="45"/>
    <x v="121"/>
    <x v="3"/>
    <x v="14"/>
    <x v="14"/>
    <x v="11"/>
    <x v="14"/>
  </r>
  <r>
    <x v="472"/>
    <x v="152"/>
    <x v="0"/>
    <x v="5"/>
    <x v="2"/>
    <x v="12"/>
    <x v="132"/>
    <x v="122"/>
    <x v="2"/>
    <x v="50"/>
    <x v="50"/>
    <x v="5"/>
    <x v="50"/>
  </r>
  <r>
    <x v="473"/>
    <x v="123"/>
    <x v="2"/>
    <x v="23"/>
    <x v="3"/>
    <x v="49"/>
    <x v="106"/>
    <x v="122"/>
    <x v="2"/>
    <x v="69"/>
    <x v="69"/>
    <x v="23"/>
    <x v="69"/>
  </r>
  <r>
    <x v="474"/>
    <x v="67"/>
    <x v="0"/>
    <x v="0"/>
    <x v="0"/>
    <x v="15"/>
    <x v="64"/>
    <x v="123"/>
    <x v="3"/>
    <x v="98"/>
    <x v="98"/>
    <x v="0"/>
    <x v="98"/>
  </r>
  <r>
    <x v="475"/>
    <x v="168"/>
    <x v="1"/>
    <x v="19"/>
    <x v="2"/>
    <x v="38"/>
    <x v="142"/>
    <x v="123"/>
    <x v="0"/>
    <x v="30"/>
    <x v="30"/>
    <x v="19"/>
    <x v="30"/>
  </r>
  <r>
    <x v="476"/>
    <x v="87"/>
    <x v="2"/>
    <x v="3"/>
    <x v="2"/>
    <x v="3"/>
    <x v="79"/>
    <x v="123"/>
    <x v="1"/>
    <x v="5"/>
    <x v="5"/>
    <x v="3"/>
    <x v="5"/>
  </r>
  <r>
    <x v="477"/>
    <x v="25"/>
    <x v="4"/>
    <x v="9"/>
    <x v="2"/>
    <x v="10"/>
    <x v="25"/>
    <x v="123"/>
    <x v="3"/>
    <x v="11"/>
    <x v="11"/>
    <x v="9"/>
    <x v="11"/>
  </r>
  <r>
    <x v="478"/>
    <x v="116"/>
    <x v="0"/>
    <x v="18"/>
    <x v="3"/>
    <x v="25"/>
    <x v="101"/>
    <x v="123"/>
    <x v="3"/>
    <x v="28"/>
    <x v="28"/>
    <x v="18"/>
    <x v="28"/>
  </r>
  <r>
    <x v="479"/>
    <x v="79"/>
    <x v="1"/>
    <x v="22"/>
    <x v="2"/>
    <x v="40"/>
    <x v="73"/>
    <x v="124"/>
    <x v="0"/>
    <x v="71"/>
    <x v="71"/>
    <x v="22"/>
    <x v="71"/>
  </r>
  <r>
    <x v="480"/>
    <x v="13"/>
    <x v="2"/>
    <x v="15"/>
    <x v="2"/>
    <x v="46"/>
    <x v="13"/>
    <x v="125"/>
    <x v="2"/>
    <x v="80"/>
    <x v="80"/>
    <x v="15"/>
    <x v="80"/>
  </r>
  <r>
    <x v="481"/>
    <x v="169"/>
    <x v="4"/>
    <x v="11"/>
    <x v="3"/>
    <x v="13"/>
    <x v="114"/>
    <x v="125"/>
    <x v="3"/>
    <x v="14"/>
    <x v="14"/>
    <x v="11"/>
    <x v="14"/>
  </r>
  <r>
    <x v="482"/>
    <x v="39"/>
    <x v="0"/>
    <x v="5"/>
    <x v="0"/>
    <x v="6"/>
    <x v="38"/>
    <x v="126"/>
    <x v="0"/>
    <x v="13"/>
    <x v="13"/>
    <x v="5"/>
    <x v="13"/>
  </r>
  <r>
    <x v="483"/>
    <x v="97"/>
    <x v="4"/>
    <x v="21"/>
    <x v="0"/>
    <x v="44"/>
    <x v="86"/>
    <x v="126"/>
    <x v="3"/>
    <x v="70"/>
    <x v="70"/>
    <x v="21"/>
    <x v="70"/>
  </r>
  <r>
    <x v="484"/>
    <x v="100"/>
    <x v="4"/>
    <x v="9"/>
    <x v="0"/>
    <x v="10"/>
    <x v="89"/>
    <x v="127"/>
    <x v="2"/>
    <x v="27"/>
    <x v="27"/>
    <x v="9"/>
    <x v="27"/>
  </r>
  <r>
    <x v="485"/>
    <x v="111"/>
    <x v="0"/>
    <x v="24"/>
    <x v="0"/>
    <x v="42"/>
    <x v="19"/>
    <x v="127"/>
    <x v="0"/>
    <x v="85"/>
    <x v="85"/>
    <x v="24"/>
    <x v="85"/>
  </r>
  <r>
    <x v="486"/>
    <x v="157"/>
    <x v="1"/>
    <x v="6"/>
    <x v="2"/>
    <x v="37"/>
    <x v="136"/>
    <x v="127"/>
    <x v="3"/>
    <x v="91"/>
    <x v="91"/>
    <x v="6"/>
    <x v="91"/>
  </r>
  <r>
    <x v="487"/>
    <x v="20"/>
    <x v="0"/>
    <x v="10"/>
    <x v="3"/>
    <x v="18"/>
    <x v="20"/>
    <x v="127"/>
    <x v="2"/>
    <x v="26"/>
    <x v="26"/>
    <x v="10"/>
    <x v="26"/>
  </r>
  <r>
    <x v="488"/>
    <x v="51"/>
    <x v="2"/>
    <x v="2"/>
    <x v="0"/>
    <x v="48"/>
    <x v="40"/>
    <x v="127"/>
    <x v="2"/>
    <x v="2"/>
    <x v="2"/>
    <x v="2"/>
    <x v="2"/>
  </r>
  <r>
    <x v="489"/>
    <x v="114"/>
    <x v="0"/>
    <x v="0"/>
    <x v="1"/>
    <x v="15"/>
    <x v="99"/>
    <x v="127"/>
    <x v="0"/>
    <x v="0"/>
    <x v="0"/>
    <x v="0"/>
    <x v="0"/>
  </r>
  <r>
    <x v="490"/>
    <x v="83"/>
    <x v="1"/>
    <x v="1"/>
    <x v="2"/>
    <x v="33"/>
    <x v="76"/>
    <x v="127"/>
    <x v="1"/>
    <x v="1"/>
    <x v="1"/>
    <x v="1"/>
    <x v="1"/>
  </r>
  <r>
    <x v="491"/>
    <x v="170"/>
    <x v="4"/>
    <x v="9"/>
    <x v="2"/>
    <x v="10"/>
    <x v="143"/>
    <x v="127"/>
    <x v="1"/>
    <x v="29"/>
    <x v="29"/>
    <x v="9"/>
    <x v="29"/>
  </r>
  <r>
    <x v="492"/>
    <x v="146"/>
    <x v="1"/>
    <x v="7"/>
    <x v="1"/>
    <x v="34"/>
    <x v="126"/>
    <x v="128"/>
    <x v="2"/>
    <x v="82"/>
    <x v="82"/>
    <x v="7"/>
    <x v="82"/>
  </r>
  <r>
    <x v="493"/>
    <x v="14"/>
    <x v="4"/>
    <x v="21"/>
    <x v="0"/>
    <x v="32"/>
    <x v="14"/>
    <x v="128"/>
    <x v="1"/>
    <x v="35"/>
    <x v="35"/>
    <x v="21"/>
    <x v="35"/>
  </r>
  <r>
    <x v="494"/>
    <x v="29"/>
    <x v="1"/>
    <x v="22"/>
    <x v="3"/>
    <x v="35"/>
    <x v="28"/>
    <x v="128"/>
    <x v="1"/>
    <x v="65"/>
    <x v="65"/>
    <x v="22"/>
    <x v="65"/>
  </r>
  <r>
    <x v="495"/>
    <x v="171"/>
    <x v="4"/>
    <x v="17"/>
    <x v="2"/>
    <x v="30"/>
    <x v="144"/>
    <x v="128"/>
    <x v="1"/>
    <x v="58"/>
    <x v="58"/>
    <x v="17"/>
    <x v="58"/>
  </r>
  <r>
    <x v="496"/>
    <x v="53"/>
    <x v="2"/>
    <x v="3"/>
    <x v="0"/>
    <x v="3"/>
    <x v="50"/>
    <x v="129"/>
    <x v="0"/>
    <x v="74"/>
    <x v="74"/>
    <x v="3"/>
    <x v="74"/>
  </r>
  <r>
    <x v="497"/>
    <x v="167"/>
    <x v="1"/>
    <x v="1"/>
    <x v="0"/>
    <x v="1"/>
    <x v="114"/>
    <x v="129"/>
    <x v="1"/>
    <x v="1"/>
    <x v="1"/>
    <x v="1"/>
    <x v="1"/>
  </r>
  <r>
    <x v="498"/>
    <x v="43"/>
    <x v="1"/>
    <x v="6"/>
    <x v="1"/>
    <x v="7"/>
    <x v="42"/>
    <x v="129"/>
    <x v="2"/>
    <x v="83"/>
    <x v="83"/>
    <x v="6"/>
    <x v="83"/>
  </r>
  <r>
    <x v="499"/>
    <x v="136"/>
    <x v="2"/>
    <x v="23"/>
    <x v="1"/>
    <x v="36"/>
    <x v="117"/>
    <x v="129"/>
    <x v="3"/>
    <x v="75"/>
    <x v="75"/>
    <x v="23"/>
    <x v="75"/>
  </r>
  <r>
    <x v="500"/>
    <x v="168"/>
    <x v="3"/>
    <x v="13"/>
    <x v="2"/>
    <x v="16"/>
    <x v="142"/>
    <x v="130"/>
    <x v="1"/>
    <x v="96"/>
    <x v="96"/>
    <x v="13"/>
    <x v="96"/>
  </r>
  <r>
    <x v="501"/>
    <x v="70"/>
    <x v="2"/>
    <x v="2"/>
    <x v="3"/>
    <x v="2"/>
    <x v="7"/>
    <x v="130"/>
    <x v="1"/>
    <x v="56"/>
    <x v="56"/>
    <x v="2"/>
    <x v="56"/>
  </r>
  <r>
    <x v="502"/>
    <x v="62"/>
    <x v="1"/>
    <x v="7"/>
    <x v="0"/>
    <x v="34"/>
    <x v="59"/>
    <x v="130"/>
    <x v="3"/>
    <x v="79"/>
    <x v="79"/>
    <x v="7"/>
    <x v="79"/>
  </r>
  <r>
    <x v="503"/>
    <x v="122"/>
    <x v="3"/>
    <x v="20"/>
    <x v="3"/>
    <x v="29"/>
    <x v="105"/>
    <x v="131"/>
    <x v="1"/>
    <x v="49"/>
    <x v="49"/>
    <x v="20"/>
    <x v="49"/>
  </r>
  <r>
    <x v="504"/>
    <x v="39"/>
    <x v="2"/>
    <x v="3"/>
    <x v="0"/>
    <x v="3"/>
    <x v="38"/>
    <x v="131"/>
    <x v="3"/>
    <x v="3"/>
    <x v="3"/>
    <x v="3"/>
    <x v="3"/>
  </r>
  <r>
    <x v="505"/>
    <x v="41"/>
    <x v="1"/>
    <x v="1"/>
    <x v="2"/>
    <x v="1"/>
    <x v="40"/>
    <x v="131"/>
    <x v="0"/>
    <x v="36"/>
    <x v="36"/>
    <x v="1"/>
    <x v="36"/>
  </r>
  <r>
    <x v="506"/>
    <x v="147"/>
    <x v="3"/>
    <x v="14"/>
    <x v="0"/>
    <x v="45"/>
    <x v="127"/>
    <x v="132"/>
    <x v="3"/>
    <x v="22"/>
    <x v="22"/>
    <x v="14"/>
    <x v="22"/>
  </r>
  <r>
    <x v="507"/>
    <x v="45"/>
    <x v="4"/>
    <x v="11"/>
    <x v="2"/>
    <x v="13"/>
    <x v="44"/>
    <x v="133"/>
    <x v="1"/>
    <x v="89"/>
    <x v="89"/>
    <x v="11"/>
    <x v="89"/>
  </r>
  <r>
    <x v="508"/>
    <x v="71"/>
    <x v="4"/>
    <x v="12"/>
    <x v="2"/>
    <x v="14"/>
    <x v="57"/>
    <x v="134"/>
    <x v="3"/>
    <x v="16"/>
    <x v="16"/>
    <x v="12"/>
    <x v="16"/>
  </r>
  <r>
    <x v="509"/>
    <x v="100"/>
    <x v="1"/>
    <x v="22"/>
    <x v="0"/>
    <x v="40"/>
    <x v="89"/>
    <x v="134"/>
    <x v="3"/>
    <x v="51"/>
    <x v="51"/>
    <x v="22"/>
    <x v="51"/>
  </r>
  <r>
    <x v="510"/>
    <x v="87"/>
    <x v="4"/>
    <x v="12"/>
    <x v="2"/>
    <x v="14"/>
    <x v="79"/>
    <x v="134"/>
    <x v="0"/>
    <x v="87"/>
    <x v="87"/>
    <x v="12"/>
    <x v="87"/>
  </r>
  <r>
    <x v="511"/>
    <x v="147"/>
    <x v="0"/>
    <x v="24"/>
    <x v="0"/>
    <x v="42"/>
    <x v="127"/>
    <x v="134"/>
    <x v="2"/>
    <x v="67"/>
    <x v="67"/>
    <x v="24"/>
    <x v="67"/>
  </r>
  <r>
    <x v="512"/>
    <x v="123"/>
    <x v="1"/>
    <x v="7"/>
    <x v="3"/>
    <x v="34"/>
    <x v="106"/>
    <x v="134"/>
    <x v="0"/>
    <x v="37"/>
    <x v="37"/>
    <x v="7"/>
    <x v="37"/>
  </r>
  <r>
    <x v="513"/>
    <x v="68"/>
    <x v="1"/>
    <x v="22"/>
    <x v="0"/>
    <x v="35"/>
    <x v="65"/>
    <x v="134"/>
    <x v="1"/>
    <x v="65"/>
    <x v="65"/>
    <x v="22"/>
    <x v="65"/>
  </r>
  <r>
    <x v="514"/>
    <x v="166"/>
    <x v="2"/>
    <x v="3"/>
    <x v="0"/>
    <x v="5"/>
    <x v="17"/>
    <x v="134"/>
    <x v="3"/>
    <x v="3"/>
    <x v="3"/>
    <x v="3"/>
    <x v="3"/>
  </r>
  <r>
    <x v="515"/>
    <x v="31"/>
    <x v="0"/>
    <x v="18"/>
    <x v="0"/>
    <x v="39"/>
    <x v="30"/>
    <x v="134"/>
    <x v="3"/>
    <x v="28"/>
    <x v="28"/>
    <x v="18"/>
    <x v="28"/>
  </r>
  <r>
    <x v="516"/>
    <x v="138"/>
    <x v="1"/>
    <x v="7"/>
    <x v="2"/>
    <x v="34"/>
    <x v="119"/>
    <x v="135"/>
    <x v="0"/>
    <x v="37"/>
    <x v="37"/>
    <x v="7"/>
    <x v="37"/>
  </r>
  <r>
    <x v="517"/>
    <x v="118"/>
    <x v="4"/>
    <x v="21"/>
    <x v="3"/>
    <x v="44"/>
    <x v="103"/>
    <x v="135"/>
    <x v="0"/>
    <x v="64"/>
    <x v="64"/>
    <x v="21"/>
    <x v="64"/>
  </r>
  <r>
    <x v="518"/>
    <x v="172"/>
    <x v="4"/>
    <x v="11"/>
    <x v="1"/>
    <x v="13"/>
    <x v="125"/>
    <x v="135"/>
    <x v="3"/>
    <x v="14"/>
    <x v="14"/>
    <x v="11"/>
    <x v="14"/>
  </r>
  <r>
    <x v="519"/>
    <x v="131"/>
    <x v="0"/>
    <x v="10"/>
    <x v="0"/>
    <x v="18"/>
    <x v="112"/>
    <x v="135"/>
    <x v="3"/>
    <x v="12"/>
    <x v="12"/>
    <x v="10"/>
    <x v="12"/>
  </r>
  <r>
    <x v="520"/>
    <x v="32"/>
    <x v="0"/>
    <x v="24"/>
    <x v="2"/>
    <x v="47"/>
    <x v="31"/>
    <x v="135"/>
    <x v="0"/>
    <x v="85"/>
    <x v="85"/>
    <x v="24"/>
    <x v="85"/>
  </r>
  <r>
    <x v="521"/>
    <x v="165"/>
    <x v="0"/>
    <x v="18"/>
    <x v="2"/>
    <x v="39"/>
    <x v="67"/>
    <x v="135"/>
    <x v="1"/>
    <x v="84"/>
    <x v="84"/>
    <x v="18"/>
    <x v="84"/>
  </r>
  <r>
    <x v="522"/>
    <x v="55"/>
    <x v="1"/>
    <x v="6"/>
    <x v="2"/>
    <x v="37"/>
    <x v="52"/>
    <x v="136"/>
    <x v="3"/>
    <x v="91"/>
    <x v="91"/>
    <x v="6"/>
    <x v="91"/>
  </r>
  <r>
    <x v="523"/>
    <x v="141"/>
    <x v="0"/>
    <x v="24"/>
    <x v="2"/>
    <x v="42"/>
    <x v="121"/>
    <x v="136"/>
    <x v="0"/>
    <x v="85"/>
    <x v="85"/>
    <x v="24"/>
    <x v="85"/>
  </r>
  <r>
    <x v="524"/>
    <x v="107"/>
    <x v="0"/>
    <x v="18"/>
    <x v="3"/>
    <x v="39"/>
    <x v="83"/>
    <x v="136"/>
    <x v="0"/>
    <x v="78"/>
    <x v="78"/>
    <x v="18"/>
    <x v="78"/>
  </r>
  <r>
    <x v="525"/>
    <x v="72"/>
    <x v="2"/>
    <x v="2"/>
    <x v="2"/>
    <x v="48"/>
    <x v="67"/>
    <x v="137"/>
    <x v="1"/>
    <x v="56"/>
    <x v="56"/>
    <x v="2"/>
    <x v="56"/>
  </r>
  <r>
    <x v="526"/>
    <x v="95"/>
    <x v="2"/>
    <x v="4"/>
    <x v="1"/>
    <x v="24"/>
    <x v="85"/>
    <x v="137"/>
    <x v="2"/>
    <x v="7"/>
    <x v="7"/>
    <x v="4"/>
    <x v="7"/>
  </r>
  <r>
    <x v="527"/>
    <x v="74"/>
    <x v="3"/>
    <x v="14"/>
    <x v="2"/>
    <x v="19"/>
    <x v="69"/>
    <x v="137"/>
    <x v="2"/>
    <x v="40"/>
    <x v="40"/>
    <x v="14"/>
    <x v="40"/>
  </r>
  <r>
    <x v="528"/>
    <x v="74"/>
    <x v="3"/>
    <x v="8"/>
    <x v="2"/>
    <x v="43"/>
    <x v="69"/>
    <x v="137"/>
    <x v="3"/>
    <x v="10"/>
    <x v="10"/>
    <x v="8"/>
    <x v="10"/>
  </r>
  <r>
    <x v="529"/>
    <x v="40"/>
    <x v="1"/>
    <x v="22"/>
    <x v="1"/>
    <x v="35"/>
    <x v="39"/>
    <x v="137"/>
    <x v="0"/>
    <x v="71"/>
    <x v="71"/>
    <x v="22"/>
    <x v="71"/>
  </r>
  <r>
    <x v="530"/>
    <x v="43"/>
    <x v="3"/>
    <x v="16"/>
    <x v="1"/>
    <x v="41"/>
    <x v="42"/>
    <x v="137"/>
    <x v="3"/>
    <x v="81"/>
    <x v="81"/>
    <x v="16"/>
    <x v="81"/>
  </r>
  <r>
    <x v="531"/>
    <x v="162"/>
    <x v="0"/>
    <x v="18"/>
    <x v="3"/>
    <x v="39"/>
    <x v="126"/>
    <x v="137"/>
    <x v="0"/>
    <x v="78"/>
    <x v="78"/>
    <x v="18"/>
    <x v="78"/>
  </r>
  <r>
    <x v="532"/>
    <x v="166"/>
    <x v="1"/>
    <x v="7"/>
    <x v="0"/>
    <x v="34"/>
    <x v="17"/>
    <x v="138"/>
    <x v="1"/>
    <x v="9"/>
    <x v="9"/>
    <x v="7"/>
    <x v="9"/>
  </r>
  <r>
    <x v="533"/>
    <x v="56"/>
    <x v="4"/>
    <x v="21"/>
    <x v="2"/>
    <x v="32"/>
    <x v="53"/>
    <x v="139"/>
    <x v="3"/>
    <x v="70"/>
    <x v="70"/>
    <x v="21"/>
    <x v="70"/>
  </r>
  <r>
    <x v="534"/>
    <x v="150"/>
    <x v="2"/>
    <x v="4"/>
    <x v="1"/>
    <x v="4"/>
    <x v="130"/>
    <x v="140"/>
    <x v="3"/>
    <x v="4"/>
    <x v="4"/>
    <x v="4"/>
    <x v="4"/>
  </r>
  <r>
    <x v="535"/>
    <x v="169"/>
    <x v="1"/>
    <x v="7"/>
    <x v="3"/>
    <x v="34"/>
    <x v="114"/>
    <x v="141"/>
    <x v="3"/>
    <x v="79"/>
    <x v="79"/>
    <x v="7"/>
    <x v="79"/>
  </r>
  <r>
    <x v="536"/>
    <x v="130"/>
    <x v="4"/>
    <x v="11"/>
    <x v="2"/>
    <x v="13"/>
    <x v="111"/>
    <x v="141"/>
    <x v="0"/>
    <x v="76"/>
    <x v="76"/>
    <x v="11"/>
    <x v="76"/>
  </r>
  <r>
    <x v="537"/>
    <x v="150"/>
    <x v="1"/>
    <x v="1"/>
    <x v="1"/>
    <x v="33"/>
    <x v="130"/>
    <x v="141"/>
    <x v="3"/>
    <x v="90"/>
    <x v="90"/>
    <x v="1"/>
    <x v="90"/>
  </r>
  <r>
    <x v="538"/>
    <x v="63"/>
    <x v="3"/>
    <x v="8"/>
    <x v="2"/>
    <x v="43"/>
    <x v="60"/>
    <x v="142"/>
    <x v="3"/>
    <x v="10"/>
    <x v="10"/>
    <x v="8"/>
    <x v="10"/>
  </r>
  <r>
    <x v="539"/>
    <x v="167"/>
    <x v="0"/>
    <x v="0"/>
    <x v="0"/>
    <x v="15"/>
    <x v="114"/>
    <x v="142"/>
    <x v="0"/>
    <x v="0"/>
    <x v="0"/>
    <x v="0"/>
    <x v="0"/>
  </r>
  <r>
    <x v="540"/>
    <x v="98"/>
    <x v="2"/>
    <x v="23"/>
    <x v="1"/>
    <x v="49"/>
    <x v="87"/>
    <x v="142"/>
    <x v="0"/>
    <x v="41"/>
    <x v="41"/>
    <x v="23"/>
    <x v="41"/>
  </r>
  <r>
    <x v="541"/>
    <x v="119"/>
    <x v="4"/>
    <x v="12"/>
    <x v="2"/>
    <x v="17"/>
    <x v="58"/>
    <x v="142"/>
    <x v="0"/>
    <x v="87"/>
    <x v="87"/>
    <x v="12"/>
    <x v="87"/>
  </r>
  <r>
    <x v="542"/>
    <x v="74"/>
    <x v="1"/>
    <x v="22"/>
    <x v="2"/>
    <x v="40"/>
    <x v="69"/>
    <x v="142"/>
    <x v="3"/>
    <x v="51"/>
    <x v="51"/>
    <x v="22"/>
    <x v="51"/>
  </r>
  <r>
    <x v="543"/>
    <x v="140"/>
    <x v="3"/>
    <x v="8"/>
    <x v="0"/>
    <x v="9"/>
    <x v="120"/>
    <x v="142"/>
    <x v="2"/>
    <x v="18"/>
    <x v="18"/>
    <x v="8"/>
    <x v="18"/>
  </r>
  <r>
    <x v="544"/>
    <x v="48"/>
    <x v="1"/>
    <x v="1"/>
    <x v="0"/>
    <x v="1"/>
    <x v="18"/>
    <x v="142"/>
    <x v="2"/>
    <x v="54"/>
    <x v="54"/>
    <x v="1"/>
    <x v="54"/>
  </r>
  <r>
    <x v="545"/>
    <x v="48"/>
    <x v="3"/>
    <x v="8"/>
    <x v="0"/>
    <x v="43"/>
    <x v="18"/>
    <x v="142"/>
    <x v="2"/>
    <x v="18"/>
    <x v="18"/>
    <x v="8"/>
    <x v="18"/>
  </r>
  <r>
    <x v="546"/>
    <x v="159"/>
    <x v="4"/>
    <x v="21"/>
    <x v="0"/>
    <x v="32"/>
    <x v="138"/>
    <x v="143"/>
    <x v="3"/>
    <x v="70"/>
    <x v="70"/>
    <x v="21"/>
    <x v="70"/>
  </r>
  <r>
    <x v="547"/>
    <x v="95"/>
    <x v="1"/>
    <x v="7"/>
    <x v="1"/>
    <x v="34"/>
    <x v="85"/>
    <x v="143"/>
    <x v="3"/>
    <x v="79"/>
    <x v="79"/>
    <x v="7"/>
    <x v="79"/>
  </r>
  <r>
    <x v="548"/>
    <x v="113"/>
    <x v="3"/>
    <x v="16"/>
    <x v="2"/>
    <x v="41"/>
    <x v="98"/>
    <x v="143"/>
    <x v="3"/>
    <x v="81"/>
    <x v="81"/>
    <x v="16"/>
    <x v="81"/>
  </r>
  <r>
    <x v="549"/>
    <x v="152"/>
    <x v="1"/>
    <x v="19"/>
    <x v="2"/>
    <x v="28"/>
    <x v="132"/>
    <x v="143"/>
    <x v="1"/>
    <x v="46"/>
    <x v="46"/>
    <x v="19"/>
    <x v="46"/>
  </r>
  <r>
    <x v="550"/>
    <x v="173"/>
    <x v="0"/>
    <x v="10"/>
    <x v="0"/>
    <x v="18"/>
    <x v="145"/>
    <x v="143"/>
    <x v="0"/>
    <x v="21"/>
    <x v="21"/>
    <x v="10"/>
    <x v="21"/>
  </r>
  <r>
    <x v="551"/>
    <x v="140"/>
    <x v="4"/>
    <x v="9"/>
    <x v="0"/>
    <x v="23"/>
    <x v="120"/>
    <x v="144"/>
    <x v="1"/>
    <x v="29"/>
    <x v="29"/>
    <x v="9"/>
    <x v="29"/>
  </r>
  <r>
    <x v="552"/>
    <x v="61"/>
    <x v="0"/>
    <x v="0"/>
    <x v="2"/>
    <x v="15"/>
    <x v="58"/>
    <x v="144"/>
    <x v="0"/>
    <x v="0"/>
    <x v="0"/>
    <x v="0"/>
    <x v="0"/>
  </r>
  <r>
    <x v="553"/>
    <x v="172"/>
    <x v="3"/>
    <x v="20"/>
    <x v="1"/>
    <x v="29"/>
    <x v="125"/>
    <x v="145"/>
    <x v="3"/>
    <x v="32"/>
    <x v="32"/>
    <x v="20"/>
    <x v="32"/>
  </r>
  <r>
    <x v="554"/>
    <x v="102"/>
    <x v="0"/>
    <x v="24"/>
    <x v="0"/>
    <x v="47"/>
    <x v="91"/>
    <x v="146"/>
    <x v="2"/>
    <x v="67"/>
    <x v="67"/>
    <x v="24"/>
    <x v="67"/>
  </r>
  <r>
    <x v="555"/>
    <x v="38"/>
    <x v="0"/>
    <x v="5"/>
    <x v="3"/>
    <x v="6"/>
    <x v="37"/>
    <x v="146"/>
    <x v="2"/>
    <x v="50"/>
    <x v="50"/>
    <x v="5"/>
    <x v="50"/>
  </r>
  <r>
    <x v="556"/>
    <x v="48"/>
    <x v="0"/>
    <x v="24"/>
    <x v="0"/>
    <x v="47"/>
    <x v="18"/>
    <x v="146"/>
    <x v="1"/>
    <x v="53"/>
    <x v="53"/>
    <x v="24"/>
    <x v="53"/>
  </r>
  <r>
    <x v="557"/>
    <x v="3"/>
    <x v="3"/>
    <x v="8"/>
    <x v="1"/>
    <x v="9"/>
    <x v="3"/>
    <x v="146"/>
    <x v="0"/>
    <x v="55"/>
    <x v="55"/>
    <x v="8"/>
    <x v="55"/>
  </r>
  <r>
    <x v="558"/>
    <x v="132"/>
    <x v="3"/>
    <x v="14"/>
    <x v="2"/>
    <x v="19"/>
    <x v="113"/>
    <x v="147"/>
    <x v="3"/>
    <x v="22"/>
    <x v="22"/>
    <x v="14"/>
    <x v="22"/>
  </r>
  <r>
    <x v="559"/>
    <x v="156"/>
    <x v="3"/>
    <x v="13"/>
    <x v="2"/>
    <x v="16"/>
    <x v="135"/>
    <x v="147"/>
    <x v="2"/>
    <x v="17"/>
    <x v="17"/>
    <x v="13"/>
    <x v="17"/>
  </r>
  <r>
    <x v="560"/>
    <x v="152"/>
    <x v="0"/>
    <x v="24"/>
    <x v="2"/>
    <x v="42"/>
    <x v="132"/>
    <x v="148"/>
    <x v="0"/>
    <x v="85"/>
    <x v="85"/>
    <x v="24"/>
    <x v="85"/>
  </r>
  <r>
    <x v="561"/>
    <x v="85"/>
    <x v="0"/>
    <x v="10"/>
    <x v="2"/>
    <x v="11"/>
    <x v="78"/>
    <x v="148"/>
    <x v="3"/>
    <x v="12"/>
    <x v="12"/>
    <x v="10"/>
    <x v="12"/>
  </r>
  <r>
    <x v="562"/>
    <x v="44"/>
    <x v="4"/>
    <x v="9"/>
    <x v="3"/>
    <x v="23"/>
    <x v="43"/>
    <x v="148"/>
    <x v="0"/>
    <x v="39"/>
    <x v="39"/>
    <x v="9"/>
    <x v="39"/>
  </r>
  <r>
    <x v="563"/>
    <x v="54"/>
    <x v="4"/>
    <x v="9"/>
    <x v="3"/>
    <x v="10"/>
    <x v="51"/>
    <x v="149"/>
    <x v="1"/>
    <x v="29"/>
    <x v="29"/>
    <x v="9"/>
    <x v="29"/>
  </r>
  <r>
    <x v="564"/>
    <x v="84"/>
    <x v="4"/>
    <x v="11"/>
    <x v="0"/>
    <x v="13"/>
    <x v="77"/>
    <x v="149"/>
    <x v="3"/>
    <x v="14"/>
    <x v="14"/>
    <x v="11"/>
    <x v="14"/>
  </r>
  <r>
    <x v="565"/>
    <x v="157"/>
    <x v="1"/>
    <x v="7"/>
    <x v="2"/>
    <x v="34"/>
    <x v="136"/>
    <x v="149"/>
    <x v="0"/>
    <x v="37"/>
    <x v="37"/>
    <x v="7"/>
    <x v="37"/>
  </r>
  <r>
    <x v="566"/>
    <x v="152"/>
    <x v="0"/>
    <x v="18"/>
    <x v="2"/>
    <x v="39"/>
    <x v="132"/>
    <x v="149"/>
    <x v="1"/>
    <x v="84"/>
    <x v="84"/>
    <x v="18"/>
    <x v="84"/>
  </r>
  <r>
    <x v="567"/>
    <x v="14"/>
    <x v="1"/>
    <x v="6"/>
    <x v="0"/>
    <x v="7"/>
    <x v="14"/>
    <x v="149"/>
    <x v="0"/>
    <x v="42"/>
    <x v="42"/>
    <x v="6"/>
    <x v="42"/>
  </r>
  <r>
    <x v="568"/>
    <x v="141"/>
    <x v="2"/>
    <x v="23"/>
    <x v="2"/>
    <x v="49"/>
    <x v="121"/>
    <x v="149"/>
    <x v="0"/>
    <x v="41"/>
    <x v="41"/>
    <x v="23"/>
    <x v="41"/>
  </r>
  <r>
    <x v="569"/>
    <x v="14"/>
    <x v="4"/>
    <x v="12"/>
    <x v="0"/>
    <x v="17"/>
    <x v="14"/>
    <x v="150"/>
    <x v="0"/>
    <x v="87"/>
    <x v="87"/>
    <x v="12"/>
    <x v="87"/>
  </r>
  <r>
    <x v="570"/>
    <x v="145"/>
    <x v="2"/>
    <x v="2"/>
    <x v="0"/>
    <x v="48"/>
    <x v="125"/>
    <x v="150"/>
    <x v="3"/>
    <x v="34"/>
    <x v="34"/>
    <x v="2"/>
    <x v="34"/>
  </r>
  <r>
    <x v="571"/>
    <x v="142"/>
    <x v="1"/>
    <x v="19"/>
    <x v="1"/>
    <x v="38"/>
    <x v="122"/>
    <x v="150"/>
    <x v="2"/>
    <x v="95"/>
    <x v="95"/>
    <x v="19"/>
    <x v="95"/>
  </r>
  <r>
    <x v="572"/>
    <x v="133"/>
    <x v="2"/>
    <x v="3"/>
    <x v="0"/>
    <x v="5"/>
    <x v="114"/>
    <x v="151"/>
    <x v="3"/>
    <x v="3"/>
    <x v="3"/>
    <x v="3"/>
    <x v="3"/>
  </r>
  <r>
    <x v="573"/>
    <x v="48"/>
    <x v="2"/>
    <x v="4"/>
    <x v="0"/>
    <x v="4"/>
    <x v="18"/>
    <x v="151"/>
    <x v="0"/>
    <x v="44"/>
    <x v="44"/>
    <x v="4"/>
    <x v="44"/>
  </r>
  <r>
    <x v="574"/>
    <x v="78"/>
    <x v="2"/>
    <x v="23"/>
    <x v="0"/>
    <x v="36"/>
    <x v="72"/>
    <x v="152"/>
    <x v="2"/>
    <x v="69"/>
    <x v="69"/>
    <x v="23"/>
    <x v="69"/>
  </r>
  <r>
    <x v="575"/>
    <x v="169"/>
    <x v="2"/>
    <x v="23"/>
    <x v="3"/>
    <x v="49"/>
    <x v="114"/>
    <x v="152"/>
    <x v="1"/>
    <x v="60"/>
    <x v="60"/>
    <x v="23"/>
    <x v="60"/>
  </r>
  <r>
    <x v="576"/>
    <x v="1"/>
    <x v="0"/>
    <x v="5"/>
    <x v="1"/>
    <x v="12"/>
    <x v="1"/>
    <x v="152"/>
    <x v="2"/>
    <x v="50"/>
    <x v="50"/>
    <x v="5"/>
    <x v="50"/>
  </r>
  <r>
    <x v="577"/>
    <x v="9"/>
    <x v="0"/>
    <x v="0"/>
    <x v="1"/>
    <x v="0"/>
    <x v="9"/>
    <x v="152"/>
    <x v="1"/>
    <x v="93"/>
    <x v="93"/>
    <x v="0"/>
    <x v="93"/>
  </r>
  <r>
    <x v="578"/>
    <x v="60"/>
    <x v="1"/>
    <x v="22"/>
    <x v="0"/>
    <x v="40"/>
    <x v="57"/>
    <x v="152"/>
    <x v="1"/>
    <x v="65"/>
    <x v="65"/>
    <x v="22"/>
    <x v="65"/>
  </r>
  <r>
    <x v="579"/>
    <x v="155"/>
    <x v="3"/>
    <x v="8"/>
    <x v="2"/>
    <x v="43"/>
    <x v="134"/>
    <x v="152"/>
    <x v="3"/>
    <x v="10"/>
    <x v="10"/>
    <x v="8"/>
    <x v="10"/>
  </r>
  <r>
    <x v="580"/>
    <x v="84"/>
    <x v="2"/>
    <x v="15"/>
    <x v="0"/>
    <x v="20"/>
    <x v="77"/>
    <x v="153"/>
    <x v="3"/>
    <x v="72"/>
    <x v="72"/>
    <x v="15"/>
    <x v="72"/>
  </r>
  <r>
    <x v="581"/>
    <x v="117"/>
    <x v="2"/>
    <x v="3"/>
    <x v="2"/>
    <x v="3"/>
    <x v="102"/>
    <x v="153"/>
    <x v="3"/>
    <x v="3"/>
    <x v="3"/>
    <x v="3"/>
    <x v="3"/>
  </r>
  <r>
    <x v="582"/>
    <x v="152"/>
    <x v="4"/>
    <x v="9"/>
    <x v="2"/>
    <x v="23"/>
    <x v="132"/>
    <x v="153"/>
    <x v="0"/>
    <x v="39"/>
    <x v="39"/>
    <x v="9"/>
    <x v="39"/>
  </r>
  <r>
    <x v="583"/>
    <x v="106"/>
    <x v="4"/>
    <x v="9"/>
    <x v="2"/>
    <x v="23"/>
    <x v="95"/>
    <x v="153"/>
    <x v="1"/>
    <x v="29"/>
    <x v="29"/>
    <x v="9"/>
    <x v="29"/>
  </r>
  <r>
    <x v="584"/>
    <x v="24"/>
    <x v="0"/>
    <x v="5"/>
    <x v="2"/>
    <x v="12"/>
    <x v="24"/>
    <x v="153"/>
    <x v="0"/>
    <x v="13"/>
    <x v="13"/>
    <x v="5"/>
    <x v="13"/>
  </r>
  <r>
    <x v="585"/>
    <x v="174"/>
    <x v="0"/>
    <x v="18"/>
    <x v="2"/>
    <x v="39"/>
    <x v="146"/>
    <x v="154"/>
    <x v="2"/>
    <x v="57"/>
    <x v="57"/>
    <x v="18"/>
    <x v="57"/>
  </r>
  <r>
    <x v="586"/>
    <x v="175"/>
    <x v="2"/>
    <x v="4"/>
    <x v="0"/>
    <x v="24"/>
    <x v="147"/>
    <x v="154"/>
    <x v="2"/>
    <x v="7"/>
    <x v="7"/>
    <x v="4"/>
    <x v="7"/>
  </r>
  <r>
    <x v="587"/>
    <x v="57"/>
    <x v="1"/>
    <x v="1"/>
    <x v="2"/>
    <x v="1"/>
    <x v="54"/>
    <x v="154"/>
    <x v="2"/>
    <x v="54"/>
    <x v="54"/>
    <x v="1"/>
    <x v="54"/>
  </r>
  <r>
    <x v="588"/>
    <x v="128"/>
    <x v="0"/>
    <x v="10"/>
    <x v="2"/>
    <x v="11"/>
    <x v="25"/>
    <x v="154"/>
    <x v="1"/>
    <x v="94"/>
    <x v="94"/>
    <x v="10"/>
    <x v="94"/>
  </r>
  <r>
    <x v="589"/>
    <x v="88"/>
    <x v="4"/>
    <x v="9"/>
    <x v="2"/>
    <x v="23"/>
    <x v="12"/>
    <x v="155"/>
    <x v="0"/>
    <x v="39"/>
    <x v="39"/>
    <x v="9"/>
    <x v="39"/>
  </r>
  <r>
    <x v="590"/>
    <x v="125"/>
    <x v="0"/>
    <x v="10"/>
    <x v="1"/>
    <x v="18"/>
    <x v="106"/>
    <x v="155"/>
    <x v="1"/>
    <x v="94"/>
    <x v="94"/>
    <x v="10"/>
    <x v="94"/>
  </r>
  <r>
    <x v="591"/>
    <x v="49"/>
    <x v="3"/>
    <x v="20"/>
    <x v="0"/>
    <x v="31"/>
    <x v="47"/>
    <x v="155"/>
    <x v="0"/>
    <x v="66"/>
    <x v="66"/>
    <x v="20"/>
    <x v="66"/>
  </r>
  <r>
    <x v="592"/>
    <x v="113"/>
    <x v="1"/>
    <x v="1"/>
    <x v="2"/>
    <x v="33"/>
    <x v="98"/>
    <x v="156"/>
    <x v="2"/>
    <x v="54"/>
    <x v="54"/>
    <x v="1"/>
    <x v="54"/>
  </r>
  <r>
    <x v="593"/>
    <x v="68"/>
    <x v="2"/>
    <x v="15"/>
    <x v="0"/>
    <x v="46"/>
    <x v="65"/>
    <x v="156"/>
    <x v="0"/>
    <x v="23"/>
    <x v="23"/>
    <x v="15"/>
    <x v="23"/>
  </r>
  <r>
    <x v="594"/>
    <x v="20"/>
    <x v="4"/>
    <x v="9"/>
    <x v="3"/>
    <x v="23"/>
    <x v="20"/>
    <x v="156"/>
    <x v="3"/>
    <x v="11"/>
    <x v="11"/>
    <x v="9"/>
    <x v="11"/>
  </r>
  <r>
    <x v="595"/>
    <x v="61"/>
    <x v="2"/>
    <x v="2"/>
    <x v="2"/>
    <x v="2"/>
    <x v="58"/>
    <x v="156"/>
    <x v="3"/>
    <x v="34"/>
    <x v="34"/>
    <x v="2"/>
    <x v="34"/>
  </r>
  <r>
    <x v="596"/>
    <x v="110"/>
    <x v="4"/>
    <x v="17"/>
    <x v="0"/>
    <x v="30"/>
    <x v="5"/>
    <x v="156"/>
    <x v="3"/>
    <x v="25"/>
    <x v="25"/>
    <x v="17"/>
    <x v="25"/>
  </r>
  <r>
    <x v="597"/>
    <x v="99"/>
    <x v="4"/>
    <x v="11"/>
    <x v="1"/>
    <x v="13"/>
    <x v="88"/>
    <x v="156"/>
    <x v="2"/>
    <x v="20"/>
    <x v="20"/>
    <x v="11"/>
    <x v="20"/>
  </r>
  <r>
    <x v="598"/>
    <x v="98"/>
    <x v="4"/>
    <x v="21"/>
    <x v="1"/>
    <x v="32"/>
    <x v="87"/>
    <x v="157"/>
    <x v="1"/>
    <x v="35"/>
    <x v="35"/>
    <x v="21"/>
    <x v="35"/>
  </r>
  <r>
    <x v="599"/>
    <x v="69"/>
    <x v="3"/>
    <x v="20"/>
    <x v="1"/>
    <x v="31"/>
    <x v="66"/>
    <x v="158"/>
    <x v="2"/>
    <x v="45"/>
    <x v="45"/>
    <x v="20"/>
    <x v="45"/>
  </r>
  <r>
    <x v="600"/>
    <x v="3"/>
    <x v="1"/>
    <x v="1"/>
    <x v="1"/>
    <x v="33"/>
    <x v="3"/>
    <x v="158"/>
    <x v="1"/>
    <x v="1"/>
    <x v="1"/>
    <x v="1"/>
    <x v="1"/>
  </r>
  <r>
    <x v="601"/>
    <x v="115"/>
    <x v="3"/>
    <x v="14"/>
    <x v="2"/>
    <x v="19"/>
    <x v="100"/>
    <x v="159"/>
    <x v="2"/>
    <x v="40"/>
    <x v="40"/>
    <x v="14"/>
    <x v="40"/>
  </r>
  <r>
    <x v="602"/>
    <x v="61"/>
    <x v="3"/>
    <x v="20"/>
    <x v="2"/>
    <x v="31"/>
    <x v="58"/>
    <x v="159"/>
    <x v="2"/>
    <x v="45"/>
    <x v="45"/>
    <x v="20"/>
    <x v="45"/>
  </r>
  <r>
    <x v="603"/>
    <x v="117"/>
    <x v="4"/>
    <x v="9"/>
    <x v="2"/>
    <x v="10"/>
    <x v="102"/>
    <x v="160"/>
    <x v="0"/>
    <x v="39"/>
    <x v="39"/>
    <x v="9"/>
    <x v="39"/>
  </r>
  <r>
    <x v="604"/>
    <x v="147"/>
    <x v="1"/>
    <x v="7"/>
    <x v="0"/>
    <x v="8"/>
    <x v="127"/>
    <x v="160"/>
    <x v="3"/>
    <x v="79"/>
    <x v="79"/>
    <x v="7"/>
    <x v="79"/>
  </r>
  <r>
    <x v="605"/>
    <x v="141"/>
    <x v="2"/>
    <x v="2"/>
    <x v="2"/>
    <x v="2"/>
    <x v="121"/>
    <x v="160"/>
    <x v="0"/>
    <x v="73"/>
    <x v="73"/>
    <x v="2"/>
    <x v="73"/>
  </r>
  <r>
    <x v="606"/>
    <x v="24"/>
    <x v="3"/>
    <x v="13"/>
    <x v="2"/>
    <x v="16"/>
    <x v="24"/>
    <x v="160"/>
    <x v="3"/>
    <x v="68"/>
    <x v="68"/>
    <x v="13"/>
    <x v="68"/>
  </r>
  <r>
    <x v="607"/>
    <x v="139"/>
    <x v="0"/>
    <x v="5"/>
    <x v="3"/>
    <x v="12"/>
    <x v="31"/>
    <x v="161"/>
    <x v="2"/>
    <x v="50"/>
    <x v="50"/>
    <x v="5"/>
    <x v="50"/>
  </r>
  <r>
    <x v="608"/>
    <x v="157"/>
    <x v="0"/>
    <x v="0"/>
    <x v="2"/>
    <x v="0"/>
    <x v="136"/>
    <x v="161"/>
    <x v="3"/>
    <x v="98"/>
    <x v="98"/>
    <x v="0"/>
    <x v="98"/>
  </r>
  <r>
    <x v="609"/>
    <x v="96"/>
    <x v="0"/>
    <x v="5"/>
    <x v="0"/>
    <x v="12"/>
    <x v="51"/>
    <x v="161"/>
    <x v="1"/>
    <x v="99"/>
    <x v="99"/>
    <x v="5"/>
    <x v="99"/>
  </r>
  <r>
    <x v="610"/>
    <x v="115"/>
    <x v="2"/>
    <x v="4"/>
    <x v="2"/>
    <x v="24"/>
    <x v="100"/>
    <x v="161"/>
    <x v="2"/>
    <x v="7"/>
    <x v="7"/>
    <x v="4"/>
    <x v="7"/>
  </r>
  <r>
    <x v="611"/>
    <x v="115"/>
    <x v="3"/>
    <x v="8"/>
    <x v="2"/>
    <x v="43"/>
    <x v="100"/>
    <x v="161"/>
    <x v="2"/>
    <x v="18"/>
    <x v="18"/>
    <x v="8"/>
    <x v="18"/>
  </r>
  <r>
    <x v="612"/>
    <x v="175"/>
    <x v="0"/>
    <x v="24"/>
    <x v="0"/>
    <x v="42"/>
    <x v="147"/>
    <x v="161"/>
    <x v="1"/>
    <x v="53"/>
    <x v="53"/>
    <x v="24"/>
    <x v="53"/>
  </r>
  <r>
    <x v="613"/>
    <x v="54"/>
    <x v="2"/>
    <x v="15"/>
    <x v="3"/>
    <x v="20"/>
    <x v="51"/>
    <x v="162"/>
    <x v="1"/>
    <x v="88"/>
    <x v="88"/>
    <x v="15"/>
    <x v="88"/>
  </r>
  <r>
    <x v="614"/>
    <x v="84"/>
    <x v="1"/>
    <x v="7"/>
    <x v="0"/>
    <x v="34"/>
    <x v="77"/>
    <x v="162"/>
    <x v="0"/>
    <x v="37"/>
    <x v="37"/>
    <x v="7"/>
    <x v="37"/>
  </r>
  <r>
    <x v="615"/>
    <x v="131"/>
    <x v="4"/>
    <x v="21"/>
    <x v="0"/>
    <x v="44"/>
    <x v="112"/>
    <x v="162"/>
    <x v="3"/>
    <x v="70"/>
    <x v="70"/>
    <x v="21"/>
    <x v="70"/>
  </r>
  <r>
    <x v="616"/>
    <x v="146"/>
    <x v="2"/>
    <x v="3"/>
    <x v="1"/>
    <x v="5"/>
    <x v="126"/>
    <x v="163"/>
    <x v="3"/>
    <x v="3"/>
    <x v="3"/>
    <x v="3"/>
    <x v="3"/>
  </r>
  <r>
    <x v="617"/>
    <x v="16"/>
    <x v="0"/>
    <x v="24"/>
    <x v="0"/>
    <x v="42"/>
    <x v="16"/>
    <x v="164"/>
    <x v="0"/>
    <x v="85"/>
    <x v="85"/>
    <x v="24"/>
    <x v="85"/>
  </r>
  <r>
    <x v="618"/>
    <x v="104"/>
    <x v="4"/>
    <x v="17"/>
    <x v="2"/>
    <x v="22"/>
    <x v="93"/>
    <x v="164"/>
    <x v="0"/>
    <x v="61"/>
    <x v="61"/>
    <x v="17"/>
    <x v="61"/>
  </r>
  <r>
    <x v="619"/>
    <x v="11"/>
    <x v="3"/>
    <x v="16"/>
    <x v="2"/>
    <x v="41"/>
    <x v="11"/>
    <x v="165"/>
    <x v="0"/>
    <x v="24"/>
    <x v="24"/>
    <x v="16"/>
    <x v="24"/>
  </r>
  <r>
    <x v="620"/>
    <x v="53"/>
    <x v="3"/>
    <x v="8"/>
    <x v="0"/>
    <x v="43"/>
    <x v="50"/>
    <x v="165"/>
    <x v="1"/>
    <x v="19"/>
    <x v="19"/>
    <x v="8"/>
    <x v="19"/>
  </r>
  <r>
    <x v="621"/>
    <x v="55"/>
    <x v="4"/>
    <x v="11"/>
    <x v="2"/>
    <x v="26"/>
    <x v="52"/>
    <x v="165"/>
    <x v="1"/>
    <x v="89"/>
    <x v="89"/>
    <x v="11"/>
    <x v="89"/>
  </r>
  <r>
    <x v="622"/>
    <x v="70"/>
    <x v="2"/>
    <x v="3"/>
    <x v="3"/>
    <x v="5"/>
    <x v="7"/>
    <x v="165"/>
    <x v="0"/>
    <x v="74"/>
    <x v="74"/>
    <x v="3"/>
    <x v="74"/>
  </r>
  <r>
    <x v="623"/>
    <x v="76"/>
    <x v="3"/>
    <x v="13"/>
    <x v="2"/>
    <x v="16"/>
    <x v="71"/>
    <x v="165"/>
    <x v="0"/>
    <x v="92"/>
    <x v="92"/>
    <x v="13"/>
    <x v="92"/>
  </r>
  <r>
    <x v="624"/>
    <x v="57"/>
    <x v="0"/>
    <x v="18"/>
    <x v="2"/>
    <x v="25"/>
    <x v="54"/>
    <x v="165"/>
    <x v="0"/>
    <x v="78"/>
    <x v="78"/>
    <x v="18"/>
    <x v="78"/>
  </r>
  <r>
    <x v="625"/>
    <x v="67"/>
    <x v="0"/>
    <x v="18"/>
    <x v="0"/>
    <x v="25"/>
    <x v="64"/>
    <x v="166"/>
    <x v="3"/>
    <x v="28"/>
    <x v="28"/>
    <x v="18"/>
    <x v="28"/>
  </r>
  <r>
    <x v="626"/>
    <x v="115"/>
    <x v="3"/>
    <x v="20"/>
    <x v="2"/>
    <x v="31"/>
    <x v="100"/>
    <x v="166"/>
    <x v="2"/>
    <x v="45"/>
    <x v="45"/>
    <x v="20"/>
    <x v="45"/>
  </r>
  <r>
    <x v="627"/>
    <x v="68"/>
    <x v="0"/>
    <x v="5"/>
    <x v="0"/>
    <x v="12"/>
    <x v="65"/>
    <x v="166"/>
    <x v="3"/>
    <x v="6"/>
    <x v="6"/>
    <x v="5"/>
    <x v="6"/>
  </r>
  <r>
    <x v="628"/>
    <x v="12"/>
    <x v="2"/>
    <x v="2"/>
    <x v="0"/>
    <x v="2"/>
    <x v="12"/>
    <x v="167"/>
    <x v="0"/>
    <x v="73"/>
    <x v="73"/>
    <x v="2"/>
    <x v="73"/>
  </r>
  <r>
    <x v="629"/>
    <x v="13"/>
    <x v="0"/>
    <x v="0"/>
    <x v="2"/>
    <x v="0"/>
    <x v="13"/>
    <x v="167"/>
    <x v="2"/>
    <x v="62"/>
    <x v="62"/>
    <x v="0"/>
    <x v="62"/>
  </r>
  <r>
    <x v="630"/>
    <x v="110"/>
    <x v="3"/>
    <x v="16"/>
    <x v="0"/>
    <x v="21"/>
    <x v="5"/>
    <x v="167"/>
    <x v="3"/>
    <x v="81"/>
    <x v="81"/>
    <x v="16"/>
    <x v="81"/>
  </r>
  <r>
    <x v="631"/>
    <x v="153"/>
    <x v="3"/>
    <x v="14"/>
    <x v="2"/>
    <x v="45"/>
    <x v="94"/>
    <x v="168"/>
    <x v="0"/>
    <x v="86"/>
    <x v="86"/>
    <x v="14"/>
    <x v="86"/>
  </r>
  <r>
    <x v="632"/>
    <x v="50"/>
    <x v="3"/>
    <x v="16"/>
    <x v="2"/>
    <x v="41"/>
    <x v="48"/>
    <x v="169"/>
    <x v="2"/>
    <x v="59"/>
    <x v="59"/>
    <x v="16"/>
    <x v="59"/>
  </r>
  <r>
    <x v="633"/>
    <x v="133"/>
    <x v="2"/>
    <x v="2"/>
    <x v="0"/>
    <x v="48"/>
    <x v="114"/>
    <x v="169"/>
    <x v="0"/>
    <x v="73"/>
    <x v="73"/>
    <x v="2"/>
    <x v="73"/>
  </r>
  <r>
    <x v="634"/>
    <x v="83"/>
    <x v="2"/>
    <x v="3"/>
    <x v="2"/>
    <x v="3"/>
    <x v="76"/>
    <x v="169"/>
    <x v="2"/>
    <x v="63"/>
    <x v="63"/>
    <x v="3"/>
    <x v="63"/>
  </r>
  <r>
    <x v="635"/>
    <x v="170"/>
    <x v="0"/>
    <x v="5"/>
    <x v="2"/>
    <x v="12"/>
    <x v="143"/>
    <x v="169"/>
    <x v="0"/>
    <x v="13"/>
    <x v="13"/>
    <x v="5"/>
    <x v="13"/>
  </r>
  <r>
    <x v="636"/>
    <x v="21"/>
    <x v="0"/>
    <x v="5"/>
    <x v="2"/>
    <x v="12"/>
    <x v="21"/>
    <x v="169"/>
    <x v="2"/>
    <x v="50"/>
    <x v="50"/>
    <x v="5"/>
    <x v="50"/>
  </r>
  <r>
    <x v="637"/>
    <x v="16"/>
    <x v="2"/>
    <x v="2"/>
    <x v="0"/>
    <x v="2"/>
    <x v="16"/>
    <x v="170"/>
    <x v="2"/>
    <x v="2"/>
    <x v="2"/>
    <x v="2"/>
    <x v="2"/>
  </r>
  <r>
    <x v="638"/>
    <x v="112"/>
    <x v="4"/>
    <x v="17"/>
    <x v="3"/>
    <x v="22"/>
    <x v="97"/>
    <x v="170"/>
    <x v="0"/>
    <x v="61"/>
    <x v="61"/>
    <x v="17"/>
    <x v="61"/>
  </r>
  <r>
    <x v="639"/>
    <x v="83"/>
    <x v="0"/>
    <x v="24"/>
    <x v="2"/>
    <x v="42"/>
    <x v="76"/>
    <x v="170"/>
    <x v="1"/>
    <x v="53"/>
    <x v="53"/>
    <x v="24"/>
    <x v="53"/>
  </r>
  <r>
    <x v="640"/>
    <x v="40"/>
    <x v="1"/>
    <x v="1"/>
    <x v="1"/>
    <x v="33"/>
    <x v="39"/>
    <x v="171"/>
    <x v="3"/>
    <x v="90"/>
    <x v="90"/>
    <x v="1"/>
    <x v="90"/>
  </r>
  <r>
    <x v="641"/>
    <x v="53"/>
    <x v="2"/>
    <x v="4"/>
    <x v="0"/>
    <x v="4"/>
    <x v="50"/>
    <x v="172"/>
    <x v="2"/>
    <x v="7"/>
    <x v="7"/>
    <x v="4"/>
    <x v="7"/>
  </r>
  <r>
    <x v="642"/>
    <x v="87"/>
    <x v="1"/>
    <x v="1"/>
    <x v="2"/>
    <x v="1"/>
    <x v="79"/>
    <x v="172"/>
    <x v="3"/>
    <x v="90"/>
    <x v="90"/>
    <x v="1"/>
    <x v="90"/>
  </r>
  <r>
    <x v="643"/>
    <x v="153"/>
    <x v="0"/>
    <x v="0"/>
    <x v="2"/>
    <x v="15"/>
    <x v="94"/>
    <x v="172"/>
    <x v="2"/>
    <x v="62"/>
    <x v="62"/>
    <x v="0"/>
    <x v="62"/>
  </r>
  <r>
    <x v="644"/>
    <x v="99"/>
    <x v="2"/>
    <x v="2"/>
    <x v="1"/>
    <x v="2"/>
    <x v="88"/>
    <x v="172"/>
    <x v="2"/>
    <x v="2"/>
    <x v="2"/>
    <x v="2"/>
    <x v="2"/>
  </r>
  <r>
    <x v="645"/>
    <x v="64"/>
    <x v="2"/>
    <x v="4"/>
    <x v="2"/>
    <x v="4"/>
    <x v="61"/>
    <x v="173"/>
    <x v="2"/>
    <x v="7"/>
    <x v="7"/>
    <x v="4"/>
    <x v="7"/>
  </r>
  <r>
    <x v="646"/>
    <x v="138"/>
    <x v="1"/>
    <x v="19"/>
    <x v="2"/>
    <x v="28"/>
    <x v="119"/>
    <x v="173"/>
    <x v="0"/>
    <x v="30"/>
    <x v="30"/>
    <x v="19"/>
    <x v="30"/>
  </r>
  <r>
    <x v="647"/>
    <x v="65"/>
    <x v="3"/>
    <x v="8"/>
    <x v="1"/>
    <x v="43"/>
    <x v="62"/>
    <x v="173"/>
    <x v="1"/>
    <x v="19"/>
    <x v="19"/>
    <x v="8"/>
    <x v="19"/>
  </r>
  <r>
    <x v="648"/>
    <x v="6"/>
    <x v="2"/>
    <x v="2"/>
    <x v="3"/>
    <x v="2"/>
    <x v="6"/>
    <x v="173"/>
    <x v="2"/>
    <x v="2"/>
    <x v="2"/>
    <x v="2"/>
    <x v="2"/>
  </r>
  <r>
    <x v="649"/>
    <x v="162"/>
    <x v="0"/>
    <x v="18"/>
    <x v="3"/>
    <x v="25"/>
    <x v="126"/>
    <x v="173"/>
    <x v="0"/>
    <x v="78"/>
    <x v="78"/>
    <x v="18"/>
    <x v="78"/>
  </r>
  <r>
    <x v="650"/>
    <x v="59"/>
    <x v="4"/>
    <x v="11"/>
    <x v="2"/>
    <x v="26"/>
    <x v="56"/>
    <x v="174"/>
    <x v="3"/>
    <x v="14"/>
    <x v="14"/>
    <x v="11"/>
    <x v="14"/>
  </r>
  <r>
    <x v="651"/>
    <x v="147"/>
    <x v="0"/>
    <x v="10"/>
    <x v="0"/>
    <x v="18"/>
    <x v="127"/>
    <x v="174"/>
    <x v="1"/>
    <x v="94"/>
    <x v="94"/>
    <x v="10"/>
    <x v="94"/>
  </r>
  <r>
    <x v="652"/>
    <x v="140"/>
    <x v="3"/>
    <x v="13"/>
    <x v="0"/>
    <x v="27"/>
    <x v="120"/>
    <x v="174"/>
    <x v="1"/>
    <x v="96"/>
    <x v="96"/>
    <x v="13"/>
    <x v="96"/>
  </r>
  <r>
    <x v="653"/>
    <x v="49"/>
    <x v="1"/>
    <x v="6"/>
    <x v="0"/>
    <x v="7"/>
    <x v="47"/>
    <x v="174"/>
    <x v="2"/>
    <x v="83"/>
    <x v="83"/>
    <x v="6"/>
    <x v="83"/>
  </r>
  <r>
    <x v="654"/>
    <x v="24"/>
    <x v="1"/>
    <x v="6"/>
    <x v="2"/>
    <x v="7"/>
    <x v="24"/>
    <x v="174"/>
    <x v="2"/>
    <x v="83"/>
    <x v="83"/>
    <x v="6"/>
    <x v="83"/>
  </r>
  <r>
    <x v="655"/>
    <x v="173"/>
    <x v="3"/>
    <x v="13"/>
    <x v="0"/>
    <x v="27"/>
    <x v="145"/>
    <x v="175"/>
    <x v="2"/>
    <x v="17"/>
    <x v="17"/>
    <x v="13"/>
    <x v="17"/>
  </r>
  <r>
    <x v="656"/>
    <x v="176"/>
    <x v="1"/>
    <x v="22"/>
    <x v="0"/>
    <x v="35"/>
    <x v="62"/>
    <x v="175"/>
    <x v="2"/>
    <x v="38"/>
    <x v="38"/>
    <x v="22"/>
    <x v="38"/>
  </r>
  <r>
    <x v="657"/>
    <x v="80"/>
    <x v="1"/>
    <x v="7"/>
    <x v="0"/>
    <x v="8"/>
    <x v="31"/>
    <x v="176"/>
    <x v="3"/>
    <x v="79"/>
    <x v="79"/>
    <x v="7"/>
    <x v="79"/>
  </r>
  <r>
    <x v="658"/>
    <x v="126"/>
    <x v="4"/>
    <x v="12"/>
    <x v="2"/>
    <x v="17"/>
    <x v="108"/>
    <x v="176"/>
    <x v="0"/>
    <x v="87"/>
    <x v="87"/>
    <x v="12"/>
    <x v="87"/>
  </r>
  <r>
    <x v="659"/>
    <x v="39"/>
    <x v="4"/>
    <x v="9"/>
    <x v="0"/>
    <x v="23"/>
    <x v="38"/>
    <x v="176"/>
    <x v="0"/>
    <x v="39"/>
    <x v="39"/>
    <x v="9"/>
    <x v="39"/>
  </r>
  <r>
    <x v="660"/>
    <x v="116"/>
    <x v="0"/>
    <x v="5"/>
    <x v="3"/>
    <x v="6"/>
    <x v="101"/>
    <x v="177"/>
    <x v="3"/>
    <x v="6"/>
    <x v="6"/>
    <x v="5"/>
    <x v="6"/>
  </r>
  <r>
    <x v="661"/>
    <x v="157"/>
    <x v="1"/>
    <x v="19"/>
    <x v="2"/>
    <x v="28"/>
    <x v="136"/>
    <x v="178"/>
    <x v="3"/>
    <x v="97"/>
    <x v="97"/>
    <x v="19"/>
    <x v="97"/>
  </r>
  <r>
    <x v="662"/>
    <x v="109"/>
    <x v="1"/>
    <x v="6"/>
    <x v="2"/>
    <x v="37"/>
    <x v="79"/>
    <x v="178"/>
    <x v="0"/>
    <x v="42"/>
    <x v="42"/>
    <x v="6"/>
    <x v="42"/>
  </r>
  <r>
    <x v="663"/>
    <x v="45"/>
    <x v="4"/>
    <x v="9"/>
    <x v="2"/>
    <x v="23"/>
    <x v="44"/>
    <x v="178"/>
    <x v="3"/>
    <x v="11"/>
    <x v="11"/>
    <x v="9"/>
    <x v="11"/>
  </r>
  <r>
    <x v="664"/>
    <x v="46"/>
    <x v="4"/>
    <x v="17"/>
    <x v="2"/>
    <x v="30"/>
    <x v="45"/>
    <x v="178"/>
    <x v="3"/>
    <x v="25"/>
    <x v="25"/>
    <x v="17"/>
    <x v="25"/>
  </r>
  <r>
    <x v="665"/>
    <x v="143"/>
    <x v="1"/>
    <x v="6"/>
    <x v="0"/>
    <x v="37"/>
    <x v="123"/>
    <x v="179"/>
    <x v="2"/>
    <x v="83"/>
    <x v="83"/>
    <x v="6"/>
    <x v="83"/>
  </r>
  <r>
    <x v="666"/>
    <x v="35"/>
    <x v="0"/>
    <x v="10"/>
    <x v="0"/>
    <x v="18"/>
    <x v="34"/>
    <x v="179"/>
    <x v="3"/>
    <x v="12"/>
    <x v="12"/>
    <x v="10"/>
    <x v="12"/>
  </r>
  <r>
    <x v="667"/>
    <x v="121"/>
    <x v="0"/>
    <x v="0"/>
    <x v="2"/>
    <x v="15"/>
    <x v="104"/>
    <x v="179"/>
    <x v="1"/>
    <x v="93"/>
    <x v="93"/>
    <x v="0"/>
    <x v="93"/>
  </r>
  <r>
    <x v="668"/>
    <x v="20"/>
    <x v="3"/>
    <x v="13"/>
    <x v="3"/>
    <x v="27"/>
    <x v="20"/>
    <x v="180"/>
    <x v="0"/>
    <x v="92"/>
    <x v="92"/>
    <x v="13"/>
    <x v="92"/>
  </r>
  <r>
    <x v="669"/>
    <x v="171"/>
    <x v="1"/>
    <x v="19"/>
    <x v="2"/>
    <x v="38"/>
    <x v="144"/>
    <x v="180"/>
    <x v="0"/>
    <x v="30"/>
    <x v="30"/>
    <x v="19"/>
    <x v="30"/>
  </r>
  <r>
    <x v="670"/>
    <x v="166"/>
    <x v="3"/>
    <x v="8"/>
    <x v="0"/>
    <x v="9"/>
    <x v="17"/>
    <x v="180"/>
    <x v="2"/>
    <x v="18"/>
    <x v="18"/>
    <x v="8"/>
    <x v="18"/>
  </r>
  <r>
    <x v="671"/>
    <x v="90"/>
    <x v="2"/>
    <x v="23"/>
    <x v="2"/>
    <x v="49"/>
    <x v="81"/>
    <x v="181"/>
    <x v="0"/>
    <x v="41"/>
    <x v="41"/>
    <x v="23"/>
    <x v="41"/>
  </r>
  <r>
    <x v="672"/>
    <x v="171"/>
    <x v="0"/>
    <x v="0"/>
    <x v="2"/>
    <x v="0"/>
    <x v="144"/>
    <x v="181"/>
    <x v="3"/>
    <x v="98"/>
    <x v="98"/>
    <x v="0"/>
    <x v="98"/>
  </r>
  <r>
    <x v="673"/>
    <x v="128"/>
    <x v="4"/>
    <x v="21"/>
    <x v="2"/>
    <x v="32"/>
    <x v="25"/>
    <x v="181"/>
    <x v="0"/>
    <x v="64"/>
    <x v="64"/>
    <x v="21"/>
    <x v="64"/>
  </r>
  <r>
    <x v="674"/>
    <x v="79"/>
    <x v="2"/>
    <x v="23"/>
    <x v="2"/>
    <x v="49"/>
    <x v="73"/>
    <x v="182"/>
    <x v="0"/>
    <x v="41"/>
    <x v="41"/>
    <x v="23"/>
    <x v="41"/>
  </r>
  <r>
    <x v="675"/>
    <x v="12"/>
    <x v="4"/>
    <x v="21"/>
    <x v="0"/>
    <x v="32"/>
    <x v="12"/>
    <x v="182"/>
    <x v="1"/>
    <x v="35"/>
    <x v="35"/>
    <x v="21"/>
    <x v="35"/>
  </r>
  <r>
    <x v="676"/>
    <x v="2"/>
    <x v="2"/>
    <x v="15"/>
    <x v="0"/>
    <x v="20"/>
    <x v="2"/>
    <x v="182"/>
    <x v="0"/>
    <x v="23"/>
    <x v="23"/>
    <x v="15"/>
    <x v="23"/>
  </r>
  <r>
    <x v="677"/>
    <x v="27"/>
    <x v="1"/>
    <x v="1"/>
    <x v="0"/>
    <x v="33"/>
    <x v="26"/>
    <x v="182"/>
    <x v="2"/>
    <x v="54"/>
    <x v="54"/>
    <x v="1"/>
    <x v="54"/>
  </r>
  <r>
    <x v="678"/>
    <x v="57"/>
    <x v="1"/>
    <x v="22"/>
    <x v="2"/>
    <x v="40"/>
    <x v="54"/>
    <x v="182"/>
    <x v="1"/>
    <x v="65"/>
    <x v="65"/>
    <x v="22"/>
    <x v="65"/>
  </r>
  <r>
    <x v="679"/>
    <x v="104"/>
    <x v="0"/>
    <x v="5"/>
    <x v="2"/>
    <x v="12"/>
    <x v="93"/>
    <x v="183"/>
    <x v="3"/>
    <x v="6"/>
    <x v="6"/>
    <x v="5"/>
    <x v="6"/>
  </r>
  <r>
    <x v="680"/>
    <x v="83"/>
    <x v="2"/>
    <x v="3"/>
    <x v="2"/>
    <x v="3"/>
    <x v="76"/>
    <x v="183"/>
    <x v="0"/>
    <x v="74"/>
    <x v="74"/>
    <x v="3"/>
    <x v="74"/>
  </r>
  <r>
    <x v="681"/>
    <x v="84"/>
    <x v="1"/>
    <x v="6"/>
    <x v="0"/>
    <x v="37"/>
    <x v="77"/>
    <x v="184"/>
    <x v="3"/>
    <x v="91"/>
    <x v="91"/>
    <x v="6"/>
    <x v="91"/>
  </r>
  <r>
    <x v="682"/>
    <x v="97"/>
    <x v="0"/>
    <x v="5"/>
    <x v="0"/>
    <x v="12"/>
    <x v="86"/>
    <x v="185"/>
    <x v="2"/>
    <x v="50"/>
    <x v="50"/>
    <x v="5"/>
    <x v="50"/>
  </r>
  <r>
    <x v="683"/>
    <x v="165"/>
    <x v="0"/>
    <x v="5"/>
    <x v="2"/>
    <x v="6"/>
    <x v="67"/>
    <x v="185"/>
    <x v="3"/>
    <x v="6"/>
    <x v="6"/>
    <x v="5"/>
    <x v="6"/>
  </r>
  <r>
    <x v="684"/>
    <x v="165"/>
    <x v="2"/>
    <x v="4"/>
    <x v="2"/>
    <x v="24"/>
    <x v="67"/>
    <x v="185"/>
    <x v="2"/>
    <x v="7"/>
    <x v="7"/>
    <x v="4"/>
    <x v="7"/>
  </r>
  <r>
    <x v="685"/>
    <x v="136"/>
    <x v="4"/>
    <x v="21"/>
    <x v="1"/>
    <x v="44"/>
    <x v="117"/>
    <x v="185"/>
    <x v="1"/>
    <x v="35"/>
    <x v="35"/>
    <x v="21"/>
    <x v="35"/>
  </r>
  <r>
    <x v="686"/>
    <x v="116"/>
    <x v="3"/>
    <x v="16"/>
    <x v="3"/>
    <x v="21"/>
    <x v="101"/>
    <x v="185"/>
    <x v="0"/>
    <x v="24"/>
    <x v="24"/>
    <x v="16"/>
    <x v="24"/>
  </r>
  <r>
    <x v="687"/>
    <x v="46"/>
    <x v="4"/>
    <x v="11"/>
    <x v="2"/>
    <x v="13"/>
    <x v="45"/>
    <x v="185"/>
    <x v="1"/>
    <x v="89"/>
    <x v="89"/>
    <x v="11"/>
    <x v="89"/>
  </r>
  <r>
    <x v="688"/>
    <x v="151"/>
    <x v="3"/>
    <x v="14"/>
    <x v="0"/>
    <x v="19"/>
    <x v="131"/>
    <x v="186"/>
    <x v="2"/>
    <x v="40"/>
    <x v="40"/>
    <x v="14"/>
    <x v="40"/>
  </r>
  <r>
    <x v="689"/>
    <x v="19"/>
    <x v="3"/>
    <x v="13"/>
    <x v="3"/>
    <x v="27"/>
    <x v="19"/>
    <x v="186"/>
    <x v="3"/>
    <x v="68"/>
    <x v="68"/>
    <x v="13"/>
    <x v="68"/>
  </r>
  <r>
    <x v="690"/>
    <x v="140"/>
    <x v="2"/>
    <x v="23"/>
    <x v="0"/>
    <x v="49"/>
    <x v="120"/>
    <x v="186"/>
    <x v="2"/>
    <x v="69"/>
    <x v="69"/>
    <x v="23"/>
    <x v="69"/>
  </r>
  <r>
    <x v="691"/>
    <x v="33"/>
    <x v="2"/>
    <x v="4"/>
    <x v="3"/>
    <x v="4"/>
    <x v="32"/>
    <x v="186"/>
    <x v="1"/>
    <x v="31"/>
    <x v="31"/>
    <x v="4"/>
    <x v="31"/>
  </r>
  <r>
    <x v="692"/>
    <x v="168"/>
    <x v="4"/>
    <x v="21"/>
    <x v="2"/>
    <x v="32"/>
    <x v="142"/>
    <x v="187"/>
    <x v="1"/>
    <x v="35"/>
    <x v="35"/>
    <x v="21"/>
    <x v="35"/>
  </r>
  <r>
    <x v="693"/>
    <x v="116"/>
    <x v="3"/>
    <x v="20"/>
    <x v="3"/>
    <x v="29"/>
    <x v="101"/>
    <x v="187"/>
    <x v="1"/>
    <x v="49"/>
    <x v="49"/>
    <x v="20"/>
    <x v="49"/>
  </r>
  <r>
    <x v="694"/>
    <x v="163"/>
    <x v="4"/>
    <x v="21"/>
    <x v="2"/>
    <x v="44"/>
    <x v="35"/>
    <x v="188"/>
    <x v="2"/>
    <x v="43"/>
    <x v="43"/>
    <x v="21"/>
    <x v="43"/>
  </r>
  <r>
    <x v="695"/>
    <x v="165"/>
    <x v="1"/>
    <x v="7"/>
    <x v="2"/>
    <x v="8"/>
    <x v="67"/>
    <x v="188"/>
    <x v="1"/>
    <x v="9"/>
    <x v="9"/>
    <x v="7"/>
    <x v="9"/>
  </r>
  <r>
    <x v="696"/>
    <x v="95"/>
    <x v="2"/>
    <x v="15"/>
    <x v="1"/>
    <x v="20"/>
    <x v="85"/>
    <x v="189"/>
    <x v="1"/>
    <x v="88"/>
    <x v="88"/>
    <x v="15"/>
    <x v="88"/>
  </r>
  <r>
    <x v="697"/>
    <x v="128"/>
    <x v="2"/>
    <x v="15"/>
    <x v="2"/>
    <x v="20"/>
    <x v="25"/>
    <x v="189"/>
    <x v="3"/>
    <x v="72"/>
    <x v="72"/>
    <x v="15"/>
    <x v="72"/>
  </r>
  <r>
    <x v="698"/>
    <x v="22"/>
    <x v="3"/>
    <x v="16"/>
    <x v="2"/>
    <x v="41"/>
    <x v="22"/>
    <x v="190"/>
    <x v="3"/>
    <x v="81"/>
    <x v="81"/>
    <x v="16"/>
    <x v="81"/>
  </r>
  <r>
    <x v="699"/>
    <x v="91"/>
    <x v="1"/>
    <x v="7"/>
    <x v="1"/>
    <x v="8"/>
    <x v="82"/>
    <x v="191"/>
    <x v="3"/>
    <x v="79"/>
    <x v="79"/>
    <x v="7"/>
    <x v="79"/>
  </r>
  <r>
    <x v="700"/>
    <x v="101"/>
    <x v="3"/>
    <x v="14"/>
    <x v="3"/>
    <x v="19"/>
    <x v="90"/>
    <x v="191"/>
    <x v="3"/>
    <x v="22"/>
    <x v="22"/>
    <x v="14"/>
    <x v="22"/>
  </r>
  <r>
    <x v="701"/>
    <x v="60"/>
    <x v="4"/>
    <x v="17"/>
    <x v="0"/>
    <x v="22"/>
    <x v="57"/>
    <x v="191"/>
    <x v="1"/>
    <x v="58"/>
    <x v="58"/>
    <x v="17"/>
    <x v="58"/>
  </r>
  <r>
    <x v="702"/>
    <x v="100"/>
    <x v="0"/>
    <x v="10"/>
    <x v="0"/>
    <x v="11"/>
    <x v="89"/>
    <x v="192"/>
    <x v="2"/>
    <x v="26"/>
    <x v="26"/>
    <x v="10"/>
    <x v="26"/>
  </r>
  <r>
    <x v="703"/>
    <x v="78"/>
    <x v="3"/>
    <x v="8"/>
    <x v="0"/>
    <x v="9"/>
    <x v="72"/>
    <x v="192"/>
    <x v="2"/>
    <x v="18"/>
    <x v="18"/>
    <x v="8"/>
    <x v="18"/>
  </r>
  <r>
    <x v="704"/>
    <x v="79"/>
    <x v="2"/>
    <x v="2"/>
    <x v="2"/>
    <x v="2"/>
    <x v="73"/>
    <x v="192"/>
    <x v="1"/>
    <x v="56"/>
    <x v="56"/>
    <x v="2"/>
    <x v="56"/>
  </r>
  <r>
    <x v="705"/>
    <x v="37"/>
    <x v="2"/>
    <x v="15"/>
    <x v="0"/>
    <x v="46"/>
    <x v="36"/>
    <x v="192"/>
    <x v="3"/>
    <x v="72"/>
    <x v="72"/>
    <x v="15"/>
    <x v="72"/>
  </r>
  <r>
    <x v="706"/>
    <x v="88"/>
    <x v="0"/>
    <x v="10"/>
    <x v="2"/>
    <x v="11"/>
    <x v="12"/>
    <x v="192"/>
    <x v="1"/>
    <x v="94"/>
    <x v="94"/>
    <x v="10"/>
    <x v="94"/>
  </r>
  <r>
    <x v="707"/>
    <x v="105"/>
    <x v="4"/>
    <x v="12"/>
    <x v="0"/>
    <x v="17"/>
    <x v="94"/>
    <x v="192"/>
    <x v="0"/>
    <x v="87"/>
    <x v="87"/>
    <x v="12"/>
    <x v="87"/>
  </r>
  <r>
    <x v="708"/>
    <x v="19"/>
    <x v="2"/>
    <x v="2"/>
    <x v="3"/>
    <x v="48"/>
    <x v="19"/>
    <x v="193"/>
    <x v="2"/>
    <x v="2"/>
    <x v="2"/>
    <x v="2"/>
    <x v="2"/>
  </r>
  <r>
    <x v="709"/>
    <x v="60"/>
    <x v="3"/>
    <x v="16"/>
    <x v="0"/>
    <x v="41"/>
    <x v="57"/>
    <x v="193"/>
    <x v="0"/>
    <x v="24"/>
    <x v="24"/>
    <x v="16"/>
    <x v="24"/>
  </r>
  <r>
    <x v="710"/>
    <x v="39"/>
    <x v="3"/>
    <x v="14"/>
    <x v="0"/>
    <x v="45"/>
    <x v="38"/>
    <x v="194"/>
    <x v="3"/>
    <x v="22"/>
    <x v="22"/>
    <x v="14"/>
    <x v="22"/>
  </r>
  <r>
    <x v="711"/>
    <x v="140"/>
    <x v="3"/>
    <x v="20"/>
    <x v="0"/>
    <x v="29"/>
    <x v="120"/>
    <x v="194"/>
    <x v="3"/>
    <x v="32"/>
    <x v="32"/>
    <x v="20"/>
    <x v="32"/>
  </r>
  <r>
    <x v="712"/>
    <x v="137"/>
    <x v="3"/>
    <x v="14"/>
    <x v="1"/>
    <x v="45"/>
    <x v="118"/>
    <x v="194"/>
    <x v="2"/>
    <x v="40"/>
    <x v="40"/>
    <x v="14"/>
    <x v="40"/>
  </r>
  <r>
    <x v="713"/>
    <x v="86"/>
    <x v="1"/>
    <x v="7"/>
    <x v="2"/>
    <x v="8"/>
    <x v="69"/>
    <x v="194"/>
    <x v="0"/>
    <x v="37"/>
    <x v="37"/>
    <x v="7"/>
    <x v="37"/>
  </r>
  <r>
    <x v="714"/>
    <x v="142"/>
    <x v="3"/>
    <x v="13"/>
    <x v="1"/>
    <x v="27"/>
    <x v="122"/>
    <x v="194"/>
    <x v="1"/>
    <x v="96"/>
    <x v="96"/>
    <x v="13"/>
    <x v="96"/>
  </r>
  <r>
    <x v="715"/>
    <x v="7"/>
    <x v="2"/>
    <x v="15"/>
    <x v="0"/>
    <x v="46"/>
    <x v="7"/>
    <x v="194"/>
    <x v="0"/>
    <x v="23"/>
    <x v="23"/>
    <x v="15"/>
    <x v="23"/>
  </r>
  <r>
    <x v="716"/>
    <x v="147"/>
    <x v="3"/>
    <x v="14"/>
    <x v="0"/>
    <x v="45"/>
    <x v="127"/>
    <x v="195"/>
    <x v="3"/>
    <x v="22"/>
    <x v="22"/>
    <x v="14"/>
    <x v="22"/>
  </r>
  <r>
    <x v="717"/>
    <x v="38"/>
    <x v="0"/>
    <x v="24"/>
    <x v="3"/>
    <x v="47"/>
    <x v="37"/>
    <x v="196"/>
    <x v="2"/>
    <x v="67"/>
    <x v="67"/>
    <x v="24"/>
    <x v="67"/>
  </r>
  <r>
    <x v="718"/>
    <x v="110"/>
    <x v="3"/>
    <x v="16"/>
    <x v="0"/>
    <x v="41"/>
    <x v="5"/>
    <x v="196"/>
    <x v="0"/>
    <x v="24"/>
    <x v="24"/>
    <x v="16"/>
    <x v="24"/>
  </r>
  <r>
    <x v="719"/>
    <x v="126"/>
    <x v="2"/>
    <x v="3"/>
    <x v="2"/>
    <x v="3"/>
    <x v="108"/>
    <x v="197"/>
    <x v="2"/>
    <x v="63"/>
    <x v="63"/>
    <x v="3"/>
    <x v="63"/>
  </r>
  <r>
    <x v="720"/>
    <x v="25"/>
    <x v="3"/>
    <x v="14"/>
    <x v="2"/>
    <x v="19"/>
    <x v="25"/>
    <x v="197"/>
    <x v="2"/>
    <x v="40"/>
    <x v="40"/>
    <x v="14"/>
    <x v="40"/>
  </r>
  <r>
    <x v="721"/>
    <x v="156"/>
    <x v="1"/>
    <x v="1"/>
    <x v="2"/>
    <x v="33"/>
    <x v="135"/>
    <x v="198"/>
    <x v="2"/>
    <x v="54"/>
    <x v="54"/>
    <x v="1"/>
    <x v="54"/>
  </r>
  <r>
    <x v="722"/>
    <x v="48"/>
    <x v="2"/>
    <x v="3"/>
    <x v="0"/>
    <x v="3"/>
    <x v="18"/>
    <x v="199"/>
    <x v="3"/>
    <x v="3"/>
    <x v="3"/>
    <x v="3"/>
    <x v="3"/>
  </r>
  <r>
    <x v="723"/>
    <x v="137"/>
    <x v="2"/>
    <x v="23"/>
    <x v="1"/>
    <x v="36"/>
    <x v="118"/>
    <x v="199"/>
    <x v="3"/>
    <x v="75"/>
    <x v="75"/>
    <x v="23"/>
    <x v="75"/>
  </r>
  <r>
    <x v="724"/>
    <x v="62"/>
    <x v="1"/>
    <x v="1"/>
    <x v="0"/>
    <x v="33"/>
    <x v="59"/>
    <x v="199"/>
    <x v="1"/>
    <x v="1"/>
    <x v="1"/>
    <x v="1"/>
    <x v="1"/>
  </r>
  <r>
    <x v="725"/>
    <x v="8"/>
    <x v="4"/>
    <x v="17"/>
    <x v="0"/>
    <x v="22"/>
    <x v="8"/>
    <x v="199"/>
    <x v="2"/>
    <x v="33"/>
    <x v="33"/>
    <x v="17"/>
    <x v="33"/>
  </r>
  <r>
    <x v="726"/>
    <x v="139"/>
    <x v="4"/>
    <x v="21"/>
    <x v="3"/>
    <x v="44"/>
    <x v="31"/>
    <x v="200"/>
    <x v="0"/>
    <x v="64"/>
    <x v="64"/>
    <x v="21"/>
    <x v="64"/>
  </r>
  <r>
    <x v="727"/>
    <x v="139"/>
    <x v="3"/>
    <x v="20"/>
    <x v="3"/>
    <x v="31"/>
    <x v="31"/>
    <x v="200"/>
    <x v="0"/>
    <x v="66"/>
    <x v="66"/>
    <x v="20"/>
    <x v="66"/>
  </r>
  <r>
    <x v="728"/>
    <x v="103"/>
    <x v="4"/>
    <x v="17"/>
    <x v="1"/>
    <x v="22"/>
    <x v="92"/>
    <x v="200"/>
    <x v="1"/>
    <x v="58"/>
    <x v="58"/>
    <x v="17"/>
    <x v="58"/>
  </r>
  <r>
    <x v="729"/>
    <x v="147"/>
    <x v="1"/>
    <x v="19"/>
    <x v="0"/>
    <x v="38"/>
    <x v="127"/>
    <x v="200"/>
    <x v="2"/>
    <x v="95"/>
    <x v="95"/>
    <x v="19"/>
    <x v="95"/>
  </r>
  <r>
    <x v="730"/>
    <x v="93"/>
    <x v="1"/>
    <x v="19"/>
    <x v="2"/>
    <x v="38"/>
    <x v="83"/>
    <x v="200"/>
    <x v="3"/>
    <x v="97"/>
    <x v="97"/>
    <x v="19"/>
    <x v="97"/>
  </r>
  <r>
    <x v="731"/>
    <x v="171"/>
    <x v="4"/>
    <x v="11"/>
    <x v="2"/>
    <x v="26"/>
    <x v="144"/>
    <x v="200"/>
    <x v="2"/>
    <x v="20"/>
    <x v="20"/>
    <x v="11"/>
    <x v="20"/>
  </r>
  <r>
    <x v="732"/>
    <x v="110"/>
    <x v="0"/>
    <x v="24"/>
    <x v="0"/>
    <x v="42"/>
    <x v="5"/>
    <x v="200"/>
    <x v="0"/>
    <x v="85"/>
    <x v="85"/>
    <x v="24"/>
    <x v="85"/>
  </r>
  <r>
    <x v="733"/>
    <x v="46"/>
    <x v="2"/>
    <x v="3"/>
    <x v="2"/>
    <x v="3"/>
    <x v="45"/>
    <x v="200"/>
    <x v="2"/>
    <x v="63"/>
    <x v="63"/>
    <x v="3"/>
    <x v="63"/>
  </r>
  <r>
    <x v="734"/>
    <x v="149"/>
    <x v="4"/>
    <x v="17"/>
    <x v="2"/>
    <x v="30"/>
    <x v="129"/>
    <x v="201"/>
    <x v="0"/>
    <x v="61"/>
    <x v="61"/>
    <x v="17"/>
    <x v="61"/>
  </r>
  <r>
    <x v="735"/>
    <x v="151"/>
    <x v="0"/>
    <x v="24"/>
    <x v="0"/>
    <x v="47"/>
    <x v="131"/>
    <x v="201"/>
    <x v="1"/>
    <x v="53"/>
    <x v="53"/>
    <x v="24"/>
    <x v="53"/>
  </r>
  <r>
    <x v="736"/>
    <x v="23"/>
    <x v="4"/>
    <x v="21"/>
    <x v="2"/>
    <x v="32"/>
    <x v="23"/>
    <x v="201"/>
    <x v="3"/>
    <x v="70"/>
    <x v="70"/>
    <x v="21"/>
    <x v="70"/>
  </r>
  <r>
    <x v="737"/>
    <x v="22"/>
    <x v="1"/>
    <x v="7"/>
    <x v="2"/>
    <x v="34"/>
    <x v="22"/>
    <x v="201"/>
    <x v="1"/>
    <x v="9"/>
    <x v="9"/>
    <x v="7"/>
    <x v="9"/>
  </r>
  <r>
    <x v="738"/>
    <x v="12"/>
    <x v="4"/>
    <x v="21"/>
    <x v="0"/>
    <x v="32"/>
    <x v="12"/>
    <x v="202"/>
    <x v="3"/>
    <x v="70"/>
    <x v="70"/>
    <x v="21"/>
    <x v="70"/>
  </r>
  <r>
    <x v="739"/>
    <x v="122"/>
    <x v="3"/>
    <x v="14"/>
    <x v="3"/>
    <x v="19"/>
    <x v="105"/>
    <x v="202"/>
    <x v="2"/>
    <x v="40"/>
    <x v="40"/>
    <x v="14"/>
    <x v="40"/>
  </r>
  <r>
    <x v="740"/>
    <x v="85"/>
    <x v="4"/>
    <x v="9"/>
    <x v="2"/>
    <x v="10"/>
    <x v="78"/>
    <x v="202"/>
    <x v="0"/>
    <x v="39"/>
    <x v="39"/>
    <x v="9"/>
    <x v="39"/>
  </r>
  <r>
    <x v="741"/>
    <x v="33"/>
    <x v="3"/>
    <x v="16"/>
    <x v="3"/>
    <x v="21"/>
    <x v="32"/>
    <x v="202"/>
    <x v="1"/>
    <x v="52"/>
    <x v="52"/>
    <x v="16"/>
    <x v="52"/>
  </r>
  <r>
    <x v="742"/>
    <x v="26"/>
    <x v="3"/>
    <x v="14"/>
    <x v="2"/>
    <x v="19"/>
    <x v="12"/>
    <x v="202"/>
    <x v="3"/>
    <x v="22"/>
    <x v="22"/>
    <x v="14"/>
    <x v="22"/>
  </r>
  <r>
    <x v="743"/>
    <x v="127"/>
    <x v="0"/>
    <x v="24"/>
    <x v="3"/>
    <x v="42"/>
    <x v="109"/>
    <x v="203"/>
    <x v="2"/>
    <x v="67"/>
    <x v="67"/>
    <x v="24"/>
    <x v="67"/>
  </r>
  <r>
    <x v="744"/>
    <x v="93"/>
    <x v="1"/>
    <x v="22"/>
    <x v="2"/>
    <x v="35"/>
    <x v="83"/>
    <x v="203"/>
    <x v="2"/>
    <x v="38"/>
    <x v="38"/>
    <x v="22"/>
    <x v="38"/>
  </r>
  <r>
    <x v="745"/>
    <x v="173"/>
    <x v="0"/>
    <x v="0"/>
    <x v="0"/>
    <x v="0"/>
    <x v="145"/>
    <x v="203"/>
    <x v="0"/>
    <x v="0"/>
    <x v="0"/>
    <x v="0"/>
    <x v="0"/>
  </r>
  <r>
    <x v="746"/>
    <x v="57"/>
    <x v="0"/>
    <x v="0"/>
    <x v="2"/>
    <x v="0"/>
    <x v="54"/>
    <x v="203"/>
    <x v="2"/>
    <x v="62"/>
    <x v="62"/>
    <x v="0"/>
    <x v="62"/>
  </r>
  <r>
    <x v="747"/>
    <x v="137"/>
    <x v="2"/>
    <x v="4"/>
    <x v="1"/>
    <x v="24"/>
    <x v="118"/>
    <x v="203"/>
    <x v="1"/>
    <x v="31"/>
    <x v="31"/>
    <x v="4"/>
    <x v="31"/>
  </r>
  <r>
    <x v="748"/>
    <x v="160"/>
    <x v="4"/>
    <x v="17"/>
    <x v="2"/>
    <x v="30"/>
    <x v="139"/>
    <x v="203"/>
    <x v="0"/>
    <x v="61"/>
    <x v="61"/>
    <x v="17"/>
    <x v="61"/>
  </r>
  <r>
    <x v="749"/>
    <x v="56"/>
    <x v="1"/>
    <x v="1"/>
    <x v="2"/>
    <x v="33"/>
    <x v="53"/>
    <x v="203"/>
    <x v="0"/>
    <x v="36"/>
    <x v="36"/>
    <x v="1"/>
    <x v="36"/>
  </r>
  <r>
    <x v="750"/>
    <x v="88"/>
    <x v="2"/>
    <x v="15"/>
    <x v="2"/>
    <x v="20"/>
    <x v="12"/>
    <x v="204"/>
    <x v="0"/>
    <x v="23"/>
    <x v="23"/>
    <x v="15"/>
    <x v="23"/>
  </r>
  <r>
    <x v="751"/>
    <x v="102"/>
    <x v="2"/>
    <x v="23"/>
    <x v="0"/>
    <x v="36"/>
    <x v="91"/>
    <x v="205"/>
    <x v="2"/>
    <x v="69"/>
    <x v="69"/>
    <x v="23"/>
    <x v="69"/>
  </r>
  <r>
    <x v="752"/>
    <x v="32"/>
    <x v="3"/>
    <x v="8"/>
    <x v="2"/>
    <x v="43"/>
    <x v="31"/>
    <x v="205"/>
    <x v="1"/>
    <x v="19"/>
    <x v="19"/>
    <x v="8"/>
    <x v="19"/>
  </r>
  <r>
    <x v="753"/>
    <x v="5"/>
    <x v="4"/>
    <x v="12"/>
    <x v="2"/>
    <x v="14"/>
    <x v="5"/>
    <x v="206"/>
    <x v="2"/>
    <x v="47"/>
    <x v="47"/>
    <x v="12"/>
    <x v="47"/>
  </r>
  <r>
    <x v="754"/>
    <x v="91"/>
    <x v="1"/>
    <x v="1"/>
    <x v="1"/>
    <x v="1"/>
    <x v="82"/>
    <x v="206"/>
    <x v="1"/>
    <x v="1"/>
    <x v="1"/>
    <x v="1"/>
    <x v="1"/>
  </r>
  <r>
    <x v="755"/>
    <x v="137"/>
    <x v="4"/>
    <x v="9"/>
    <x v="1"/>
    <x v="23"/>
    <x v="118"/>
    <x v="206"/>
    <x v="3"/>
    <x v="11"/>
    <x v="11"/>
    <x v="9"/>
    <x v="11"/>
  </r>
  <r>
    <x v="756"/>
    <x v="148"/>
    <x v="2"/>
    <x v="4"/>
    <x v="3"/>
    <x v="4"/>
    <x v="128"/>
    <x v="206"/>
    <x v="3"/>
    <x v="4"/>
    <x v="4"/>
    <x v="4"/>
    <x v="4"/>
  </r>
  <r>
    <x v="757"/>
    <x v="25"/>
    <x v="1"/>
    <x v="22"/>
    <x v="2"/>
    <x v="40"/>
    <x v="25"/>
    <x v="207"/>
    <x v="3"/>
    <x v="51"/>
    <x v="51"/>
    <x v="22"/>
    <x v="51"/>
  </r>
  <r>
    <x v="758"/>
    <x v="40"/>
    <x v="1"/>
    <x v="1"/>
    <x v="1"/>
    <x v="33"/>
    <x v="39"/>
    <x v="207"/>
    <x v="0"/>
    <x v="36"/>
    <x v="36"/>
    <x v="1"/>
    <x v="36"/>
  </r>
  <r>
    <x v="759"/>
    <x v="86"/>
    <x v="3"/>
    <x v="16"/>
    <x v="2"/>
    <x v="21"/>
    <x v="69"/>
    <x v="207"/>
    <x v="3"/>
    <x v="81"/>
    <x v="81"/>
    <x v="16"/>
    <x v="81"/>
  </r>
  <r>
    <x v="760"/>
    <x v="49"/>
    <x v="4"/>
    <x v="9"/>
    <x v="0"/>
    <x v="23"/>
    <x v="47"/>
    <x v="208"/>
    <x v="1"/>
    <x v="29"/>
    <x v="29"/>
    <x v="9"/>
    <x v="29"/>
  </r>
  <r>
    <x v="761"/>
    <x v="128"/>
    <x v="2"/>
    <x v="15"/>
    <x v="2"/>
    <x v="20"/>
    <x v="25"/>
    <x v="208"/>
    <x v="1"/>
    <x v="88"/>
    <x v="88"/>
    <x v="15"/>
    <x v="88"/>
  </r>
  <r>
    <x v="762"/>
    <x v="161"/>
    <x v="2"/>
    <x v="4"/>
    <x v="2"/>
    <x v="24"/>
    <x v="140"/>
    <x v="209"/>
    <x v="2"/>
    <x v="7"/>
    <x v="7"/>
    <x v="4"/>
    <x v="7"/>
  </r>
  <r>
    <x v="763"/>
    <x v="129"/>
    <x v="4"/>
    <x v="21"/>
    <x v="2"/>
    <x v="44"/>
    <x v="110"/>
    <x v="209"/>
    <x v="2"/>
    <x v="43"/>
    <x v="43"/>
    <x v="21"/>
    <x v="43"/>
  </r>
  <r>
    <x v="764"/>
    <x v="138"/>
    <x v="2"/>
    <x v="4"/>
    <x v="2"/>
    <x v="24"/>
    <x v="119"/>
    <x v="209"/>
    <x v="1"/>
    <x v="31"/>
    <x v="31"/>
    <x v="4"/>
    <x v="31"/>
  </r>
  <r>
    <x v="765"/>
    <x v="118"/>
    <x v="4"/>
    <x v="11"/>
    <x v="3"/>
    <x v="13"/>
    <x v="103"/>
    <x v="209"/>
    <x v="1"/>
    <x v="89"/>
    <x v="89"/>
    <x v="11"/>
    <x v="89"/>
  </r>
  <r>
    <x v="766"/>
    <x v="172"/>
    <x v="3"/>
    <x v="20"/>
    <x v="1"/>
    <x v="29"/>
    <x v="125"/>
    <x v="209"/>
    <x v="0"/>
    <x v="66"/>
    <x v="66"/>
    <x v="20"/>
    <x v="66"/>
  </r>
  <r>
    <x v="767"/>
    <x v="150"/>
    <x v="0"/>
    <x v="24"/>
    <x v="1"/>
    <x v="42"/>
    <x v="130"/>
    <x v="209"/>
    <x v="2"/>
    <x v="67"/>
    <x v="67"/>
    <x v="24"/>
    <x v="67"/>
  </r>
  <r>
    <x v="768"/>
    <x v="92"/>
    <x v="1"/>
    <x v="1"/>
    <x v="2"/>
    <x v="1"/>
    <x v="43"/>
    <x v="209"/>
    <x v="2"/>
    <x v="54"/>
    <x v="54"/>
    <x v="1"/>
    <x v="54"/>
  </r>
  <r>
    <x v="769"/>
    <x v="97"/>
    <x v="2"/>
    <x v="15"/>
    <x v="0"/>
    <x v="20"/>
    <x v="86"/>
    <x v="209"/>
    <x v="3"/>
    <x v="72"/>
    <x v="72"/>
    <x v="15"/>
    <x v="72"/>
  </r>
  <r>
    <x v="770"/>
    <x v="145"/>
    <x v="3"/>
    <x v="8"/>
    <x v="0"/>
    <x v="9"/>
    <x v="125"/>
    <x v="209"/>
    <x v="0"/>
    <x v="55"/>
    <x v="55"/>
    <x v="8"/>
    <x v="55"/>
  </r>
  <r>
    <x v="771"/>
    <x v="95"/>
    <x v="2"/>
    <x v="3"/>
    <x v="1"/>
    <x v="5"/>
    <x v="85"/>
    <x v="210"/>
    <x v="3"/>
    <x v="3"/>
    <x v="3"/>
    <x v="3"/>
    <x v="3"/>
  </r>
  <r>
    <x v="772"/>
    <x v="124"/>
    <x v="3"/>
    <x v="8"/>
    <x v="1"/>
    <x v="9"/>
    <x v="107"/>
    <x v="210"/>
    <x v="2"/>
    <x v="18"/>
    <x v="18"/>
    <x v="8"/>
    <x v="18"/>
  </r>
  <r>
    <x v="773"/>
    <x v="110"/>
    <x v="3"/>
    <x v="16"/>
    <x v="0"/>
    <x v="21"/>
    <x v="5"/>
    <x v="210"/>
    <x v="0"/>
    <x v="24"/>
    <x v="24"/>
    <x v="16"/>
    <x v="24"/>
  </r>
  <r>
    <x v="774"/>
    <x v="37"/>
    <x v="0"/>
    <x v="18"/>
    <x v="0"/>
    <x v="39"/>
    <x v="36"/>
    <x v="211"/>
    <x v="2"/>
    <x v="57"/>
    <x v="57"/>
    <x v="18"/>
    <x v="57"/>
  </r>
  <r>
    <x v="775"/>
    <x v="118"/>
    <x v="2"/>
    <x v="3"/>
    <x v="3"/>
    <x v="3"/>
    <x v="103"/>
    <x v="212"/>
    <x v="3"/>
    <x v="3"/>
    <x v="3"/>
    <x v="3"/>
    <x v="3"/>
  </r>
  <r>
    <x v="776"/>
    <x v="36"/>
    <x v="0"/>
    <x v="5"/>
    <x v="2"/>
    <x v="12"/>
    <x v="35"/>
    <x v="212"/>
    <x v="2"/>
    <x v="50"/>
    <x v="50"/>
    <x v="5"/>
    <x v="50"/>
  </r>
  <r>
    <x v="777"/>
    <x v="122"/>
    <x v="2"/>
    <x v="2"/>
    <x v="3"/>
    <x v="2"/>
    <x v="105"/>
    <x v="213"/>
    <x v="1"/>
    <x v="56"/>
    <x v="56"/>
    <x v="2"/>
    <x v="56"/>
  </r>
  <r>
    <x v="778"/>
    <x v="123"/>
    <x v="1"/>
    <x v="1"/>
    <x v="3"/>
    <x v="1"/>
    <x v="106"/>
    <x v="213"/>
    <x v="0"/>
    <x v="36"/>
    <x v="36"/>
    <x v="1"/>
    <x v="36"/>
  </r>
  <r>
    <x v="779"/>
    <x v="55"/>
    <x v="0"/>
    <x v="18"/>
    <x v="2"/>
    <x v="39"/>
    <x v="52"/>
    <x v="213"/>
    <x v="3"/>
    <x v="28"/>
    <x v="28"/>
    <x v="18"/>
    <x v="28"/>
  </r>
  <r>
    <x v="780"/>
    <x v="109"/>
    <x v="4"/>
    <x v="17"/>
    <x v="2"/>
    <x v="22"/>
    <x v="79"/>
    <x v="213"/>
    <x v="0"/>
    <x v="61"/>
    <x v="61"/>
    <x v="17"/>
    <x v="61"/>
  </r>
  <r>
    <x v="781"/>
    <x v="20"/>
    <x v="3"/>
    <x v="13"/>
    <x v="3"/>
    <x v="16"/>
    <x v="20"/>
    <x v="213"/>
    <x v="1"/>
    <x v="96"/>
    <x v="96"/>
    <x v="13"/>
    <x v="96"/>
  </r>
  <r>
    <x v="782"/>
    <x v="71"/>
    <x v="0"/>
    <x v="5"/>
    <x v="2"/>
    <x v="12"/>
    <x v="57"/>
    <x v="214"/>
    <x v="0"/>
    <x v="13"/>
    <x v="13"/>
    <x v="5"/>
    <x v="13"/>
  </r>
  <r>
    <x v="783"/>
    <x v="13"/>
    <x v="4"/>
    <x v="21"/>
    <x v="2"/>
    <x v="44"/>
    <x v="13"/>
    <x v="214"/>
    <x v="0"/>
    <x v="64"/>
    <x v="64"/>
    <x v="21"/>
    <x v="64"/>
  </r>
  <r>
    <x v="784"/>
    <x v="123"/>
    <x v="3"/>
    <x v="14"/>
    <x v="3"/>
    <x v="45"/>
    <x v="106"/>
    <x v="214"/>
    <x v="1"/>
    <x v="48"/>
    <x v="48"/>
    <x v="14"/>
    <x v="48"/>
  </r>
  <r>
    <x v="785"/>
    <x v="21"/>
    <x v="4"/>
    <x v="9"/>
    <x v="2"/>
    <x v="10"/>
    <x v="21"/>
    <x v="214"/>
    <x v="1"/>
    <x v="29"/>
    <x v="29"/>
    <x v="9"/>
    <x v="29"/>
  </r>
  <r>
    <x v="786"/>
    <x v="37"/>
    <x v="2"/>
    <x v="2"/>
    <x v="0"/>
    <x v="48"/>
    <x v="36"/>
    <x v="215"/>
    <x v="3"/>
    <x v="34"/>
    <x v="34"/>
    <x v="2"/>
    <x v="34"/>
  </r>
  <r>
    <x v="787"/>
    <x v="113"/>
    <x v="0"/>
    <x v="24"/>
    <x v="2"/>
    <x v="47"/>
    <x v="98"/>
    <x v="215"/>
    <x v="2"/>
    <x v="67"/>
    <x v="67"/>
    <x v="24"/>
    <x v="67"/>
  </r>
  <r>
    <x v="788"/>
    <x v="35"/>
    <x v="0"/>
    <x v="10"/>
    <x v="0"/>
    <x v="18"/>
    <x v="34"/>
    <x v="215"/>
    <x v="3"/>
    <x v="12"/>
    <x v="12"/>
    <x v="10"/>
    <x v="12"/>
  </r>
  <r>
    <x v="789"/>
    <x v="114"/>
    <x v="2"/>
    <x v="15"/>
    <x v="1"/>
    <x v="20"/>
    <x v="99"/>
    <x v="215"/>
    <x v="1"/>
    <x v="88"/>
    <x v="88"/>
    <x v="15"/>
    <x v="88"/>
  </r>
  <r>
    <x v="790"/>
    <x v="56"/>
    <x v="4"/>
    <x v="17"/>
    <x v="2"/>
    <x v="22"/>
    <x v="53"/>
    <x v="215"/>
    <x v="0"/>
    <x v="61"/>
    <x v="61"/>
    <x v="17"/>
    <x v="61"/>
  </r>
  <r>
    <x v="791"/>
    <x v="146"/>
    <x v="4"/>
    <x v="9"/>
    <x v="1"/>
    <x v="23"/>
    <x v="126"/>
    <x v="216"/>
    <x v="3"/>
    <x v="11"/>
    <x v="11"/>
    <x v="9"/>
    <x v="11"/>
  </r>
  <r>
    <x v="792"/>
    <x v="33"/>
    <x v="2"/>
    <x v="4"/>
    <x v="3"/>
    <x v="24"/>
    <x v="32"/>
    <x v="216"/>
    <x v="1"/>
    <x v="31"/>
    <x v="31"/>
    <x v="4"/>
    <x v="31"/>
  </r>
  <r>
    <x v="793"/>
    <x v="170"/>
    <x v="2"/>
    <x v="4"/>
    <x v="2"/>
    <x v="4"/>
    <x v="143"/>
    <x v="216"/>
    <x v="3"/>
    <x v="4"/>
    <x v="4"/>
    <x v="4"/>
    <x v="4"/>
  </r>
  <r>
    <x v="794"/>
    <x v="160"/>
    <x v="4"/>
    <x v="9"/>
    <x v="2"/>
    <x v="23"/>
    <x v="139"/>
    <x v="216"/>
    <x v="2"/>
    <x v="27"/>
    <x v="27"/>
    <x v="9"/>
    <x v="27"/>
  </r>
  <r>
    <x v="795"/>
    <x v="163"/>
    <x v="3"/>
    <x v="14"/>
    <x v="2"/>
    <x v="19"/>
    <x v="35"/>
    <x v="217"/>
    <x v="2"/>
    <x v="40"/>
    <x v="40"/>
    <x v="14"/>
    <x v="40"/>
  </r>
  <r>
    <x v="796"/>
    <x v="80"/>
    <x v="4"/>
    <x v="9"/>
    <x v="0"/>
    <x v="10"/>
    <x v="31"/>
    <x v="217"/>
    <x v="1"/>
    <x v="29"/>
    <x v="29"/>
    <x v="9"/>
    <x v="29"/>
  </r>
  <r>
    <x v="797"/>
    <x v="19"/>
    <x v="3"/>
    <x v="16"/>
    <x v="3"/>
    <x v="21"/>
    <x v="19"/>
    <x v="217"/>
    <x v="2"/>
    <x v="59"/>
    <x v="59"/>
    <x v="16"/>
    <x v="59"/>
  </r>
  <r>
    <x v="798"/>
    <x v="4"/>
    <x v="2"/>
    <x v="23"/>
    <x v="2"/>
    <x v="36"/>
    <x v="4"/>
    <x v="217"/>
    <x v="1"/>
    <x v="60"/>
    <x v="60"/>
    <x v="23"/>
    <x v="60"/>
  </r>
  <r>
    <x v="799"/>
    <x v="77"/>
    <x v="2"/>
    <x v="4"/>
    <x v="2"/>
    <x v="24"/>
    <x v="28"/>
    <x v="217"/>
    <x v="2"/>
    <x v="7"/>
    <x v="7"/>
    <x v="4"/>
    <x v="7"/>
  </r>
  <r>
    <x v="800"/>
    <x v="149"/>
    <x v="3"/>
    <x v="14"/>
    <x v="2"/>
    <x v="45"/>
    <x v="129"/>
    <x v="218"/>
    <x v="2"/>
    <x v="40"/>
    <x v="40"/>
    <x v="14"/>
    <x v="40"/>
  </r>
  <r>
    <x v="801"/>
    <x v="61"/>
    <x v="0"/>
    <x v="24"/>
    <x v="2"/>
    <x v="42"/>
    <x v="58"/>
    <x v="218"/>
    <x v="0"/>
    <x v="85"/>
    <x v="85"/>
    <x v="24"/>
    <x v="85"/>
  </r>
  <r>
    <x v="802"/>
    <x v="155"/>
    <x v="2"/>
    <x v="2"/>
    <x v="2"/>
    <x v="48"/>
    <x v="134"/>
    <x v="218"/>
    <x v="2"/>
    <x v="2"/>
    <x v="2"/>
    <x v="2"/>
    <x v="2"/>
  </r>
  <r>
    <x v="803"/>
    <x v="163"/>
    <x v="4"/>
    <x v="9"/>
    <x v="2"/>
    <x v="10"/>
    <x v="35"/>
    <x v="219"/>
    <x v="3"/>
    <x v="11"/>
    <x v="11"/>
    <x v="9"/>
    <x v="11"/>
  </r>
  <r>
    <x v="804"/>
    <x v="143"/>
    <x v="0"/>
    <x v="18"/>
    <x v="0"/>
    <x v="39"/>
    <x v="123"/>
    <x v="219"/>
    <x v="2"/>
    <x v="57"/>
    <x v="57"/>
    <x v="18"/>
    <x v="57"/>
  </r>
  <r>
    <x v="805"/>
    <x v="18"/>
    <x v="3"/>
    <x v="8"/>
    <x v="0"/>
    <x v="43"/>
    <x v="18"/>
    <x v="219"/>
    <x v="2"/>
    <x v="18"/>
    <x v="18"/>
    <x v="8"/>
    <x v="18"/>
  </r>
  <r>
    <x v="806"/>
    <x v="97"/>
    <x v="3"/>
    <x v="13"/>
    <x v="0"/>
    <x v="27"/>
    <x v="86"/>
    <x v="219"/>
    <x v="2"/>
    <x v="17"/>
    <x v="17"/>
    <x v="13"/>
    <x v="17"/>
  </r>
  <r>
    <x v="807"/>
    <x v="120"/>
    <x v="3"/>
    <x v="13"/>
    <x v="0"/>
    <x v="16"/>
    <x v="66"/>
    <x v="219"/>
    <x v="3"/>
    <x v="68"/>
    <x v="68"/>
    <x v="13"/>
    <x v="68"/>
  </r>
  <r>
    <x v="808"/>
    <x v="164"/>
    <x v="3"/>
    <x v="13"/>
    <x v="2"/>
    <x v="16"/>
    <x v="141"/>
    <x v="219"/>
    <x v="1"/>
    <x v="96"/>
    <x v="96"/>
    <x v="13"/>
    <x v="96"/>
  </r>
  <r>
    <x v="809"/>
    <x v="138"/>
    <x v="0"/>
    <x v="10"/>
    <x v="2"/>
    <x v="18"/>
    <x v="119"/>
    <x v="220"/>
    <x v="1"/>
    <x v="94"/>
    <x v="94"/>
    <x v="10"/>
    <x v="94"/>
  </r>
  <r>
    <x v="810"/>
    <x v="90"/>
    <x v="1"/>
    <x v="7"/>
    <x v="2"/>
    <x v="8"/>
    <x v="81"/>
    <x v="220"/>
    <x v="3"/>
    <x v="79"/>
    <x v="79"/>
    <x v="7"/>
    <x v="79"/>
  </r>
  <r>
    <x v="811"/>
    <x v="115"/>
    <x v="0"/>
    <x v="24"/>
    <x v="2"/>
    <x v="42"/>
    <x v="100"/>
    <x v="220"/>
    <x v="2"/>
    <x v="67"/>
    <x v="67"/>
    <x v="24"/>
    <x v="67"/>
  </r>
  <r>
    <x v="812"/>
    <x v="52"/>
    <x v="0"/>
    <x v="5"/>
    <x v="0"/>
    <x v="6"/>
    <x v="49"/>
    <x v="220"/>
    <x v="3"/>
    <x v="6"/>
    <x v="6"/>
    <x v="5"/>
    <x v="6"/>
  </r>
  <r>
    <x v="813"/>
    <x v="155"/>
    <x v="1"/>
    <x v="6"/>
    <x v="2"/>
    <x v="37"/>
    <x v="134"/>
    <x v="220"/>
    <x v="2"/>
    <x v="83"/>
    <x v="83"/>
    <x v="6"/>
    <x v="83"/>
  </r>
  <r>
    <x v="814"/>
    <x v="13"/>
    <x v="2"/>
    <x v="3"/>
    <x v="2"/>
    <x v="3"/>
    <x v="13"/>
    <x v="221"/>
    <x v="1"/>
    <x v="5"/>
    <x v="5"/>
    <x v="3"/>
    <x v="5"/>
  </r>
  <r>
    <x v="815"/>
    <x v="169"/>
    <x v="2"/>
    <x v="4"/>
    <x v="3"/>
    <x v="24"/>
    <x v="114"/>
    <x v="221"/>
    <x v="1"/>
    <x v="31"/>
    <x v="31"/>
    <x v="4"/>
    <x v="31"/>
  </r>
  <r>
    <x v="816"/>
    <x v="173"/>
    <x v="4"/>
    <x v="11"/>
    <x v="0"/>
    <x v="13"/>
    <x v="145"/>
    <x v="221"/>
    <x v="0"/>
    <x v="76"/>
    <x v="76"/>
    <x v="11"/>
    <x v="76"/>
  </r>
  <r>
    <x v="817"/>
    <x v="177"/>
    <x v="2"/>
    <x v="2"/>
    <x v="0"/>
    <x v="2"/>
    <x v="115"/>
    <x v="222"/>
    <x v="1"/>
    <x v="56"/>
    <x v="56"/>
    <x v="2"/>
    <x v="56"/>
  </r>
  <r>
    <x v="818"/>
    <x v="72"/>
    <x v="0"/>
    <x v="10"/>
    <x v="2"/>
    <x v="18"/>
    <x v="67"/>
    <x v="222"/>
    <x v="2"/>
    <x v="26"/>
    <x v="26"/>
    <x v="10"/>
    <x v="26"/>
  </r>
  <r>
    <x v="819"/>
    <x v="98"/>
    <x v="3"/>
    <x v="16"/>
    <x v="1"/>
    <x v="41"/>
    <x v="87"/>
    <x v="222"/>
    <x v="2"/>
    <x v="59"/>
    <x v="59"/>
    <x v="16"/>
    <x v="59"/>
  </r>
  <r>
    <x v="820"/>
    <x v="58"/>
    <x v="0"/>
    <x v="10"/>
    <x v="0"/>
    <x v="18"/>
    <x v="55"/>
    <x v="222"/>
    <x v="0"/>
    <x v="21"/>
    <x v="21"/>
    <x v="10"/>
    <x v="21"/>
  </r>
  <r>
    <x v="821"/>
    <x v="53"/>
    <x v="3"/>
    <x v="14"/>
    <x v="0"/>
    <x v="45"/>
    <x v="50"/>
    <x v="223"/>
    <x v="2"/>
    <x v="40"/>
    <x v="40"/>
    <x v="14"/>
    <x v="40"/>
  </r>
  <r>
    <x v="822"/>
    <x v="149"/>
    <x v="2"/>
    <x v="3"/>
    <x v="2"/>
    <x v="3"/>
    <x v="129"/>
    <x v="223"/>
    <x v="1"/>
    <x v="5"/>
    <x v="5"/>
    <x v="3"/>
    <x v="5"/>
  </r>
  <r>
    <x v="823"/>
    <x v="140"/>
    <x v="1"/>
    <x v="22"/>
    <x v="0"/>
    <x v="40"/>
    <x v="120"/>
    <x v="223"/>
    <x v="3"/>
    <x v="51"/>
    <x v="51"/>
    <x v="22"/>
    <x v="51"/>
  </r>
  <r>
    <x v="824"/>
    <x v="106"/>
    <x v="3"/>
    <x v="8"/>
    <x v="2"/>
    <x v="43"/>
    <x v="95"/>
    <x v="223"/>
    <x v="1"/>
    <x v="19"/>
    <x v="19"/>
    <x v="8"/>
    <x v="19"/>
  </r>
  <r>
    <x v="825"/>
    <x v="86"/>
    <x v="3"/>
    <x v="13"/>
    <x v="2"/>
    <x v="27"/>
    <x v="69"/>
    <x v="223"/>
    <x v="0"/>
    <x v="92"/>
    <x v="92"/>
    <x v="13"/>
    <x v="92"/>
  </r>
  <r>
    <x v="826"/>
    <x v="145"/>
    <x v="3"/>
    <x v="14"/>
    <x v="0"/>
    <x v="45"/>
    <x v="125"/>
    <x v="223"/>
    <x v="1"/>
    <x v="48"/>
    <x v="48"/>
    <x v="14"/>
    <x v="48"/>
  </r>
  <r>
    <x v="827"/>
    <x v="103"/>
    <x v="4"/>
    <x v="21"/>
    <x v="1"/>
    <x v="44"/>
    <x v="92"/>
    <x v="224"/>
    <x v="1"/>
    <x v="35"/>
    <x v="35"/>
    <x v="21"/>
    <x v="35"/>
  </r>
  <r>
    <x v="828"/>
    <x v="25"/>
    <x v="2"/>
    <x v="15"/>
    <x v="2"/>
    <x v="20"/>
    <x v="25"/>
    <x v="224"/>
    <x v="3"/>
    <x v="72"/>
    <x v="72"/>
    <x v="15"/>
    <x v="72"/>
  </r>
  <r>
    <x v="829"/>
    <x v="178"/>
    <x v="4"/>
    <x v="21"/>
    <x v="1"/>
    <x v="32"/>
    <x v="148"/>
    <x v="224"/>
    <x v="2"/>
    <x v="43"/>
    <x v="43"/>
    <x v="21"/>
    <x v="43"/>
  </r>
  <r>
    <x v="830"/>
    <x v="145"/>
    <x v="3"/>
    <x v="16"/>
    <x v="0"/>
    <x v="41"/>
    <x v="125"/>
    <x v="224"/>
    <x v="1"/>
    <x v="52"/>
    <x v="52"/>
    <x v="16"/>
    <x v="52"/>
  </r>
  <r>
    <x v="831"/>
    <x v="132"/>
    <x v="0"/>
    <x v="0"/>
    <x v="2"/>
    <x v="0"/>
    <x v="113"/>
    <x v="225"/>
    <x v="2"/>
    <x v="62"/>
    <x v="62"/>
    <x v="0"/>
    <x v="62"/>
  </r>
  <r>
    <x v="832"/>
    <x v="132"/>
    <x v="2"/>
    <x v="15"/>
    <x v="2"/>
    <x v="20"/>
    <x v="113"/>
    <x v="225"/>
    <x v="2"/>
    <x v="80"/>
    <x v="80"/>
    <x v="15"/>
    <x v="80"/>
  </r>
  <r>
    <x v="833"/>
    <x v="147"/>
    <x v="4"/>
    <x v="21"/>
    <x v="0"/>
    <x v="32"/>
    <x v="127"/>
    <x v="225"/>
    <x v="3"/>
    <x v="70"/>
    <x v="70"/>
    <x v="21"/>
    <x v="70"/>
  </r>
  <r>
    <x v="834"/>
    <x v="91"/>
    <x v="2"/>
    <x v="15"/>
    <x v="1"/>
    <x v="20"/>
    <x v="82"/>
    <x v="225"/>
    <x v="2"/>
    <x v="80"/>
    <x v="80"/>
    <x v="15"/>
    <x v="80"/>
  </r>
  <r>
    <x v="835"/>
    <x v="34"/>
    <x v="4"/>
    <x v="9"/>
    <x v="0"/>
    <x v="10"/>
    <x v="33"/>
    <x v="225"/>
    <x v="1"/>
    <x v="29"/>
    <x v="29"/>
    <x v="9"/>
    <x v="29"/>
  </r>
  <r>
    <x v="836"/>
    <x v="1"/>
    <x v="4"/>
    <x v="11"/>
    <x v="1"/>
    <x v="13"/>
    <x v="1"/>
    <x v="226"/>
    <x v="2"/>
    <x v="20"/>
    <x v="20"/>
    <x v="11"/>
    <x v="20"/>
  </r>
  <r>
    <x v="837"/>
    <x v="93"/>
    <x v="4"/>
    <x v="12"/>
    <x v="2"/>
    <x v="14"/>
    <x v="83"/>
    <x v="226"/>
    <x v="2"/>
    <x v="47"/>
    <x v="47"/>
    <x v="12"/>
    <x v="47"/>
  </r>
  <r>
    <x v="838"/>
    <x v="55"/>
    <x v="4"/>
    <x v="12"/>
    <x v="2"/>
    <x v="17"/>
    <x v="52"/>
    <x v="226"/>
    <x v="1"/>
    <x v="15"/>
    <x v="15"/>
    <x v="12"/>
    <x v="15"/>
  </r>
  <r>
    <x v="839"/>
    <x v="97"/>
    <x v="1"/>
    <x v="1"/>
    <x v="0"/>
    <x v="1"/>
    <x v="86"/>
    <x v="226"/>
    <x v="0"/>
    <x v="36"/>
    <x v="36"/>
    <x v="1"/>
    <x v="36"/>
  </r>
  <r>
    <x v="840"/>
    <x v="177"/>
    <x v="1"/>
    <x v="1"/>
    <x v="0"/>
    <x v="1"/>
    <x v="115"/>
    <x v="227"/>
    <x v="3"/>
    <x v="90"/>
    <x v="90"/>
    <x v="1"/>
    <x v="90"/>
  </r>
  <r>
    <x v="841"/>
    <x v="173"/>
    <x v="0"/>
    <x v="24"/>
    <x v="0"/>
    <x v="47"/>
    <x v="145"/>
    <x v="227"/>
    <x v="1"/>
    <x v="53"/>
    <x v="53"/>
    <x v="24"/>
    <x v="53"/>
  </r>
  <r>
    <x v="842"/>
    <x v="105"/>
    <x v="0"/>
    <x v="0"/>
    <x v="0"/>
    <x v="15"/>
    <x v="94"/>
    <x v="227"/>
    <x v="1"/>
    <x v="93"/>
    <x v="93"/>
    <x v="0"/>
    <x v="93"/>
  </r>
  <r>
    <x v="843"/>
    <x v="45"/>
    <x v="3"/>
    <x v="13"/>
    <x v="2"/>
    <x v="27"/>
    <x v="44"/>
    <x v="227"/>
    <x v="3"/>
    <x v="68"/>
    <x v="68"/>
    <x v="13"/>
    <x v="68"/>
  </r>
  <r>
    <x v="844"/>
    <x v="56"/>
    <x v="2"/>
    <x v="3"/>
    <x v="2"/>
    <x v="5"/>
    <x v="53"/>
    <x v="227"/>
    <x v="1"/>
    <x v="5"/>
    <x v="5"/>
    <x v="3"/>
    <x v="5"/>
  </r>
  <r>
    <x v="845"/>
    <x v="78"/>
    <x v="0"/>
    <x v="10"/>
    <x v="0"/>
    <x v="11"/>
    <x v="72"/>
    <x v="228"/>
    <x v="1"/>
    <x v="94"/>
    <x v="94"/>
    <x v="10"/>
    <x v="94"/>
  </r>
  <r>
    <x v="846"/>
    <x v="115"/>
    <x v="0"/>
    <x v="18"/>
    <x v="2"/>
    <x v="25"/>
    <x v="100"/>
    <x v="228"/>
    <x v="3"/>
    <x v="28"/>
    <x v="28"/>
    <x v="18"/>
    <x v="28"/>
  </r>
  <r>
    <x v="847"/>
    <x v="17"/>
    <x v="2"/>
    <x v="15"/>
    <x v="0"/>
    <x v="46"/>
    <x v="17"/>
    <x v="228"/>
    <x v="1"/>
    <x v="88"/>
    <x v="88"/>
    <x v="15"/>
    <x v="88"/>
  </r>
  <r>
    <x v="848"/>
    <x v="109"/>
    <x v="1"/>
    <x v="1"/>
    <x v="2"/>
    <x v="33"/>
    <x v="79"/>
    <x v="228"/>
    <x v="0"/>
    <x v="36"/>
    <x v="36"/>
    <x v="1"/>
    <x v="36"/>
  </r>
  <r>
    <x v="849"/>
    <x v="137"/>
    <x v="3"/>
    <x v="14"/>
    <x v="1"/>
    <x v="19"/>
    <x v="118"/>
    <x v="228"/>
    <x v="0"/>
    <x v="86"/>
    <x v="86"/>
    <x v="14"/>
    <x v="86"/>
  </r>
  <r>
    <x v="850"/>
    <x v="123"/>
    <x v="1"/>
    <x v="22"/>
    <x v="3"/>
    <x v="40"/>
    <x v="106"/>
    <x v="229"/>
    <x v="2"/>
    <x v="38"/>
    <x v="38"/>
    <x v="22"/>
    <x v="38"/>
  </r>
  <r>
    <x v="851"/>
    <x v="164"/>
    <x v="3"/>
    <x v="20"/>
    <x v="2"/>
    <x v="31"/>
    <x v="141"/>
    <x v="229"/>
    <x v="3"/>
    <x v="32"/>
    <x v="32"/>
    <x v="20"/>
    <x v="32"/>
  </r>
  <r>
    <x v="852"/>
    <x v="177"/>
    <x v="4"/>
    <x v="21"/>
    <x v="0"/>
    <x v="32"/>
    <x v="115"/>
    <x v="230"/>
    <x v="1"/>
    <x v="35"/>
    <x v="35"/>
    <x v="21"/>
    <x v="35"/>
  </r>
  <r>
    <x v="853"/>
    <x v="169"/>
    <x v="3"/>
    <x v="14"/>
    <x v="3"/>
    <x v="45"/>
    <x v="114"/>
    <x v="230"/>
    <x v="3"/>
    <x v="22"/>
    <x v="22"/>
    <x v="14"/>
    <x v="22"/>
  </r>
  <r>
    <x v="854"/>
    <x v="6"/>
    <x v="4"/>
    <x v="17"/>
    <x v="3"/>
    <x v="30"/>
    <x v="6"/>
    <x v="230"/>
    <x v="0"/>
    <x v="61"/>
    <x v="61"/>
    <x v="17"/>
    <x v="61"/>
  </r>
  <r>
    <x v="855"/>
    <x v="141"/>
    <x v="3"/>
    <x v="14"/>
    <x v="2"/>
    <x v="45"/>
    <x v="121"/>
    <x v="230"/>
    <x v="3"/>
    <x v="22"/>
    <x v="22"/>
    <x v="14"/>
    <x v="22"/>
  </r>
  <r>
    <x v="856"/>
    <x v="148"/>
    <x v="2"/>
    <x v="15"/>
    <x v="3"/>
    <x v="46"/>
    <x v="128"/>
    <x v="230"/>
    <x v="1"/>
    <x v="88"/>
    <x v="88"/>
    <x v="15"/>
    <x v="88"/>
  </r>
  <r>
    <x v="857"/>
    <x v="91"/>
    <x v="3"/>
    <x v="8"/>
    <x v="1"/>
    <x v="43"/>
    <x v="82"/>
    <x v="231"/>
    <x v="1"/>
    <x v="19"/>
    <x v="19"/>
    <x v="8"/>
    <x v="19"/>
  </r>
  <r>
    <x v="858"/>
    <x v="20"/>
    <x v="1"/>
    <x v="19"/>
    <x v="3"/>
    <x v="28"/>
    <x v="20"/>
    <x v="231"/>
    <x v="1"/>
    <x v="46"/>
    <x v="46"/>
    <x v="19"/>
    <x v="46"/>
  </r>
  <r>
    <x v="859"/>
    <x v="20"/>
    <x v="0"/>
    <x v="10"/>
    <x v="3"/>
    <x v="18"/>
    <x v="20"/>
    <x v="231"/>
    <x v="1"/>
    <x v="94"/>
    <x v="94"/>
    <x v="10"/>
    <x v="94"/>
  </r>
  <r>
    <x v="860"/>
    <x v="27"/>
    <x v="4"/>
    <x v="17"/>
    <x v="0"/>
    <x v="30"/>
    <x v="26"/>
    <x v="231"/>
    <x v="2"/>
    <x v="33"/>
    <x v="33"/>
    <x v="17"/>
    <x v="33"/>
  </r>
  <r>
    <x v="861"/>
    <x v="158"/>
    <x v="0"/>
    <x v="10"/>
    <x v="3"/>
    <x v="11"/>
    <x v="137"/>
    <x v="231"/>
    <x v="3"/>
    <x v="12"/>
    <x v="12"/>
    <x v="10"/>
    <x v="12"/>
  </r>
  <r>
    <x v="862"/>
    <x v="77"/>
    <x v="0"/>
    <x v="0"/>
    <x v="2"/>
    <x v="15"/>
    <x v="28"/>
    <x v="231"/>
    <x v="3"/>
    <x v="98"/>
    <x v="98"/>
    <x v="0"/>
    <x v="98"/>
  </r>
  <r>
    <x v="863"/>
    <x v="44"/>
    <x v="2"/>
    <x v="23"/>
    <x v="3"/>
    <x v="49"/>
    <x v="43"/>
    <x v="232"/>
    <x v="2"/>
    <x v="69"/>
    <x v="69"/>
    <x v="23"/>
    <x v="69"/>
  </r>
  <r>
    <x v="864"/>
    <x v="77"/>
    <x v="3"/>
    <x v="20"/>
    <x v="2"/>
    <x v="29"/>
    <x v="28"/>
    <x v="232"/>
    <x v="0"/>
    <x v="66"/>
    <x v="66"/>
    <x v="20"/>
    <x v="66"/>
  </r>
  <r>
    <x v="865"/>
    <x v="56"/>
    <x v="0"/>
    <x v="10"/>
    <x v="2"/>
    <x v="11"/>
    <x v="53"/>
    <x v="232"/>
    <x v="2"/>
    <x v="26"/>
    <x v="26"/>
    <x v="10"/>
    <x v="26"/>
  </r>
  <r>
    <x v="866"/>
    <x v="28"/>
    <x v="1"/>
    <x v="19"/>
    <x v="0"/>
    <x v="38"/>
    <x v="27"/>
    <x v="233"/>
    <x v="0"/>
    <x v="30"/>
    <x v="30"/>
    <x v="19"/>
    <x v="30"/>
  </r>
  <r>
    <x v="867"/>
    <x v="139"/>
    <x v="2"/>
    <x v="4"/>
    <x v="3"/>
    <x v="4"/>
    <x v="31"/>
    <x v="233"/>
    <x v="3"/>
    <x v="4"/>
    <x v="4"/>
    <x v="4"/>
    <x v="4"/>
  </r>
  <r>
    <x v="868"/>
    <x v="87"/>
    <x v="4"/>
    <x v="11"/>
    <x v="2"/>
    <x v="26"/>
    <x v="79"/>
    <x v="233"/>
    <x v="0"/>
    <x v="76"/>
    <x v="76"/>
    <x v="11"/>
    <x v="76"/>
  </r>
  <r>
    <x v="869"/>
    <x v="124"/>
    <x v="3"/>
    <x v="20"/>
    <x v="1"/>
    <x v="31"/>
    <x v="107"/>
    <x v="233"/>
    <x v="3"/>
    <x v="32"/>
    <x v="32"/>
    <x v="20"/>
    <x v="32"/>
  </r>
  <r>
    <x v="870"/>
    <x v="52"/>
    <x v="1"/>
    <x v="22"/>
    <x v="0"/>
    <x v="40"/>
    <x v="49"/>
    <x v="233"/>
    <x v="2"/>
    <x v="38"/>
    <x v="38"/>
    <x v="22"/>
    <x v="38"/>
  </r>
  <r>
    <x v="871"/>
    <x v="139"/>
    <x v="3"/>
    <x v="13"/>
    <x v="3"/>
    <x v="27"/>
    <x v="31"/>
    <x v="234"/>
    <x v="3"/>
    <x v="68"/>
    <x v="68"/>
    <x v="13"/>
    <x v="68"/>
  </r>
  <r>
    <x v="872"/>
    <x v="157"/>
    <x v="1"/>
    <x v="6"/>
    <x v="2"/>
    <x v="7"/>
    <x v="136"/>
    <x v="234"/>
    <x v="2"/>
    <x v="83"/>
    <x v="83"/>
    <x v="6"/>
    <x v="83"/>
  </r>
  <r>
    <x v="873"/>
    <x v="36"/>
    <x v="4"/>
    <x v="12"/>
    <x v="2"/>
    <x v="14"/>
    <x v="35"/>
    <x v="234"/>
    <x v="0"/>
    <x v="87"/>
    <x v="87"/>
    <x v="12"/>
    <x v="87"/>
  </r>
  <r>
    <x v="874"/>
    <x v="151"/>
    <x v="0"/>
    <x v="0"/>
    <x v="0"/>
    <x v="15"/>
    <x v="131"/>
    <x v="234"/>
    <x v="0"/>
    <x v="0"/>
    <x v="0"/>
    <x v="0"/>
    <x v="0"/>
  </r>
  <r>
    <x v="875"/>
    <x v="69"/>
    <x v="0"/>
    <x v="0"/>
    <x v="1"/>
    <x v="15"/>
    <x v="66"/>
    <x v="234"/>
    <x v="1"/>
    <x v="93"/>
    <x v="93"/>
    <x v="0"/>
    <x v="93"/>
  </r>
  <r>
    <x v="876"/>
    <x v="146"/>
    <x v="3"/>
    <x v="14"/>
    <x v="1"/>
    <x v="19"/>
    <x v="126"/>
    <x v="235"/>
    <x v="3"/>
    <x v="22"/>
    <x v="22"/>
    <x v="14"/>
    <x v="22"/>
  </r>
  <r>
    <x v="877"/>
    <x v="28"/>
    <x v="1"/>
    <x v="19"/>
    <x v="0"/>
    <x v="28"/>
    <x v="27"/>
    <x v="236"/>
    <x v="2"/>
    <x v="95"/>
    <x v="95"/>
    <x v="19"/>
    <x v="95"/>
  </r>
  <r>
    <x v="878"/>
    <x v="109"/>
    <x v="2"/>
    <x v="15"/>
    <x v="2"/>
    <x v="20"/>
    <x v="79"/>
    <x v="236"/>
    <x v="3"/>
    <x v="72"/>
    <x v="72"/>
    <x v="15"/>
    <x v="72"/>
  </r>
  <r>
    <x v="879"/>
    <x v="21"/>
    <x v="2"/>
    <x v="3"/>
    <x v="2"/>
    <x v="5"/>
    <x v="21"/>
    <x v="236"/>
    <x v="3"/>
    <x v="3"/>
    <x v="3"/>
    <x v="3"/>
    <x v="3"/>
  </r>
  <r>
    <x v="880"/>
    <x v="81"/>
    <x v="0"/>
    <x v="5"/>
    <x v="2"/>
    <x v="12"/>
    <x v="74"/>
    <x v="237"/>
    <x v="1"/>
    <x v="99"/>
    <x v="99"/>
    <x v="5"/>
    <x v="99"/>
  </r>
  <r>
    <x v="881"/>
    <x v="151"/>
    <x v="0"/>
    <x v="18"/>
    <x v="0"/>
    <x v="39"/>
    <x v="131"/>
    <x v="237"/>
    <x v="3"/>
    <x v="28"/>
    <x v="28"/>
    <x v="18"/>
    <x v="28"/>
  </r>
  <r>
    <x v="882"/>
    <x v="158"/>
    <x v="1"/>
    <x v="7"/>
    <x v="3"/>
    <x v="34"/>
    <x v="137"/>
    <x v="237"/>
    <x v="2"/>
    <x v="82"/>
    <x v="82"/>
    <x v="7"/>
    <x v="82"/>
  </r>
  <r>
    <x v="883"/>
    <x v="162"/>
    <x v="4"/>
    <x v="9"/>
    <x v="3"/>
    <x v="23"/>
    <x v="126"/>
    <x v="237"/>
    <x v="1"/>
    <x v="29"/>
    <x v="29"/>
    <x v="9"/>
    <x v="29"/>
  </r>
  <r>
    <x v="884"/>
    <x v="118"/>
    <x v="4"/>
    <x v="12"/>
    <x v="3"/>
    <x v="17"/>
    <x v="103"/>
    <x v="238"/>
    <x v="1"/>
    <x v="15"/>
    <x v="15"/>
    <x v="12"/>
    <x v="15"/>
  </r>
  <r>
    <x v="885"/>
    <x v="68"/>
    <x v="1"/>
    <x v="19"/>
    <x v="0"/>
    <x v="28"/>
    <x v="65"/>
    <x v="238"/>
    <x v="0"/>
    <x v="30"/>
    <x v="30"/>
    <x v="19"/>
    <x v="30"/>
  </r>
  <r>
    <x v="886"/>
    <x v="130"/>
    <x v="0"/>
    <x v="24"/>
    <x v="2"/>
    <x v="47"/>
    <x v="111"/>
    <x v="239"/>
    <x v="1"/>
    <x v="53"/>
    <x v="53"/>
    <x v="24"/>
    <x v="53"/>
  </r>
  <r>
    <x v="887"/>
    <x v="174"/>
    <x v="2"/>
    <x v="15"/>
    <x v="2"/>
    <x v="46"/>
    <x v="146"/>
    <x v="239"/>
    <x v="3"/>
    <x v="72"/>
    <x v="72"/>
    <x v="15"/>
    <x v="72"/>
  </r>
  <r>
    <x v="888"/>
    <x v="51"/>
    <x v="3"/>
    <x v="14"/>
    <x v="0"/>
    <x v="19"/>
    <x v="40"/>
    <x v="239"/>
    <x v="2"/>
    <x v="40"/>
    <x v="40"/>
    <x v="14"/>
    <x v="40"/>
  </r>
  <r>
    <x v="889"/>
    <x v="176"/>
    <x v="3"/>
    <x v="20"/>
    <x v="0"/>
    <x v="29"/>
    <x v="62"/>
    <x v="239"/>
    <x v="0"/>
    <x v="66"/>
    <x v="66"/>
    <x v="20"/>
    <x v="66"/>
  </r>
  <r>
    <x v="890"/>
    <x v="86"/>
    <x v="3"/>
    <x v="14"/>
    <x v="2"/>
    <x v="45"/>
    <x v="69"/>
    <x v="239"/>
    <x v="0"/>
    <x v="86"/>
    <x v="86"/>
    <x v="14"/>
    <x v="86"/>
  </r>
  <r>
    <x v="891"/>
    <x v="61"/>
    <x v="3"/>
    <x v="13"/>
    <x v="2"/>
    <x v="27"/>
    <x v="58"/>
    <x v="239"/>
    <x v="2"/>
    <x v="17"/>
    <x v="17"/>
    <x v="13"/>
    <x v="17"/>
  </r>
  <r>
    <x v="892"/>
    <x v="89"/>
    <x v="2"/>
    <x v="15"/>
    <x v="2"/>
    <x v="20"/>
    <x v="80"/>
    <x v="240"/>
    <x v="0"/>
    <x v="23"/>
    <x v="23"/>
    <x v="15"/>
    <x v="23"/>
  </r>
  <r>
    <x v="893"/>
    <x v="26"/>
    <x v="1"/>
    <x v="6"/>
    <x v="2"/>
    <x v="37"/>
    <x v="12"/>
    <x v="240"/>
    <x v="3"/>
    <x v="91"/>
    <x v="91"/>
    <x v="6"/>
    <x v="91"/>
  </r>
  <r>
    <x v="894"/>
    <x v="77"/>
    <x v="0"/>
    <x v="5"/>
    <x v="2"/>
    <x v="6"/>
    <x v="28"/>
    <x v="240"/>
    <x v="0"/>
    <x v="13"/>
    <x v="13"/>
    <x v="5"/>
    <x v="13"/>
  </r>
  <r>
    <x v="895"/>
    <x v="53"/>
    <x v="4"/>
    <x v="11"/>
    <x v="0"/>
    <x v="26"/>
    <x v="50"/>
    <x v="241"/>
    <x v="2"/>
    <x v="20"/>
    <x v="20"/>
    <x v="11"/>
    <x v="20"/>
  </r>
  <r>
    <x v="896"/>
    <x v="53"/>
    <x v="3"/>
    <x v="13"/>
    <x v="0"/>
    <x v="16"/>
    <x v="50"/>
    <x v="241"/>
    <x v="0"/>
    <x v="92"/>
    <x v="92"/>
    <x v="13"/>
    <x v="92"/>
  </r>
  <r>
    <x v="897"/>
    <x v="78"/>
    <x v="0"/>
    <x v="10"/>
    <x v="0"/>
    <x v="18"/>
    <x v="72"/>
    <x v="241"/>
    <x v="0"/>
    <x v="21"/>
    <x v="21"/>
    <x v="10"/>
    <x v="21"/>
  </r>
  <r>
    <x v="898"/>
    <x v="68"/>
    <x v="4"/>
    <x v="12"/>
    <x v="0"/>
    <x v="14"/>
    <x v="65"/>
    <x v="241"/>
    <x v="1"/>
    <x v="15"/>
    <x v="15"/>
    <x v="12"/>
    <x v="15"/>
  </r>
  <r>
    <x v="899"/>
    <x v="56"/>
    <x v="3"/>
    <x v="16"/>
    <x v="2"/>
    <x v="21"/>
    <x v="53"/>
    <x v="241"/>
    <x v="0"/>
    <x v="24"/>
    <x v="24"/>
    <x v="16"/>
    <x v="24"/>
  </r>
  <r>
    <x v="900"/>
    <x v="161"/>
    <x v="1"/>
    <x v="6"/>
    <x v="2"/>
    <x v="37"/>
    <x v="140"/>
    <x v="242"/>
    <x v="2"/>
    <x v="83"/>
    <x v="83"/>
    <x v="6"/>
    <x v="83"/>
  </r>
  <r>
    <x v="901"/>
    <x v="156"/>
    <x v="2"/>
    <x v="4"/>
    <x v="2"/>
    <x v="24"/>
    <x v="135"/>
    <x v="242"/>
    <x v="0"/>
    <x v="44"/>
    <x v="44"/>
    <x v="4"/>
    <x v="44"/>
  </r>
  <r>
    <x v="902"/>
    <x v="115"/>
    <x v="4"/>
    <x v="12"/>
    <x v="2"/>
    <x v="17"/>
    <x v="100"/>
    <x v="242"/>
    <x v="2"/>
    <x v="47"/>
    <x v="47"/>
    <x v="12"/>
    <x v="47"/>
  </r>
  <r>
    <x v="903"/>
    <x v="141"/>
    <x v="2"/>
    <x v="2"/>
    <x v="2"/>
    <x v="2"/>
    <x v="121"/>
    <x v="242"/>
    <x v="2"/>
    <x v="2"/>
    <x v="2"/>
    <x v="2"/>
    <x v="2"/>
  </r>
  <r>
    <x v="904"/>
    <x v="55"/>
    <x v="4"/>
    <x v="9"/>
    <x v="2"/>
    <x v="23"/>
    <x v="52"/>
    <x v="243"/>
    <x v="0"/>
    <x v="39"/>
    <x v="39"/>
    <x v="9"/>
    <x v="39"/>
  </r>
  <r>
    <x v="905"/>
    <x v="125"/>
    <x v="1"/>
    <x v="6"/>
    <x v="1"/>
    <x v="7"/>
    <x v="106"/>
    <x v="243"/>
    <x v="1"/>
    <x v="8"/>
    <x v="8"/>
    <x v="6"/>
    <x v="8"/>
  </r>
  <r>
    <x v="906"/>
    <x v="162"/>
    <x v="1"/>
    <x v="6"/>
    <x v="3"/>
    <x v="37"/>
    <x v="126"/>
    <x v="243"/>
    <x v="2"/>
    <x v="83"/>
    <x v="83"/>
    <x v="6"/>
    <x v="83"/>
  </r>
  <r>
    <x v="907"/>
    <x v="99"/>
    <x v="4"/>
    <x v="11"/>
    <x v="1"/>
    <x v="13"/>
    <x v="88"/>
    <x v="243"/>
    <x v="2"/>
    <x v="20"/>
    <x v="20"/>
    <x v="11"/>
    <x v="20"/>
  </r>
  <r>
    <x v="908"/>
    <x v="92"/>
    <x v="4"/>
    <x v="21"/>
    <x v="2"/>
    <x v="32"/>
    <x v="43"/>
    <x v="244"/>
    <x v="0"/>
    <x v="64"/>
    <x v="64"/>
    <x v="21"/>
    <x v="64"/>
  </r>
  <r>
    <x v="909"/>
    <x v="76"/>
    <x v="1"/>
    <x v="6"/>
    <x v="2"/>
    <x v="7"/>
    <x v="71"/>
    <x v="244"/>
    <x v="0"/>
    <x v="42"/>
    <x v="42"/>
    <x v="6"/>
    <x v="42"/>
  </r>
  <r>
    <x v="910"/>
    <x v="168"/>
    <x v="4"/>
    <x v="11"/>
    <x v="2"/>
    <x v="13"/>
    <x v="142"/>
    <x v="245"/>
    <x v="0"/>
    <x v="76"/>
    <x v="76"/>
    <x v="11"/>
    <x v="76"/>
  </r>
  <r>
    <x v="911"/>
    <x v="147"/>
    <x v="1"/>
    <x v="6"/>
    <x v="0"/>
    <x v="37"/>
    <x v="127"/>
    <x v="245"/>
    <x v="1"/>
    <x v="8"/>
    <x v="8"/>
    <x v="6"/>
    <x v="8"/>
  </r>
  <r>
    <x v="912"/>
    <x v="36"/>
    <x v="0"/>
    <x v="18"/>
    <x v="2"/>
    <x v="39"/>
    <x v="35"/>
    <x v="245"/>
    <x v="0"/>
    <x v="78"/>
    <x v="78"/>
    <x v="18"/>
    <x v="78"/>
  </r>
  <r>
    <x v="913"/>
    <x v="2"/>
    <x v="2"/>
    <x v="3"/>
    <x v="0"/>
    <x v="3"/>
    <x v="2"/>
    <x v="245"/>
    <x v="3"/>
    <x v="3"/>
    <x v="3"/>
    <x v="3"/>
    <x v="3"/>
  </r>
  <r>
    <x v="914"/>
    <x v="114"/>
    <x v="0"/>
    <x v="0"/>
    <x v="1"/>
    <x v="0"/>
    <x v="99"/>
    <x v="245"/>
    <x v="3"/>
    <x v="98"/>
    <x v="98"/>
    <x v="0"/>
    <x v="98"/>
  </r>
  <r>
    <x v="915"/>
    <x v="154"/>
    <x v="1"/>
    <x v="6"/>
    <x v="0"/>
    <x v="7"/>
    <x v="133"/>
    <x v="245"/>
    <x v="3"/>
    <x v="91"/>
    <x v="91"/>
    <x v="6"/>
    <x v="91"/>
  </r>
  <r>
    <x v="916"/>
    <x v="145"/>
    <x v="0"/>
    <x v="0"/>
    <x v="0"/>
    <x v="15"/>
    <x v="125"/>
    <x v="245"/>
    <x v="3"/>
    <x v="98"/>
    <x v="98"/>
    <x v="0"/>
    <x v="98"/>
  </r>
  <r>
    <x v="917"/>
    <x v="117"/>
    <x v="4"/>
    <x v="21"/>
    <x v="2"/>
    <x v="32"/>
    <x v="102"/>
    <x v="246"/>
    <x v="2"/>
    <x v="43"/>
    <x v="43"/>
    <x v="21"/>
    <x v="43"/>
  </r>
  <r>
    <x v="918"/>
    <x v="36"/>
    <x v="3"/>
    <x v="16"/>
    <x v="2"/>
    <x v="21"/>
    <x v="35"/>
    <x v="247"/>
    <x v="2"/>
    <x v="59"/>
    <x v="59"/>
    <x v="16"/>
    <x v="59"/>
  </r>
  <r>
    <x v="919"/>
    <x v="177"/>
    <x v="4"/>
    <x v="17"/>
    <x v="0"/>
    <x v="30"/>
    <x v="115"/>
    <x v="248"/>
    <x v="1"/>
    <x v="58"/>
    <x v="58"/>
    <x v="17"/>
    <x v="58"/>
  </r>
  <r>
    <x v="920"/>
    <x v="163"/>
    <x v="0"/>
    <x v="10"/>
    <x v="2"/>
    <x v="18"/>
    <x v="35"/>
    <x v="248"/>
    <x v="1"/>
    <x v="94"/>
    <x v="94"/>
    <x v="10"/>
    <x v="94"/>
  </r>
  <r>
    <x v="921"/>
    <x v="117"/>
    <x v="3"/>
    <x v="20"/>
    <x v="2"/>
    <x v="29"/>
    <x v="102"/>
    <x v="248"/>
    <x v="2"/>
    <x v="45"/>
    <x v="45"/>
    <x v="20"/>
    <x v="45"/>
  </r>
  <r>
    <x v="922"/>
    <x v="152"/>
    <x v="4"/>
    <x v="21"/>
    <x v="2"/>
    <x v="44"/>
    <x v="132"/>
    <x v="248"/>
    <x v="1"/>
    <x v="35"/>
    <x v="35"/>
    <x v="21"/>
    <x v="35"/>
  </r>
  <r>
    <x v="923"/>
    <x v="73"/>
    <x v="3"/>
    <x v="16"/>
    <x v="0"/>
    <x v="21"/>
    <x v="68"/>
    <x v="248"/>
    <x v="0"/>
    <x v="24"/>
    <x v="24"/>
    <x v="16"/>
    <x v="24"/>
  </r>
  <r>
    <x v="924"/>
    <x v="87"/>
    <x v="4"/>
    <x v="12"/>
    <x v="2"/>
    <x v="14"/>
    <x v="79"/>
    <x v="249"/>
    <x v="0"/>
    <x v="87"/>
    <x v="87"/>
    <x v="12"/>
    <x v="87"/>
  </r>
  <r>
    <x v="925"/>
    <x v="134"/>
    <x v="4"/>
    <x v="9"/>
    <x v="0"/>
    <x v="10"/>
    <x v="115"/>
    <x v="249"/>
    <x v="3"/>
    <x v="11"/>
    <x v="11"/>
    <x v="9"/>
    <x v="11"/>
  </r>
  <r>
    <x v="926"/>
    <x v="118"/>
    <x v="4"/>
    <x v="12"/>
    <x v="3"/>
    <x v="14"/>
    <x v="103"/>
    <x v="249"/>
    <x v="1"/>
    <x v="15"/>
    <x v="15"/>
    <x v="12"/>
    <x v="15"/>
  </r>
  <r>
    <x v="927"/>
    <x v="142"/>
    <x v="4"/>
    <x v="17"/>
    <x v="1"/>
    <x v="30"/>
    <x v="122"/>
    <x v="249"/>
    <x v="3"/>
    <x v="25"/>
    <x v="25"/>
    <x v="17"/>
    <x v="25"/>
  </r>
  <r>
    <x v="928"/>
    <x v="64"/>
    <x v="2"/>
    <x v="23"/>
    <x v="2"/>
    <x v="49"/>
    <x v="61"/>
    <x v="250"/>
    <x v="0"/>
    <x v="41"/>
    <x v="41"/>
    <x v="23"/>
    <x v="41"/>
  </r>
  <r>
    <x v="929"/>
    <x v="165"/>
    <x v="4"/>
    <x v="12"/>
    <x v="2"/>
    <x v="14"/>
    <x v="67"/>
    <x v="250"/>
    <x v="1"/>
    <x v="15"/>
    <x v="15"/>
    <x v="12"/>
    <x v="15"/>
  </r>
  <r>
    <x v="930"/>
    <x v="158"/>
    <x v="4"/>
    <x v="9"/>
    <x v="3"/>
    <x v="10"/>
    <x v="137"/>
    <x v="250"/>
    <x v="3"/>
    <x v="11"/>
    <x v="11"/>
    <x v="9"/>
    <x v="11"/>
  </r>
  <r>
    <x v="931"/>
    <x v="116"/>
    <x v="4"/>
    <x v="17"/>
    <x v="3"/>
    <x v="30"/>
    <x v="101"/>
    <x v="250"/>
    <x v="1"/>
    <x v="58"/>
    <x v="58"/>
    <x v="17"/>
    <x v="58"/>
  </r>
  <r>
    <x v="932"/>
    <x v="88"/>
    <x v="2"/>
    <x v="23"/>
    <x v="2"/>
    <x v="49"/>
    <x v="12"/>
    <x v="251"/>
    <x v="0"/>
    <x v="41"/>
    <x v="41"/>
    <x v="23"/>
    <x v="41"/>
  </r>
  <r>
    <x v="933"/>
    <x v="52"/>
    <x v="1"/>
    <x v="1"/>
    <x v="0"/>
    <x v="33"/>
    <x v="49"/>
    <x v="251"/>
    <x v="1"/>
    <x v="1"/>
    <x v="1"/>
    <x v="1"/>
    <x v="1"/>
  </r>
  <r>
    <x v="934"/>
    <x v="69"/>
    <x v="0"/>
    <x v="10"/>
    <x v="1"/>
    <x v="11"/>
    <x v="66"/>
    <x v="251"/>
    <x v="2"/>
    <x v="26"/>
    <x v="26"/>
    <x v="10"/>
    <x v="26"/>
  </r>
  <r>
    <x v="935"/>
    <x v="76"/>
    <x v="3"/>
    <x v="16"/>
    <x v="2"/>
    <x v="41"/>
    <x v="71"/>
    <x v="251"/>
    <x v="3"/>
    <x v="81"/>
    <x v="81"/>
    <x v="16"/>
    <x v="81"/>
  </r>
  <r>
    <x v="936"/>
    <x v="114"/>
    <x v="2"/>
    <x v="15"/>
    <x v="1"/>
    <x v="20"/>
    <x v="99"/>
    <x v="251"/>
    <x v="2"/>
    <x v="80"/>
    <x v="80"/>
    <x v="15"/>
    <x v="80"/>
  </r>
  <r>
    <x v="937"/>
    <x v="39"/>
    <x v="4"/>
    <x v="12"/>
    <x v="0"/>
    <x v="17"/>
    <x v="38"/>
    <x v="252"/>
    <x v="3"/>
    <x v="16"/>
    <x v="16"/>
    <x v="12"/>
    <x v="16"/>
  </r>
  <r>
    <x v="938"/>
    <x v="52"/>
    <x v="2"/>
    <x v="3"/>
    <x v="0"/>
    <x v="5"/>
    <x v="49"/>
    <x v="252"/>
    <x v="0"/>
    <x v="74"/>
    <x v="74"/>
    <x v="3"/>
    <x v="74"/>
  </r>
  <r>
    <x v="939"/>
    <x v="176"/>
    <x v="0"/>
    <x v="5"/>
    <x v="0"/>
    <x v="12"/>
    <x v="62"/>
    <x v="252"/>
    <x v="1"/>
    <x v="99"/>
    <x v="99"/>
    <x v="5"/>
    <x v="99"/>
  </r>
  <r>
    <x v="940"/>
    <x v="160"/>
    <x v="1"/>
    <x v="6"/>
    <x v="2"/>
    <x v="7"/>
    <x v="139"/>
    <x v="252"/>
    <x v="0"/>
    <x v="42"/>
    <x v="42"/>
    <x v="6"/>
    <x v="42"/>
  </r>
  <r>
    <x v="941"/>
    <x v="7"/>
    <x v="3"/>
    <x v="20"/>
    <x v="0"/>
    <x v="31"/>
    <x v="7"/>
    <x v="252"/>
    <x v="1"/>
    <x v="49"/>
    <x v="49"/>
    <x v="20"/>
    <x v="49"/>
  </r>
  <r>
    <x v="942"/>
    <x v="72"/>
    <x v="1"/>
    <x v="22"/>
    <x v="2"/>
    <x v="35"/>
    <x v="67"/>
    <x v="253"/>
    <x v="2"/>
    <x v="38"/>
    <x v="38"/>
    <x v="22"/>
    <x v="38"/>
  </r>
  <r>
    <x v="943"/>
    <x v="111"/>
    <x v="3"/>
    <x v="20"/>
    <x v="0"/>
    <x v="29"/>
    <x v="19"/>
    <x v="253"/>
    <x v="2"/>
    <x v="45"/>
    <x v="45"/>
    <x v="20"/>
    <x v="45"/>
  </r>
  <r>
    <x v="944"/>
    <x v="169"/>
    <x v="2"/>
    <x v="2"/>
    <x v="3"/>
    <x v="2"/>
    <x v="114"/>
    <x v="253"/>
    <x v="3"/>
    <x v="34"/>
    <x v="34"/>
    <x v="2"/>
    <x v="34"/>
  </r>
  <r>
    <x v="945"/>
    <x v="67"/>
    <x v="4"/>
    <x v="17"/>
    <x v="0"/>
    <x v="30"/>
    <x v="64"/>
    <x v="254"/>
    <x v="0"/>
    <x v="61"/>
    <x v="61"/>
    <x v="17"/>
    <x v="61"/>
  </r>
  <r>
    <x v="946"/>
    <x v="103"/>
    <x v="2"/>
    <x v="3"/>
    <x v="1"/>
    <x v="3"/>
    <x v="92"/>
    <x v="254"/>
    <x v="3"/>
    <x v="3"/>
    <x v="3"/>
    <x v="3"/>
    <x v="3"/>
  </r>
  <r>
    <x v="947"/>
    <x v="73"/>
    <x v="1"/>
    <x v="19"/>
    <x v="0"/>
    <x v="28"/>
    <x v="68"/>
    <x v="254"/>
    <x v="2"/>
    <x v="95"/>
    <x v="95"/>
    <x v="19"/>
    <x v="95"/>
  </r>
  <r>
    <x v="948"/>
    <x v="97"/>
    <x v="0"/>
    <x v="18"/>
    <x v="0"/>
    <x v="39"/>
    <x v="86"/>
    <x v="254"/>
    <x v="3"/>
    <x v="28"/>
    <x v="28"/>
    <x v="18"/>
    <x v="28"/>
  </r>
  <r>
    <x v="949"/>
    <x v="24"/>
    <x v="3"/>
    <x v="16"/>
    <x v="2"/>
    <x v="21"/>
    <x v="24"/>
    <x v="254"/>
    <x v="0"/>
    <x v="24"/>
    <x v="24"/>
    <x v="16"/>
    <x v="24"/>
  </r>
  <r>
    <x v="950"/>
    <x v="102"/>
    <x v="2"/>
    <x v="3"/>
    <x v="0"/>
    <x v="3"/>
    <x v="91"/>
    <x v="255"/>
    <x v="0"/>
    <x v="74"/>
    <x v="74"/>
    <x v="3"/>
    <x v="74"/>
  </r>
  <r>
    <x v="951"/>
    <x v="133"/>
    <x v="2"/>
    <x v="15"/>
    <x v="0"/>
    <x v="20"/>
    <x v="114"/>
    <x v="255"/>
    <x v="2"/>
    <x v="80"/>
    <x v="80"/>
    <x v="15"/>
    <x v="80"/>
  </r>
  <r>
    <x v="952"/>
    <x v="134"/>
    <x v="2"/>
    <x v="2"/>
    <x v="0"/>
    <x v="2"/>
    <x v="115"/>
    <x v="255"/>
    <x v="3"/>
    <x v="34"/>
    <x v="34"/>
    <x v="2"/>
    <x v="34"/>
  </r>
  <r>
    <x v="953"/>
    <x v="27"/>
    <x v="0"/>
    <x v="0"/>
    <x v="0"/>
    <x v="0"/>
    <x v="26"/>
    <x v="255"/>
    <x v="1"/>
    <x v="93"/>
    <x v="93"/>
    <x v="0"/>
    <x v="93"/>
  </r>
  <r>
    <x v="954"/>
    <x v="76"/>
    <x v="4"/>
    <x v="11"/>
    <x v="2"/>
    <x v="13"/>
    <x v="71"/>
    <x v="255"/>
    <x v="1"/>
    <x v="89"/>
    <x v="89"/>
    <x v="11"/>
    <x v="89"/>
  </r>
  <r>
    <x v="955"/>
    <x v="58"/>
    <x v="1"/>
    <x v="1"/>
    <x v="0"/>
    <x v="1"/>
    <x v="55"/>
    <x v="255"/>
    <x v="1"/>
    <x v="1"/>
    <x v="1"/>
    <x v="1"/>
    <x v="1"/>
  </r>
  <r>
    <x v="956"/>
    <x v="50"/>
    <x v="2"/>
    <x v="4"/>
    <x v="2"/>
    <x v="4"/>
    <x v="48"/>
    <x v="256"/>
    <x v="3"/>
    <x v="4"/>
    <x v="4"/>
    <x v="4"/>
    <x v="4"/>
  </r>
  <r>
    <x v="957"/>
    <x v="73"/>
    <x v="2"/>
    <x v="4"/>
    <x v="0"/>
    <x v="4"/>
    <x v="68"/>
    <x v="256"/>
    <x v="3"/>
    <x v="4"/>
    <x v="4"/>
    <x v="4"/>
    <x v="4"/>
  </r>
  <r>
    <x v="958"/>
    <x v="27"/>
    <x v="2"/>
    <x v="15"/>
    <x v="0"/>
    <x v="20"/>
    <x v="26"/>
    <x v="256"/>
    <x v="3"/>
    <x v="72"/>
    <x v="72"/>
    <x v="15"/>
    <x v="72"/>
  </r>
  <r>
    <x v="959"/>
    <x v="103"/>
    <x v="3"/>
    <x v="13"/>
    <x v="1"/>
    <x v="27"/>
    <x v="92"/>
    <x v="257"/>
    <x v="0"/>
    <x v="92"/>
    <x v="92"/>
    <x v="13"/>
    <x v="92"/>
  </r>
  <r>
    <x v="960"/>
    <x v="17"/>
    <x v="4"/>
    <x v="21"/>
    <x v="0"/>
    <x v="32"/>
    <x v="17"/>
    <x v="257"/>
    <x v="0"/>
    <x v="64"/>
    <x v="64"/>
    <x v="21"/>
    <x v="64"/>
  </r>
  <r>
    <x v="961"/>
    <x v="101"/>
    <x v="3"/>
    <x v="16"/>
    <x v="3"/>
    <x v="41"/>
    <x v="90"/>
    <x v="257"/>
    <x v="0"/>
    <x v="24"/>
    <x v="24"/>
    <x v="16"/>
    <x v="24"/>
  </r>
  <r>
    <x v="962"/>
    <x v="34"/>
    <x v="0"/>
    <x v="24"/>
    <x v="0"/>
    <x v="42"/>
    <x v="33"/>
    <x v="257"/>
    <x v="3"/>
    <x v="77"/>
    <x v="77"/>
    <x v="24"/>
    <x v="77"/>
  </r>
  <r>
    <x v="963"/>
    <x v="99"/>
    <x v="3"/>
    <x v="14"/>
    <x v="1"/>
    <x v="19"/>
    <x v="88"/>
    <x v="257"/>
    <x v="2"/>
    <x v="40"/>
    <x v="40"/>
    <x v="14"/>
    <x v="40"/>
  </r>
  <r>
    <x v="964"/>
    <x v="173"/>
    <x v="4"/>
    <x v="9"/>
    <x v="0"/>
    <x v="23"/>
    <x v="145"/>
    <x v="258"/>
    <x v="3"/>
    <x v="11"/>
    <x v="11"/>
    <x v="9"/>
    <x v="11"/>
  </r>
  <r>
    <x v="965"/>
    <x v="151"/>
    <x v="0"/>
    <x v="10"/>
    <x v="0"/>
    <x v="18"/>
    <x v="131"/>
    <x v="258"/>
    <x v="3"/>
    <x v="12"/>
    <x v="12"/>
    <x v="10"/>
    <x v="12"/>
  </r>
  <r>
    <x v="966"/>
    <x v="22"/>
    <x v="2"/>
    <x v="15"/>
    <x v="2"/>
    <x v="20"/>
    <x v="22"/>
    <x v="258"/>
    <x v="0"/>
    <x v="23"/>
    <x v="23"/>
    <x v="15"/>
    <x v="23"/>
  </r>
  <r>
    <x v="967"/>
    <x v="10"/>
    <x v="0"/>
    <x v="24"/>
    <x v="0"/>
    <x v="42"/>
    <x v="10"/>
    <x v="258"/>
    <x v="2"/>
    <x v="67"/>
    <x v="67"/>
    <x v="24"/>
    <x v="67"/>
  </r>
  <r>
    <x v="968"/>
    <x v="99"/>
    <x v="3"/>
    <x v="20"/>
    <x v="1"/>
    <x v="29"/>
    <x v="88"/>
    <x v="258"/>
    <x v="0"/>
    <x v="66"/>
    <x v="66"/>
    <x v="20"/>
    <x v="66"/>
  </r>
  <r>
    <x v="969"/>
    <x v="90"/>
    <x v="1"/>
    <x v="6"/>
    <x v="2"/>
    <x v="37"/>
    <x v="81"/>
    <x v="259"/>
    <x v="3"/>
    <x v="91"/>
    <x v="91"/>
    <x v="6"/>
    <x v="91"/>
  </r>
  <r>
    <x v="970"/>
    <x v="122"/>
    <x v="0"/>
    <x v="5"/>
    <x v="3"/>
    <x v="6"/>
    <x v="105"/>
    <x v="260"/>
    <x v="3"/>
    <x v="6"/>
    <x v="6"/>
    <x v="5"/>
    <x v="6"/>
  </r>
  <r>
    <x v="971"/>
    <x v="112"/>
    <x v="1"/>
    <x v="19"/>
    <x v="3"/>
    <x v="28"/>
    <x v="97"/>
    <x v="260"/>
    <x v="0"/>
    <x v="30"/>
    <x v="30"/>
    <x v="19"/>
    <x v="30"/>
  </r>
  <r>
    <x v="972"/>
    <x v="59"/>
    <x v="3"/>
    <x v="14"/>
    <x v="2"/>
    <x v="45"/>
    <x v="56"/>
    <x v="261"/>
    <x v="1"/>
    <x v="48"/>
    <x v="48"/>
    <x v="14"/>
    <x v="48"/>
  </r>
  <r>
    <x v="973"/>
    <x v="139"/>
    <x v="4"/>
    <x v="17"/>
    <x v="3"/>
    <x v="30"/>
    <x v="31"/>
    <x v="261"/>
    <x v="2"/>
    <x v="33"/>
    <x v="33"/>
    <x v="17"/>
    <x v="33"/>
  </r>
  <r>
    <x v="974"/>
    <x v="152"/>
    <x v="2"/>
    <x v="3"/>
    <x v="2"/>
    <x v="5"/>
    <x v="132"/>
    <x v="261"/>
    <x v="3"/>
    <x v="3"/>
    <x v="3"/>
    <x v="3"/>
    <x v="3"/>
  </r>
  <r>
    <x v="975"/>
    <x v="41"/>
    <x v="2"/>
    <x v="15"/>
    <x v="2"/>
    <x v="46"/>
    <x v="40"/>
    <x v="261"/>
    <x v="1"/>
    <x v="88"/>
    <x v="88"/>
    <x v="15"/>
    <x v="88"/>
  </r>
  <r>
    <x v="976"/>
    <x v="145"/>
    <x v="2"/>
    <x v="2"/>
    <x v="0"/>
    <x v="48"/>
    <x v="125"/>
    <x v="261"/>
    <x v="3"/>
    <x v="34"/>
    <x v="34"/>
    <x v="2"/>
    <x v="34"/>
  </r>
  <r>
    <x v="977"/>
    <x v="161"/>
    <x v="2"/>
    <x v="15"/>
    <x v="2"/>
    <x v="20"/>
    <x v="140"/>
    <x v="262"/>
    <x v="2"/>
    <x v="80"/>
    <x v="80"/>
    <x v="15"/>
    <x v="80"/>
  </r>
  <r>
    <x v="978"/>
    <x v="96"/>
    <x v="4"/>
    <x v="12"/>
    <x v="0"/>
    <x v="17"/>
    <x v="51"/>
    <x v="262"/>
    <x v="3"/>
    <x v="16"/>
    <x v="16"/>
    <x v="12"/>
    <x v="16"/>
  </r>
  <r>
    <x v="979"/>
    <x v="1"/>
    <x v="2"/>
    <x v="23"/>
    <x v="1"/>
    <x v="49"/>
    <x v="1"/>
    <x v="262"/>
    <x v="2"/>
    <x v="69"/>
    <x v="69"/>
    <x v="23"/>
    <x v="69"/>
  </r>
  <r>
    <x v="980"/>
    <x v="27"/>
    <x v="2"/>
    <x v="4"/>
    <x v="0"/>
    <x v="24"/>
    <x v="26"/>
    <x v="262"/>
    <x v="3"/>
    <x v="4"/>
    <x v="4"/>
    <x v="4"/>
    <x v="4"/>
  </r>
  <r>
    <x v="981"/>
    <x v="58"/>
    <x v="2"/>
    <x v="3"/>
    <x v="0"/>
    <x v="3"/>
    <x v="55"/>
    <x v="262"/>
    <x v="3"/>
    <x v="3"/>
    <x v="3"/>
    <x v="3"/>
    <x v="3"/>
  </r>
  <r>
    <x v="982"/>
    <x v="68"/>
    <x v="3"/>
    <x v="14"/>
    <x v="0"/>
    <x v="45"/>
    <x v="65"/>
    <x v="263"/>
    <x v="3"/>
    <x v="22"/>
    <x v="22"/>
    <x v="14"/>
    <x v="22"/>
  </r>
  <r>
    <x v="983"/>
    <x v="114"/>
    <x v="0"/>
    <x v="24"/>
    <x v="1"/>
    <x v="42"/>
    <x v="99"/>
    <x v="263"/>
    <x v="3"/>
    <x v="77"/>
    <x v="77"/>
    <x v="24"/>
    <x v="77"/>
  </r>
  <r>
    <x v="984"/>
    <x v="162"/>
    <x v="2"/>
    <x v="15"/>
    <x v="3"/>
    <x v="46"/>
    <x v="126"/>
    <x v="263"/>
    <x v="2"/>
    <x v="80"/>
    <x v="80"/>
    <x v="15"/>
    <x v="80"/>
  </r>
  <r>
    <x v="985"/>
    <x v="48"/>
    <x v="0"/>
    <x v="10"/>
    <x v="0"/>
    <x v="18"/>
    <x v="18"/>
    <x v="264"/>
    <x v="1"/>
    <x v="94"/>
    <x v="94"/>
    <x v="10"/>
    <x v="94"/>
  </r>
  <r>
    <x v="986"/>
    <x v="100"/>
    <x v="0"/>
    <x v="0"/>
    <x v="0"/>
    <x v="15"/>
    <x v="89"/>
    <x v="265"/>
    <x v="1"/>
    <x v="93"/>
    <x v="93"/>
    <x v="0"/>
    <x v="93"/>
  </r>
  <r>
    <x v="987"/>
    <x v="0"/>
    <x v="1"/>
    <x v="22"/>
    <x v="0"/>
    <x v="40"/>
    <x v="0"/>
    <x v="265"/>
    <x v="2"/>
    <x v="38"/>
    <x v="38"/>
    <x v="22"/>
    <x v="38"/>
  </r>
  <r>
    <x v="988"/>
    <x v="115"/>
    <x v="2"/>
    <x v="15"/>
    <x v="2"/>
    <x v="46"/>
    <x v="100"/>
    <x v="266"/>
    <x v="1"/>
    <x v="88"/>
    <x v="88"/>
    <x v="15"/>
    <x v="88"/>
  </r>
  <r>
    <x v="989"/>
    <x v="1"/>
    <x v="3"/>
    <x v="16"/>
    <x v="1"/>
    <x v="41"/>
    <x v="1"/>
    <x v="266"/>
    <x v="3"/>
    <x v="81"/>
    <x v="81"/>
    <x v="16"/>
    <x v="81"/>
  </r>
  <r>
    <x v="990"/>
    <x v="10"/>
    <x v="1"/>
    <x v="19"/>
    <x v="0"/>
    <x v="38"/>
    <x v="10"/>
    <x v="266"/>
    <x v="0"/>
    <x v="30"/>
    <x v="30"/>
    <x v="19"/>
    <x v="30"/>
  </r>
  <r>
    <x v="991"/>
    <x v="55"/>
    <x v="0"/>
    <x v="0"/>
    <x v="2"/>
    <x v="0"/>
    <x v="52"/>
    <x v="267"/>
    <x v="2"/>
    <x v="62"/>
    <x v="62"/>
    <x v="0"/>
    <x v="62"/>
  </r>
  <r>
    <x v="992"/>
    <x v="85"/>
    <x v="4"/>
    <x v="17"/>
    <x v="2"/>
    <x v="22"/>
    <x v="78"/>
    <x v="267"/>
    <x v="0"/>
    <x v="61"/>
    <x v="61"/>
    <x v="17"/>
    <x v="61"/>
  </r>
  <r>
    <x v="993"/>
    <x v="154"/>
    <x v="2"/>
    <x v="2"/>
    <x v="0"/>
    <x v="48"/>
    <x v="133"/>
    <x v="267"/>
    <x v="3"/>
    <x v="34"/>
    <x v="34"/>
    <x v="2"/>
    <x v="34"/>
  </r>
  <r>
    <x v="994"/>
    <x v="94"/>
    <x v="1"/>
    <x v="6"/>
    <x v="1"/>
    <x v="7"/>
    <x v="84"/>
    <x v="267"/>
    <x v="1"/>
    <x v="8"/>
    <x v="8"/>
    <x v="6"/>
    <x v="8"/>
  </r>
  <r>
    <x v="995"/>
    <x v="5"/>
    <x v="4"/>
    <x v="21"/>
    <x v="2"/>
    <x v="44"/>
    <x v="5"/>
    <x v="268"/>
    <x v="3"/>
    <x v="70"/>
    <x v="70"/>
    <x v="21"/>
    <x v="70"/>
  </r>
  <r>
    <x v="996"/>
    <x v="144"/>
    <x v="3"/>
    <x v="13"/>
    <x v="2"/>
    <x v="27"/>
    <x v="124"/>
    <x v="268"/>
    <x v="0"/>
    <x v="92"/>
    <x v="92"/>
    <x v="13"/>
    <x v="92"/>
  </r>
  <r>
    <x v="997"/>
    <x v="137"/>
    <x v="3"/>
    <x v="20"/>
    <x v="1"/>
    <x v="29"/>
    <x v="118"/>
    <x v="268"/>
    <x v="0"/>
    <x v="66"/>
    <x v="66"/>
    <x v="20"/>
    <x v="66"/>
  </r>
  <r>
    <x v="998"/>
    <x v="170"/>
    <x v="0"/>
    <x v="5"/>
    <x v="2"/>
    <x v="12"/>
    <x v="143"/>
    <x v="268"/>
    <x v="1"/>
    <x v="99"/>
    <x v="99"/>
    <x v="5"/>
    <x v="99"/>
  </r>
  <r>
    <x v="999"/>
    <x v="0"/>
    <x v="3"/>
    <x v="8"/>
    <x v="0"/>
    <x v="43"/>
    <x v="0"/>
    <x v="269"/>
    <x v="0"/>
    <x v="55"/>
    <x v="55"/>
    <x v="8"/>
    <x v="55"/>
  </r>
  <r>
    <x v="1000"/>
    <x v="87"/>
    <x v="1"/>
    <x v="1"/>
    <x v="2"/>
    <x v="33"/>
    <x v="79"/>
    <x v="269"/>
    <x v="2"/>
    <x v="54"/>
    <x v="54"/>
    <x v="1"/>
    <x v="54"/>
  </r>
  <r>
    <x v="1001"/>
    <x v="73"/>
    <x v="2"/>
    <x v="4"/>
    <x v="0"/>
    <x v="24"/>
    <x v="68"/>
    <x v="269"/>
    <x v="3"/>
    <x v="4"/>
    <x v="4"/>
    <x v="4"/>
    <x v="4"/>
  </r>
  <r>
    <x v="1002"/>
    <x v="32"/>
    <x v="2"/>
    <x v="23"/>
    <x v="2"/>
    <x v="49"/>
    <x v="31"/>
    <x v="269"/>
    <x v="1"/>
    <x v="60"/>
    <x v="60"/>
    <x v="23"/>
    <x v="60"/>
  </r>
  <r>
    <x v="1003"/>
    <x v="100"/>
    <x v="4"/>
    <x v="11"/>
    <x v="0"/>
    <x v="26"/>
    <x v="89"/>
    <x v="270"/>
    <x v="1"/>
    <x v="89"/>
    <x v="89"/>
    <x v="11"/>
    <x v="89"/>
  </r>
  <r>
    <x v="1004"/>
    <x v="127"/>
    <x v="4"/>
    <x v="12"/>
    <x v="3"/>
    <x v="17"/>
    <x v="109"/>
    <x v="270"/>
    <x v="1"/>
    <x v="15"/>
    <x v="15"/>
    <x v="12"/>
    <x v="15"/>
  </r>
  <r>
    <x v="1005"/>
    <x v="57"/>
    <x v="2"/>
    <x v="15"/>
    <x v="2"/>
    <x v="20"/>
    <x v="54"/>
    <x v="270"/>
    <x v="2"/>
    <x v="80"/>
    <x v="80"/>
    <x v="15"/>
    <x v="80"/>
  </r>
  <r>
    <x v="1006"/>
    <x v="45"/>
    <x v="4"/>
    <x v="11"/>
    <x v="2"/>
    <x v="26"/>
    <x v="44"/>
    <x v="270"/>
    <x v="0"/>
    <x v="76"/>
    <x v="76"/>
    <x v="11"/>
    <x v="76"/>
  </r>
  <r>
    <x v="1007"/>
    <x v="38"/>
    <x v="2"/>
    <x v="23"/>
    <x v="3"/>
    <x v="36"/>
    <x v="37"/>
    <x v="271"/>
    <x v="2"/>
    <x v="69"/>
    <x v="69"/>
    <x v="23"/>
    <x v="69"/>
  </r>
  <r>
    <x v="1008"/>
    <x v="37"/>
    <x v="0"/>
    <x v="5"/>
    <x v="0"/>
    <x v="6"/>
    <x v="36"/>
    <x v="272"/>
    <x v="3"/>
    <x v="6"/>
    <x v="6"/>
    <x v="5"/>
    <x v="6"/>
  </r>
  <r>
    <x v="1009"/>
    <x v="48"/>
    <x v="4"/>
    <x v="17"/>
    <x v="0"/>
    <x v="22"/>
    <x v="18"/>
    <x v="272"/>
    <x v="1"/>
    <x v="58"/>
    <x v="58"/>
    <x v="17"/>
    <x v="58"/>
  </r>
  <r>
    <x v="1010"/>
    <x v="27"/>
    <x v="4"/>
    <x v="12"/>
    <x v="0"/>
    <x v="14"/>
    <x v="26"/>
    <x v="272"/>
    <x v="0"/>
    <x v="87"/>
    <x v="87"/>
    <x v="12"/>
    <x v="87"/>
  </r>
  <r>
    <x v="1011"/>
    <x v="138"/>
    <x v="1"/>
    <x v="19"/>
    <x v="2"/>
    <x v="28"/>
    <x v="119"/>
    <x v="273"/>
    <x v="1"/>
    <x v="46"/>
    <x v="46"/>
    <x v="19"/>
    <x v="46"/>
  </r>
  <r>
    <x v="1012"/>
    <x v="142"/>
    <x v="2"/>
    <x v="23"/>
    <x v="1"/>
    <x v="49"/>
    <x v="122"/>
    <x v="273"/>
    <x v="1"/>
    <x v="60"/>
    <x v="60"/>
    <x v="23"/>
    <x v="60"/>
  </r>
  <r>
    <x v="1013"/>
    <x v="28"/>
    <x v="3"/>
    <x v="20"/>
    <x v="0"/>
    <x v="29"/>
    <x v="27"/>
    <x v="274"/>
    <x v="3"/>
    <x v="32"/>
    <x v="32"/>
    <x v="20"/>
    <x v="32"/>
  </r>
  <r>
    <x v="1014"/>
    <x v="96"/>
    <x v="2"/>
    <x v="23"/>
    <x v="0"/>
    <x v="49"/>
    <x v="51"/>
    <x v="274"/>
    <x v="3"/>
    <x v="75"/>
    <x v="75"/>
    <x v="23"/>
    <x v="75"/>
  </r>
  <r>
    <x v="1015"/>
    <x v="151"/>
    <x v="4"/>
    <x v="11"/>
    <x v="0"/>
    <x v="13"/>
    <x v="131"/>
    <x v="274"/>
    <x v="2"/>
    <x v="20"/>
    <x v="20"/>
    <x v="11"/>
    <x v="20"/>
  </r>
  <r>
    <x v="1016"/>
    <x v="101"/>
    <x v="1"/>
    <x v="22"/>
    <x v="3"/>
    <x v="35"/>
    <x v="90"/>
    <x v="274"/>
    <x v="2"/>
    <x v="38"/>
    <x v="38"/>
    <x v="22"/>
    <x v="38"/>
  </r>
  <r>
    <x v="1017"/>
    <x v="101"/>
    <x v="0"/>
    <x v="24"/>
    <x v="3"/>
    <x v="42"/>
    <x v="90"/>
    <x v="274"/>
    <x v="3"/>
    <x v="77"/>
    <x v="77"/>
    <x v="24"/>
    <x v="77"/>
  </r>
  <r>
    <x v="1018"/>
    <x v="104"/>
    <x v="3"/>
    <x v="14"/>
    <x v="2"/>
    <x v="19"/>
    <x v="93"/>
    <x v="274"/>
    <x v="1"/>
    <x v="48"/>
    <x v="48"/>
    <x v="14"/>
    <x v="48"/>
  </r>
  <r>
    <x v="1019"/>
    <x v="50"/>
    <x v="2"/>
    <x v="3"/>
    <x v="2"/>
    <x v="5"/>
    <x v="48"/>
    <x v="275"/>
    <x v="3"/>
    <x v="3"/>
    <x v="3"/>
    <x v="3"/>
    <x v="3"/>
  </r>
  <r>
    <x v="1020"/>
    <x v="0"/>
    <x v="1"/>
    <x v="6"/>
    <x v="0"/>
    <x v="7"/>
    <x v="0"/>
    <x v="275"/>
    <x v="1"/>
    <x v="8"/>
    <x v="8"/>
    <x v="6"/>
    <x v="8"/>
  </r>
  <r>
    <x v="1021"/>
    <x v="26"/>
    <x v="3"/>
    <x v="16"/>
    <x v="2"/>
    <x v="41"/>
    <x v="12"/>
    <x v="275"/>
    <x v="3"/>
    <x v="81"/>
    <x v="81"/>
    <x v="16"/>
    <x v="81"/>
  </r>
  <r>
    <x v="1022"/>
    <x v="44"/>
    <x v="0"/>
    <x v="18"/>
    <x v="3"/>
    <x v="39"/>
    <x v="43"/>
    <x v="275"/>
    <x v="0"/>
    <x v="78"/>
    <x v="78"/>
    <x v="18"/>
    <x v="78"/>
  </r>
  <r>
    <x v="1023"/>
    <x v="122"/>
    <x v="0"/>
    <x v="0"/>
    <x v="3"/>
    <x v="0"/>
    <x v="105"/>
    <x v="276"/>
    <x v="2"/>
    <x v="62"/>
    <x v="62"/>
    <x v="0"/>
    <x v="62"/>
  </r>
  <r>
    <x v="1024"/>
    <x v="13"/>
    <x v="0"/>
    <x v="10"/>
    <x v="2"/>
    <x v="11"/>
    <x v="13"/>
    <x v="276"/>
    <x v="1"/>
    <x v="94"/>
    <x v="94"/>
    <x v="10"/>
    <x v="94"/>
  </r>
  <r>
    <x v="1025"/>
    <x v="157"/>
    <x v="0"/>
    <x v="0"/>
    <x v="2"/>
    <x v="15"/>
    <x v="136"/>
    <x v="276"/>
    <x v="2"/>
    <x v="62"/>
    <x v="62"/>
    <x v="0"/>
    <x v="62"/>
  </r>
  <r>
    <x v="1026"/>
    <x v="124"/>
    <x v="3"/>
    <x v="13"/>
    <x v="1"/>
    <x v="16"/>
    <x v="107"/>
    <x v="276"/>
    <x v="1"/>
    <x v="96"/>
    <x v="96"/>
    <x v="13"/>
    <x v="96"/>
  </r>
  <r>
    <x v="1027"/>
    <x v="70"/>
    <x v="0"/>
    <x v="5"/>
    <x v="3"/>
    <x v="12"/>
    <x v="7"/>
    <x v="276"/>
    <x v="2"/>
    <x v="50"/>
    <x v="50"/>
    <x v="5"/>
    <x v="50"/>
  </r>
  <r>
    <x v="1028"/>
    <x v="20"/>
    <x v="1"/>
    <x v="19"/>
    <x v="3"/>
    <x v="28"/>
    <x v="20"/>
    <x v="276"/>
    <x v="1"/>
    <x v="46"/>
    <x v="46"/>
    <x v="19"/>
    <x v="46"/>
  </r>
  <r>
    <x v="1029"/>
    <x v="170"/>
    <x v="1"/>
    <x v="19"/>
    <x v="2"/>
    <x v="38"/>
    <x v="143"/>
    <x v="276"/>
    <x v="0"/>
    <x v="30"/>
    <x v="30"/>
    <x v="19"/>
    <x v="30"/>
  </r>
  <r>
    <x v="1030"/>
    <x v="155"/>
    <x v="1"/>
    <x v="22"/>
    <x v="2"/>
    <x v="40"/>
    <x v="134"/>
    <x v="276"/>
    <x v="3"/>
    <x v="51"/>
    <x v="51"/>
    <x v="22"/>
    <x v="51"/>
  </r>
  <r>
    <x v="1031"/>
    <x v="87"/>
    <x v="2"/>
    <x v="23"/>
    <x v="2"/>
    <x v="49"/>
    <x v="79"/>
    <x v="277"/>
    <x v="2"/>
    <x v="69"/>
    <x v="69"/>
    <x v="23"/>
    <x v="69"/>
  </r>
  <r>
    <x v="1032"/>
    <x v="81"/>
    <x v="4"/>
    <x v="11"/>
    <x v="2"/>
    <x v="26"/>
    <x v="74"/>
    <x v="277"/>
    <x v="0"/>
    <x v="76"/>
    <x v="76"/>
    <x v="11"/>
    <x v="76"/>
  </r>
  <r>
    <x v="1033"/>
    <x v="121"/>
    <x v="1"/>
    <x v="22"/>
    <x v="2"/>
    <x v="35"/>
    <x v="104"/>
    <x v="277"/>
    <x v="0"/>
    <x v="71"/>
    <x v="71"/>
    <x v="22"/>
    <x v="71"/>
  </r>
  <r>
    <x v="1034"/>
    <x v="164"/>
    <x v="1"/>
    <x v="1"/>
    <x v="2"/>
    <x v="1"/>
    <x v="141"/>
    <x v="277"/>
    <x v="1"/>
    <x v="1"/>
    <x v="1"/>
    <x v="1"/>
    <x v="1"/>
  </r>
  <r>
    <x v="1035"/>
    <x v="161"/>
    <x v="3"/>
    <x v="8"/>
    <x v="2"/>
    <x v="43"/>
    <x v="140"/>
    <x v="278"/>
    <x v="1"/>
    <x v="19"/>
    <x v="19"/>
    <x v="8"/>
    <x v="19"/>
  </r>
  <r>
    <x v="1036"/>
    <x v="17"/>
    <x v="2"/>
    <x v="15"/>
    <x v="0"/>
    <x v="46"/>
    <x v="17"/>
    <x v="278"/>
    <x v="3"/>
    <x v="72"/>
    <x v="72"/>
    <x v="15"/>
    <x v="72"/>
  </r>
  <r>
    <x v="1037"/>
    <x v="174"/>
    <x v="1"/>
    <x v="19"/>
    <x v="2"/>
    <x v="28"/>
    <x v="146"/>
    <x v="278"/>
    <x v="0"/>
    <x v="30"/>
    <x v="30"/>
    <x v="19"/>
    <x v="30"/>
  </r>
  <r>
    <x v="1038"/>
    <x v="61"/>
    <x v="2"/>
    <x v="23"/>
    <x v="2"/>
    <x v="49"/>
    <x v="58"/>
    <x v="278"/>
    <x v="1"/>
    <x v="60"/>
    <x v="60"/>
    <x v="23"/>
    <x v="60"/>
  </r>
  <r>
    <x v="1039"/>
    <x v="22"/>
    <x v="4"/>
    <x v="12"/>
    <x v="2"/>
    <x v="17"/>
    <x v="22"/>
    <x v="278"/>
    <x v="1"/>
    <x v="15"/>
    <x v="15"/>
    <x v="12"/>
    <x v="15"/>
  </r>
  <r>
    <x v="1040"/>
    <x v="163"/>
    <x v="4"/>
    <x v="12"/>
    <x v="2"/>
    <x v="17"/>
    <x v="35"/>
    <x v="279"/>
    <x v="1"/>
    <x v="15"/>
    <x v="15"/>
    <x v="12"/>
    <x v="15"/>
  </r>
  <r>
    <x v="1041"/>
    <x v="108"/>
    <x v="3"/>
    <x v="16"/>
    <x v="0"/>
    <x v="41"/>
    <x v="96"/>
    <x v="279"/>
    <x v="3"/>
    <x v="81"/>
    <x v="81"/>
    <x v="16"/>
    <x v="81"/>
  </r>
  <r>
    <x v="1042"/>
    <x v="98"/>
    <x v="2"/>
    <x v="3"/>
    <x v="1"/>
    <x v="5"/>
    <x v="87"/>
    <x v="279"/>
    <x v="0"/>
    <x v="74"/>
    <x v="74"/>
    <x v="3"/>
    <x v="74"/>
  </r>
  <r>
    <x v="1043"/>
    <x v="17"/>
    <x v="2"/>
    <x v="15"/>
    <x v="0"/>
    <x v="46"/>
    <x v="17"/>
    <x v="279"/>
    <x v="0"/>
    <x v="23"/>
    <x v="23"/>
    <x v="15"/>
    <x v="23"/>
  </r>
  <r>
    <x v="1044"/>
    <x v="118"/>
    <x v="0"/>
    <x v="24"/>
    <x v="3"/>
    <x v="47"/>
    <x v="103"/>
    <x v="280"/>
    <x v="0"/>
    <x v="85"/>
    <x v="85"/>
    <x v="24"/>
    <x v="85"/>
  </r>
  <r>
    <x v="1045"/>
    <x v="43"/>
    <x v="0"/>
    <x v="0"/>
    <x v="1"/>
    <x v="15"/>
    <x v="42"/>
    <x v="280"/>
    <x v="3"/>
    <x v="98"/>
    <x v="98"/>
    <x v="0"/>
    <x v="98"/>
  </r>
  <r>
    <x v="1046"/>
    <x v="167"/>
    <x v="2"/>
    <x v="2"/>
    <x v="0"/>
    <x v="2"/>
    <x v="114"/>
    <x v="281"/>
    <x v="3"/>
    <x v="34"/>
    <x v="34"/>
    <x v="2"/>
    <x v="34"/>
  </r>
  <r>
    <x v="1047"/>
    <x v="6"/>
    <x v="3"/>
    <x v="8"/>
    <x v="3"/>
    <x v="9"/>
    <x v="6"/>
    <x v="281"/>
    <x v="2"/>
    <x v="18"/>
    <x v="18"/>
    <x v="8"/>
    <x v="18"/>
  </r>
  <r>
    <x v="1048"/>
    <x v="91"/>
    <x v="2"/>
    <x v="4"/>
    <x v="1"/>
    <x v="24"/>
    <x v="82"/>
    <x v="281"/>
    <x v="0"/>
    <x v="44"/>
    <x v="44"/>
    <x v="4"/>
    <x v="44"/>
  </r>
  <r>
    <x v="1049"/>
    <x v="146"/>
    <x v="4"/>
    <x v="21"/>
    <x v="1"/>
    <x v="32"/>
    <x v="126"/>
    <x v="282"/>
    <x v="3"/>
    <x v="70"/>
    <x v="70"/>
    <x v="21"/>
    <x v="70"/>
  </r>
  <r>
    <x v="1050"/>
    <x v="1"/>
    <x v="2"/>
    <x v="2"/>
    <x v="1"/>
    <x v="2"/>
    <x v="1"/>
    <x v="283"/>
    <x v="2"/>
    <x v="2"/>
    <x v="2"/>
    <x v="2"/>
    <x v="2"/>
  </r>
  <r>
    <x v="1051"/>
    <x v="59"/>
    <x v="1"/>
    <x v="19"/>
    <x v="2"/>
    <x v="38"/>
    <x v="56"/>
    <x v="284"/>
    <x v="3"/>
    <x v="97"/>
    <x v="97"/>
    <x v="19"/>
    <x v="97"/>
  </r>
  <r>
    <x v="1052"/>
    <x v="44"/>
    <x v="1"/>
    <x v="7"/>
    <x v="3"/>
    <x v="34"/>
    <x v="43"/>
    <x v="284"/>
    <x v="3"/>
    <x v="79"/>
    <x v="79"/>
    <x v="7"/>
    <x v="79"/>
  </r>
  <r>
    <x v="1053"/>
    <x v="128"/>
    <x v="0"/>
    <x v="0"/>
    <x v="2"/>
    <x v="0"/>
    <x v="25"/>
    <x v="284"/>
    <x v="0"/>
    <x v="0"/>
    <x v="0"/>
    <x v="0"/>
    <x v="0"/>
  </r>
  <r>
    <x v="1054"/>
    <x v="24"/>
    <x v="2"/>
    <x v="2"/>
    <x v="2"/>
    <x v="2"/>
    <x v="24"/>
    <x v="284"/>
    <x v="2"/>
    <x v="2"/>
    <x v="2"/>
    <x v="2"/>
    <x v="2"/>
  </r>
  <r>
    <x v="1055"/>
    <x v="43"/>
    <x v="0"/>
    <x v="10"/>
    <x v="1"/>
    <x v="18"/>
    <x v="42"/>
    <x v="285"/>
    <x v="3"/>
    <x v="12"/>
    <x v="12"/>
    <x v="10"/>
    <x v="12"/>
  </r>
  <r>
    <x v="1056"/>
    <x v="95"/>
    <x v="0"/>
    <x v="18"/>
    <x v="1"/>
    <x v="39"/>
    <x v="85"/>
    <x v="286"/>
    <x v="3"/>
    <x v="28"/>
    <x v="28"/>
    <x v="18"/>
    <x v="28"/>
  </r>
  <r>
    <x v="1057"/>
    <x v="47"/>
    <x v="2"/>
    <x v="15"/>
    <x v="2"/>
    <x v="20"/>
    <x v="46"/>
    <x v="286"/>
    <x v="2"/>
    <x v="80"/>
    <x v="80"/>
    <x v="15"/>
    <x v="80"/>
  </r>
  <r>
    <x v="1058"/>
    <x v="153"/>
    <x v="4"/>
    <x v="17"/>
    <x v="2"/>
    <x v="22"/>
    <x v="94"/>
    <x v="287"/>
    <x v="3"/>
    <x v="25"/>
    <x v="25"/>
    <x v="17"/>
    <x v="25"/>
  </r>
  <r>
    <x v="1059"/>
    <x v="1"/>
    <x v="3"/>
    <x v="16"/>
    <x v="1"/>
    <x v="41"/>
    <x v="1"/>
    <x v="287"/>
    <x v="2"/>
    <x v="59"/>
    <x v="59"/>
    <x v="16"/>
    <x v="59"/>
  </r>
  <r>
    <x v="1060"/>
    <x v="73"/>
    <x v="4"/>
    <x v="11"/>
    <x v="0"/>
    <x v="13"/>
    <x v="68"/>
    <x v="287"/>
    <x v="2"/>
    <x v="20"/>
    <x v="20"/>
    <x v="11"/>
    <x v="20"/>
  </r>
  <r>
    <x v="1061"/>
    <x v="144"/>
    <x v="2"/>
    <x v="3"/>
    <x v="2"/>
    <x v="3"/>
    <x v="124"/>
    <x v="287"/>
    <x v="2"/>
    <x v="63"/>
    <x v="63"/>
    <x v="3"/>
    <x v="63"/>
  </r>
  <r>
    <x v="1062"/>
    <x v="43"/>
    <x v="2"/>
    <x v="15"/>
    <x v="1"/>
    <x v="46"/>
    <x v="42"/>
    <x v="287"/>
    <x v="3"/>
    <x v="72"/>
    <x v="72"/>
    <x v="15"/>
    <x v="72"/>
  </r>
  <r>
    <x v="1063"/>
    <x v="44"/>
    <x v="2"/>
    <x v="2"/>
    <x v="3"/>
    <x v="48"/>
    <x v="43"/>
    <x v="287"/>
    <x v="2"/>
    <x v="2"/>
    <x v="2"/>
    <x v="2"/>
    <x v="2"/>
  </r>
  <r>
    <x v="1064"/>
    <x v="136"/>
    <x v="0"/>
    <x v="5"/>
    <x v="1"/>
    <x v="12"/>
    <x v="117"/>
    <x v="287"/>
    <x v="3"/>
    <x v="6"/>
    <x v="6"/>
    <x v="5"/>
    <x v="6"/>
  </r>
  <r>
    <x v="1065"/>
    <x v="10"/>
    <x v="1"/>
    <x v="6"/>
    <x v="0"/>
    <x v="37"/>
    <x v="10"/>
    <x v="287"/>
    <x v="0"/>
    <x v="42"/>
    <x v="42"/>
    <x v="6"/>
    <x v="42"/>
  </r>
  <r>
    <x v="1066"/>
    <x v="155"/>
    <x v="3"/>
    <x v="20"/>
    <x v="2"/>
    <x v="29"/>
    <x v="134"/>
    <x v="287"/>
    <x v="3"/>
    <x v="32"/>
    <x v="32"/>
    <x v="20"/>
    <x v="32"/>
  </r>
  <r>
    <x v="1067"/>
    <x v="62"/>
    <x v="2"/>
    <x v="2"/>
    <x v="0"/>
    <x v="2"/>
    <x v="59"/>
    <x v="287"/>
    <x v="2"/>
    <x v="2"/>
    <x v="2"/>
    <x v="2"/>
    <x v="2"/>
  </r>
  <r>
    <x v="1068"/>
    <x v="107"/>
    <x v="4"/>
    <x v="21"/>
    <x v="3"/>
    <x v="32"/>
    <x v="83"/>
    <x v="287"/>
    <x v="0"/>
    <x v="64"/>
    <x v="64"/>
    <x v="21"/>
    <x v="64"/>
  </r>
  <r>
    <x v="1069"/>
    <x v="163"/>
    <x v="3"/>
    <x v="20"/>
    <x v="2"/>
    <x v="29"/>
    <x v="35"/>
    <x v="288"/>
    <x v="2"/>
    <x v="45"/>
    <x v="45"/>
    <x v="20"/>
    <x v="45"/>
  </r>
  <r>
    <x v="1070"/>
    <x v="133"/>
    <x v="1"/>
    <x v="19"/>
    <x v="0"/>
    <x v="28"/>
    <x v="114"/>
    <x v="288"/>
    <x v="2"/>
    <x v="95"/>
    <x v="95"/>
    <x v="19"/>
    <x v="95"/>
  </r>
  <r>
    <x v="1071"/>
    <x v="133"/>
    <x v="2"/>
    <x v="15"/>
    <x v="0"/>
    <x v="46"/>
    <x v="114"/>
    <x v="288"/>
    <x v="3"/>
    <x v="72"/>
    <x v="72"/>
    <x v="15"/>
    <x v="72"/>
  </r>
  <r>
    <x v="1072"/>
    <x v="134"/>
    <x v="4"/>
    <x v="21"/>
    <x v="0"/>
    <x v="32"/>
    <x v="115"/>
    <x v="288"/>
    <x v="2"/>
    <x v="43"/>
    <x v="43"/>
    <x v="21"/>
    <x v="43"/>
  </r>
  <r>
    <x v="1073"/>
    <x v="112"/>
    <x v="0"/>
    <x v="18"/>
    <x v="3"/>
    <x v="25"/>
    <x v="97"/>
    <x v="288"/>
    <x v="2"/>
    <x v="57"/>
    <x v="57"/>
    <x v="18"/>
    <x v="57"/>
  </r>
  <r>
    <x v="1074"/>
    <x v="40"/>
    <x v="4"/>
    <x v="12"/>
    <x v="1"/>
    <x v="17"/>
    <x v="39"/>
    <x v="288"/>
    <x v="0"/>
    <x v="87"/>
    <x v="87"/>
    <x v="12"/>
    <x v="87"/>
  </r>
  <r>
    <x v="1075"/>
    <x v="33"/>
    <x v="2"/>
    <x v="23"/>
    <x v="3"/>
    <x v="49"/>
    <x v="32"/>
    <x v="288"/>
    <x v="3"/>
    <x v="75"/>
    <x v="75"/>
    <x v="23"/>
    <x v="75"/>
  </r>
  <r>
    <x v="1076"/>
    <x v="125"/>
    <x v="0"/>
    <x v="24"/>
    <x v="1"/>
    <x v="42"/>
    <x v="106"/>
    <x v="288"/>
    <x v="3"/>
    <x v="77"/>
    <x v="77"/>
    <x v="24"/>
    <x v="77"/>
  </r>
  <r>
    <x v="1077"/>
    <x v="15"/>
    <x v="0"/>
    <x v="10"/>
    <x v="0"/>
    <x v="11"/>
    <x v="15"/>
    <x v="288"/>
    <x v="2"/>
    <x v="26"/>
    <x v="26"/>
    <x v="10"/>
    <x v="26"/>
  </r>
  <r>
    <x v="1078"/>
    <x v="3"/>
    <x v="0"/>
    <x v="24"/>
    <x v="1"/>
    <x v="42"/>
    <x v="3"/>
    <x v="288"/>
    <x v="2"/>
    <x v="67"/>
    <x v="67"/>
    <x v="24"/>
    <x v="67"/>
  </r>
  <r>
    <x v="1079"/>
    <x v="121"/>
    <x v="1"/>
    <x v="6"/>
    <x v="2"/>
    <x v="7"/>
    <x v="104"/>
    <x v="288"/>
    <x v="0"/>
    <x v="42"/>
    <x v="42"/>
    <x v="6"/>
    <x v="42"/>
  </r>
  <r>
    <x v="1080"/>
    <x v="34"/>
    <x v="4"/>
    <x v="11"/>
    <x v="0"/>
    <x v="26"/>
    <x v="33"/>
    <x v="288"/>
    <x v="0"/>
    <x v="76"/>
    <x v="76"/>
    <x v="11"/>
    <x v="76"/>
  </r>
  <r>
    <x v="1081"/>
    <x v="94"/>
    <x v="1"/>
    <x v="22"/>
    <x v="1"/>
    <x v="35"/>
    <x v="84"/>
    <x v="288"/>
    <x v="3"/>
    <x v="51"/>
    <x v="51"/>
    <x v="22"/>
    <x v="51"/>
  </r>
  <r>
    <x v="1082"/>
    <x v="139"/>
    <x v="4"/>
    <x v="21"/>
    <x v="3"/>
    <x v="44"/>
    <x v="31"/>
    <x v="289"/>
    <x v="1"/>
    <x v="35"/>
    <x v="35"/>
    <x v="21"/>
    <x v="35"/>
  </r>
  <r>
    <x v="1083"/>
    <x v="129"/>
    <x v="0"/>
    <x v="18"/>
    <x v="2"/>
    <x v="39"/>
    <x v="110"/>
    <x v="290"/>
    <x v="0"/>
    <x v="78"/>
    <x v="78"/>
    <x v="18"/>
    <x v="78"/>
  </r>
  <r>
    <x v="1084"/>
    <x v="29"/>
    <x v="2"/>
    <x v="3"/>
    <x v="3"/>
    <x v="5"/>
    <x v="28"/>
    <x v="290"/>
    <x v="0"/>
    <x v="74"/>
    <x v="74"/>
    <x v="3"/>
    <x v="74"/>
  </r>
  <r>
    <x v="1085"/>
    <x v="177"/>
    <x v="3"/>
    <x v="20"/>
    <x v="0"/>
    <x v="29"/>
    <x v="115"/>
    <x v="291"/>
    <x v="0"/>
    <x v="66"/>
    <x v="66"/>
    <x v="20"/>
    <x v="66"/>
  </r>
  <r>
    <x v="1086"/>
    <x v="79"/>
    <x v="1"/>
    <x v="19"/>
    <x v="2"/>
    <x v="38"/>
    <x v="73"/>
    <x v="291"/>
    <x v="3"/>
    <x v="97"/>
    <x v="97"/>
    <x v="19"/>
    <x v="97"/>
  </r>
  <r>
    <x v="1087"/>
    <x v="28"/>
    <x v="2"/>
    <x v="23"/>
    <x v="0"/>
    <x v="36"/>
    <x v="27"/>
    <x v="291"/>
    <x v="0"/>
    <x v="41"/>
    <x v="41"/>
    <x v="23"/>
    <x v="41"/>
  </r>
  <r>
    <x v="1088"/>
    <x v="47"/>
    <x v="2"/>
    <x v="3"/>
    <x v="2"/>
    <x v="5"/>
    <x v="46"/>
    <x v="291"/>
    <x v="3"/>
    <x v="3"/>
    <x v="3"/>
    <x v="3"/>
    <x v="3"/>
  </r>
  <r>
    <x v="1089"/>
    <x v="124"/>
    <x v="0"/>
    <x v="18"/>
    <x v="1"/>
    <x v="25"/>
    <x v="107"/>
    <x v="291"/>
    <x v="3"/>
    <x v="28"/>
    <x v="28"/>
    <x v="18"/>
    <x v="28"/>
  </r>
  <r>
    <x v="1090"/>
    <x v="173"/>
    <x v="4"/>
    <x v="12"/>
    <x v="0"/>
    <x v="14"/>
    <x v="145"/>
    <x v="291"/>
    <x v="2"/>
    <x v="47"/>
    <x v="47"/>
    <x v="12"/>
    <x v="47"/>
  </r>
  <r>
    <x v="1091"/>
    <x v="144"/>
    <x v="0"/>
    <x v="0"/>
    <x v="2"/>
    <x v="15"/>
    <x v="124"/>
    <x v="291"/>
    <x v="2"/>
    <x v="62"/>
    <x v="62"/>
    <x v="0"/>
    <x v="62"/>
  </r>
  <r>
    <x v="1092"/>
    <x v="51"/>
    <x v="3"/>
    <x v="13"/>
    <x v="0"/>
    <x v="27"/>
    <x v="40"/>
    <x v="291"/>
    <x v="2"/>
    <x v="17"/>
    <x v="17"/>
    <x v="13"/>
    <x v="17"/>
  </r>
  <r>
    <x v="1093"/>
    <x v="21"/>
    <x v="0"/>
    <x v="24"/>
    <x v="2"/>
    <x v="47"/>
    <x v="21"/>
    <x v="291"/>
    <x v="3"/>
    <x v="77"/>
    <x v="77"/>
    <x v="24"/>
    <x v="77"/>
  </r>
  <r>
    <x v="1094"/>
    <x v="148"/>
    <x v="2"/>
    <x v="15"/>
    <x v="3"/>
    <x v="20"/>
    <x v="128"/>
    <x v="291"/>
    <x v="1"/>
    <x v="88"/>
    <x v="88"/>
    <x v="15"/>
    <x v="88"/>
  </r>
  <r>
    <x v="1095"/>
    <x v="10"/>
    <x v="0"/>
    <x v="10"/>
    <x v="0"/>
    <x v="18"/>
    <x v="10"/>
    <x v="291"/>
    <x v="1"/>
    <x v="94"/>
    <x v="94"/>
    <x v="10"/>
    <x v="94"/>
  </r>
  <r>
    <x v="1096"/>
    <x v="161"/>
    <x v="4"/>
    <x v="12"/>
    <x v="2"/>
    <x v="17"/>
    <x v="140"/>
    <x v="292"/>
    <x v="1"/>
    <x v="15"/>
    <x v="15"/>
    <x v="12"/>
    <x v="15"/>
  </r>
  <r>
    <x v="1097"/>
    <x v="149"/>
    <x v="3"/>
    <x v="14"/>
    <x v="2"/>
    <x v="45"/>
    <x v="129"/>
    <x v="292"/>
    <x v="3"/>
    <x v="22"/>
    <x v="22"/>
    <x v="14"/>
    <x v="22"/>
  </r>
  <r>
    <x v="1098"/>
    <x v="113"/>
    <x v="3"/>
    <x v="13"/>
    <x v="2"/>
    <x v="16"/>
    <x v="98"/>
    <x v="292"/>
    <x v="2"/>
    <x v="17"/>
    <x v="17"/>
    <x v="13"/>
    <x v="17"/>
  </r>
  <r>
    <x v="1099"/>
    <x v="146"/>
    <x v="3"/>
    <x v="20"/>
    <x v="1"/>
    <x v="29"/>
    <x v="126"/>
    <x v="292"/>
    <x v="2"/>
    <x v="45"/>
    <x v="45"/>
    <x v="20"/>
    <x v="45"/>
  </r>
  <r>
    <x v="1100"/>
    <x v="130"/>
    <x v="2"/>
    <x v="2"/>
    <x v="2"/>
    <x v="48"/>
    <x v="111"/>
    <x v="292"/>
    <x v="0"/>
    <x v="73"/>
    <x v="73"/>
    <x v="2"/>
    <x v="73"/>
  </r>
  <r>
    <x v="1101"/>
    <x v="14"/>
    <x v="3"/>
    <x v="16"/>
    <x v="0"/>
    <x v="21"/>
    <x v="14"/>
    <x v="292"/>
    <x v="0"/>
    <x v="24"/>
    <x v="24"/>
    <x v="16"/>
    <x v="24"/>
  </r>
  <r>
    <x v="1102"/>
    <x v="112"/>
    <x v="1"/>
    <x v="7"/>
    <x v="3"/>
    <x v="34"/>
    <x v="97"/>
    <x v="292"/>
    <x v="3"/>
    <x v="79"/>
    <x v="79"/>
    <x v="7"/>
    <x v="79"/>
  </r>
  <r>
    <x v="1103"/>
    <x v="26"/>
    <x v="1"/>
    <x v="7"/>
    <x v="2"/>
    <x v="8"/>
    <x v="12"/>
    <x v="292"/>
    <x v="3"/>
    <x v="79"/>
    <x v="79"/>
    <x v="7"/>
    <x v="79"/>
  </r>
  <r>
    <x v="1104"/>
    <x v="41"/>
    <x v="2"/>
    <x v="3"/>
    <x v="2"/>
    <x v="5"/>
    <x v="40"/>
    <x v="292"/>
    <x v="1"/>
    <x v="5"/>
    <x v="5"/>
    <x v="3"/>
    <x v="5"/>
  </r>
  <r>
    <x v="1105"/>
    <x v="49"/>
    <x v="4"/>
    <x v="17"/>
    <x v="0"/>
    <x v="22"/>
    <x v="47"/>
    <x v="292"/>
    <x v="2"/>
    <x v="33"/>
    <x v="33"/>
    <x v="17"/>
    <x v="33"/>
  </r>
  <r>
    <x v="1106"/>
    <x v="120"/>
    <x v="0"/>
    <x v="0"/>
    <x v="0"/>
    <x v="0"/>
    <x v="66"/>
    <x v="292"/>
    <x v="1"/>
    <x v="93"/>
    <x v="93"/>
    <x v="0"/>
    <x v="93"/>
  </r>
  <r>
    <x v="1107"/>
    <x v="44"/>
    <x v="0"/>
    <x v="5"/>
    <x v="3"/>
    <x v="12"/>
    <x v="43"/>
    <x v="292"/>
    <x v="3"/>
    <x v="6"/>
    <x v="6"/>
    <x v="5"/>
    <x v="6"/>
  </r>
  <r>
    <x v="1108"/>
    <x v="154"/>
    <x v="4"/>
    <x v="12"/>
    <x v="0"/>
    <x v="14"/>
    <x v="133"/>
    <x v="292"/>
    <x v="2"/>
    <x v="47"/>
    <x v="47"/>
    <x v="12"/>
    <x v="47"/>
  </r>
  <r>
    <x v="1109"/>
    <x v="94"/>
    <x v="1"/>
    <x v="19"/>
    <x v="1"/>
    <x v="28"/>
    <x v="84"/>
    <x v="292"/>
    <x v="0"/>
    <x v="30"/>
    <x v="30"/>
    <x v="19"/>
    <x v="30"/>
  </r>
  <r>
    <x v="1110"/>
    <x v="136"/>
    <x v="3"/>
    <x v="13"/>
    <x v="1"/>
    <x v="16"/>
    <x v="117"/>
    <x v="292"/>
    <x v="3"/>
    <x v="68"/>
    <x v="68"/>
    <x v="13"/>
    <x v="68"/>
  </r>
  <r>
    <x v="1111"/>
    <x v="67"/>
    <x v="2"/>
    <x v="23"/>
    <x v="0"/>
    <x v="49"/>
    <x v="64"/>
    <x v="293"/>
    <x v="1"/>
    <x v="60"/>
    <x v="60"/>
    <x v="23"/>
    <x v="60"/>
  </r>
  <r>
    <x v="1112"/>
    <x v="59"/>
    <x v="2"/>
    <x v="23"/>
    <x v="2"/>
    <x v="36"/>
    <x v="56"/>
    <x v="293"/>
    <x v="1"/>
    <x v="60"/>
    <x v="60"/>
    <x v="23"/>
    <x v="60"/>
  </r>
  <r>
    <x v="1113"/>
    <x v="133"/>
    <x v="0"/>
    <x v="18"/>
    <x v="0"/>
    <x v="39"/>
    <x v="114"/>
    <x v="293"/>
    <x v="1"/>
    <x v="84"/>
    <x v="84"/>
    <x v="18"/>
    <x v="84"/>
  </r>
  <r>
    <x v="1114"/>
    <x v="133"/>
    <x v="2"/>
    <x v="3"/>
    <x v="0"/>
    <x v="5"/>
    <x v="114"/>
    <x v="293"/>
    <x v="1"/>
    <x v="5"/>
    <x v="5"/>
    <x v="3"/>
    <x v="5"/>
  </r>
  <r>
    <x v="1115"/>
    <x v="138"/>
    <x v="1"/>
    <x v="22"/>
    <x v="2"/>
    <x v="35"/>
    <x v="119"/>
    <x v="293"/>
    <x v="1"/>
    <x v="65"/>
    <x v="65"/>
    <x v="22"/>
    <x v="65"/>
  </r>
  <r>
    <x v="1116"/>
    <x v="81"/>
    <x v="1"/>
    <x v="22"/>
    <x v="2"/>
    <x v="40"/>
    <x v="74"/>
    <x v="293"/>
    <x v="1"/>
    <x v="65"/>
    <x v="65"/>
    <x v="22"/>
    <x v="65"/>
  </r>
  <r>
    <x v="1117"/>
    <x v="14"/>
    <x v="0"/>
    <x v="24"/>
    <x v="0"/>
    <x v="42"/>
    <x v="14"/>
    <x v="293"/>
    <x v="0"/>
    <x v="85"/>
    <x v="85"/>
    <x v="24"/>
    <x v="85"/>
  </r>
  <r>
    <x v="1118"/>
    <x v="52"/>
    <x v="3"/>
    <x v="14"/>
    <x v="0"/>
    <x v="45"/>
    <x v="49"/>
    <x v="293"/>
    <x v="2"/>
    <x v="40"/>
    <x v="40"/>
    <x v="14"/>
    <x v="40"/>
  </r>
  <r>
    <x v="1119"/>
    <x v="140"/>
    <x v="4"/>
    <x v="9"/>
    <x v="0"/>
    <x v="10"/>
    <x v="120"/>
    <x v="293"/>
    <x v="3"/>
    <x v="11"/>
    <x v="11"/>
    <x v="9"/>
    <x v="11"/>
  </r>
  <r>
    <x v="1120"/>
    <x v="51"/>
    <x v="4"/>
    <x v="11"/>
    <x v="0"/>
    <x v="26"/>
    <x v="40"/>
    <x v="293"/>
    <x v="0"/>
    <x v="76"/>
    <x v="76"/>
    <x v="11"/>
    <x v="76"/>
  </r>
  <r>
    <x v="1121"/>
    <x v="43"/>
    <x v="2"/>
    <x v="2"/>
    <x v="1"/>
    <x v="2"/>
    <x v="42"/>
    <x v="293"/>
    <x v="3"/>
    <x v="34"/>
    <x v="34"/>
    <x v="2"/>
    <x v="34"/>
  </r>
  <r>
    <x v="1122"/>
    <x v="105"/>
    <x v="0"/>
    <x v="10"/>
    <x v="0"/>
    <x v="11"/>
    <x v="94"/>
    <x v="293"/>
    <x v="3"/>
    <x v="12"/>
    <x v="12"/>
    <x v="10"/>
    <x v="12"/>
  </r>
  <r>
    <x v="1123"/>
    <x v="154"/>
    <x v="0"/>
    <x v="24"/>
    <x v="0"/>
    <x v="42"/>
    <x v="133"/>
    <x v="293"/>
    <x v="3"/>
    <x v="77"/>
    <x v="77"/>
    <x v="24"/>
    <x v="77"/>
  </r>
  <r>
    <x v="1124"/>
    <x v="145"/>
    <x v="4"/>
    <x v="12"/>
    <x v="0"/>
    <x v="17"/>
    <x v="125"/>
    <x v="293"/>
    <x v="1"/>
    <x v="15"/>
    <x v="15"/>
    <x v="12"/>
    <x v="15"/>
  </r>
  <r>
    <x v="1125"/>
    <x v="107"/>
    <x v="1"/>
    <x v="1"/>
    <x v="3"/>
    <x v="1"/>
    <x v="83"/>
    <x v="293"/>
    <x v="1"/>
    <x v="1"/>
    <x v="1"/>
    <x v="1"/>
    <x v="1"/>
  </r>
  <r>
    <x v="1126"/>
    <x v="11"/>
    <x v="2"/>
    <x v="23"/>
    <x v="2"/>
    <x v="49"/>
    <x v="11"/>
    <x v="294"/>
    <x v="2"/>
    <x v="69"/>
    <x v="69"/>
    <x v="23"/>
    <x v="69"/>
  </r>
  <r>
    <x v="1127"/>
    <x v="100"/>
    <x v="0"/>
    <x v="18"/>
    <x v="0"/>
    <x v="39"/>
    <x v="89"/>
    <x v="294"/>
    <x v="0"/>
    <x v="78"/>
    <x v="78"/>
    <x v="18"/>
    <x v="78"/>
  </r>
  <r>
    <x v="1128"/>
    <x v="53"/>
    <x v="0"/>
    <x v="18"/>
    <x v="0"/>
    <x v="25"/>
    <x v="50"/>
    <x v="294"/>
    <x v="3"/>
    <x v="28"/>
    <x v="28"/>
    <x v="18"/>
    <x v="28"/>
  </r>
  <r>
    <x v="1129"/>
    <x v="28"/>
    <x v="0"/>
    <x v="18"/>
    <x v="0"/>
    <x v="39"/>
    <x v="27"/>
    <x v="294"/>
    <x v="2"/>
    <x v="57"/>
    <x v="57"/>
    <x v="18"/>
    <x v="57"/>
  </r>
  <r>
    <x v="1130"/>
    <x v="111"/>
    <x v="0"/>
    <x v="0"/>
    <x v="0"/>
    <x v="0"/>
    <x v="19"/>
    <x v="294"/>
    <x v="0"/>
    <x v="0"/>
    <x v="0"/>
    <x v="0"/>
    <x v="0"/>
  </r>
  <r>
    <x v="1131"/>
    <x v="124"/>
    <x v="3"/>
    <x v="8"/>
    <x v="1"/>
    <x v="43"/>
    <x v="107"/>
    <x v="294"/>
    <x v="1"/>
    <x v="19"/>
    <x v="19"/>
    <x v="8"/>
    <x v="19"/>
  </r>
  <r>
    <x v="1132"/>
    <x v="124"/>
    <x v="4"/>
    <x v="11"/>
    <x v="1"/>
    <x v="13"/>
    <x v="107"/>
    <x v="294"/>
    <x v="3"/>
    <x v="14"/>
    <x v="14"/>
    <x v="11"/>
    <x v="14"/>
  </r>
  <r>
    <x v="1133"/>
    <x v="102"/>
    <x v="1"/>
    <x v="7"/>
    <x v="0"/>
    <x v="34"/>
    <x v="91"/>
    <x v="294"/>
    <x v="2"/>
    <x v="82"/>
    <x v="82"/>
    <x v="7"/>
    <x v="82"/>
  </r>
  <r>
    <x v="1134"/>
    <x v="91"/>
    <x v="0"/>
    <x v="10"/>
    <x v="1"/>
    <x v="18"/>
    <x v="82"/>
    <x v="294"/>
    <x v="2"/>
    <x v="26"/>
    <x v="26"/>
    <x v="10"/>
    <x v="26"/>
  </r>
  <r>
    <x v="1135"/>
    <x v="172"/>
    <x v="1"/>
    <x v="1"/>
    <x v="1"/>
    <x v="33"/>
    <x v="125"/>
    <x v="294"/>
    <x v="1"/>
    <x v="1"/>
    <x v="1"/>
    <x v="1"/>
    <x v="1"/>
  </r>
  <r>
    <x v="1136"/>
    <x v="173"/>
    <x v="3"/>
    <x v="20"/>
    <x v="0"/>
    <x v="29"/>
    <x v="145"/>
    <x v="294"/>
    <x v="1"/>
    <x v="49"/>
    <x v="49"/>
    <x v="20"/>
    <x v="49"/>
  </r>
  <r>
    <x v="1137"/>
    <x v="55"/>
    <x v="3"/>
    <x v="13"/>
    <x v="2"/>
    <x v="16"/>
    <x v="52"/>
    <x v="294"/>
    <x v="1"/>
    <x v="96"/>
    <x v="96"/>
    <x v="13"/>
    <x v="96"/>
  </r>
  <r>
    <x v="1138"/>
    <x v="18"/>
    <x v="3"/>
    <x v="8"/>
    <x v="0"/>
    <x v="9"/>
    <x v="18"/>
    <x v="294"/>
    <x v="1"/>
    <x v="19"/>
    <x v="19"/>
    <x v="8"/>
    <x v="19"/>
  </r>
  <r>
    <x v="1139"/>
    <x v="74"/>
    <x v="2"/>
    <x v="4"/>
    <x v="2"/>
    <x v="4"/>
    <x v="69"/>
    <x v="294"/>
    <x v="1"/>
    <x v="31"/>
    <x v="31"/>
    <x v="4"/>
    <x v="31"/>
  </r>
  <r>
    <x v="1140"/>
    <x v="41"/>
    <x v="4"/>
    <x v="11"/>
    <x v="2"/>
    <x v="13"/>
    <x v="40"/>
    <x v="294"/>
    <x v="3"/>
    <x v="14"/>
    <x v="14"/>
    <x v="11"/>
    <x v="14"/>
  </r>
  <r>
    <x v="1141"/>
    <x v="125"/>
    <x v="2"/>
    <x v="15"/>
    <x v="1"/>
    <x v="46"/>
    <x v="106"/>
    <x v="294"/>
    <x v="3"/>
    <x v="72"/>
    <x v="72"/>
    <x v="15"/>
    <x v="72"/>
  </r>
  <r>
    <x v="1142"/>
    <x v="114"/>
    <x v="3"/>
    <x v="14"/>
    <x v="1"/>
    <x v="19"/>
    <x v="99"/>
    <x v="294"/>
    <x v="2"/>
    <x v="40"/>
    <x v="40"/>
    <x v="14"/>
    <x v="40"/>
  </r>
  <r>
    <x v="1143"/>
    <x v="136"/>
    <x v="4"/>
    <x v="11"/>
    <x v="1"/>
    <x v="13"/>
    <x v="117"/>
    <x v="294"/>
    <x v="1"/>
    <x v="89"/>
    <x v="89"/>
    <x v="11"/>
    <x v="89"/>
  </r>
  <r>
    <x v="1144"/>
    <x v="45"/>
    <x v="4"/>
    <x v="21"/>
    <x v="2"/>
    <x v="44"/>
    <x v="44"/>
    <x v="294"/>
    <x v="0"/>
    <x v="64"/>
    <x v="64"/>
    <x v="21"/>
    <x v="64"/>
  </r>
  <r>
    <x v="1145"/>
    <x v="62"/>
    <x v="2"/>
    <x v="4"/>
    <x v="0"/>
    <x v="24"/>
    <x v="59"/>
    <x v="294"/>
    <x v="2"/>
    <x v="7"/>
    <x v="7"/>
    <x v="4"/>
    <x v="7"/>
  </r>
  <r>
    <x v="1146"/>
    <x v="8"/>
    <x v="4"/>
    <x v="9"/>
    <x v="0"/>
    <x v="23"/>
    <x v="8"/>
    <x v="294"/>
    <x v="2"/>
    <x v="27"/>
    <x v="27"/>
    <x v="9"/>
    <x v="27"/>
  </r>
  <r>
    <x v="1147"/>
    <x v="79"/>
    <x v="2"/>
    <x v="4"/>
    <x v="2"/>
    <x v="4"/>
    <x v="73"/>
    <x v="295"/>
    <x v="0"/>
    <x v="44"/>
    <x v="44"/>
    <x v="4"/>
    <x v="44"/>
  </r>
  <r>
    <x v="1148"/>
    <x v="126"/>
    <x v="0"/>
    <x v="0"/>
    <x v="2"/>
    <x v="15"/>
    <x v="108"/>
    <x v="295"/>
    <x v="3"/>
    <x v="98"/>
    <x v="98"/>
    <x v="0"/>
    <x v="98"/>
  </r>
  <r>
    <x v="1149"/>
    <x v="20"/>
    <x v="1"/>
    <x v="6"/>
    <x v="3"/>
    <x v="37"/>
    <x v="20"/>
    <x v="295"/>
    <x v="3"/>
    <x v="91"/>
    <x v="91"/>
    <x v="6"/>
    <x v="91"/>
  </r>
  <r>
    <x v="1150"/>
    <x v="97"/>
    <x v="1"/>
    <x v="22"/>
    <x v="0"/>
    <x v="40"/>
    <x v="86"/>
    <x v="295"/>
    <x v="1"/>
    <x v="65"/>
    <x v="65"/>
    <x v="22"/>
    <x v="65"/>
  </r>
  <r>
    <x v="1151"/>
    <x v="60"/>
    <x v="4"/>
    <x v="21"/>
    <x v="0"/>
    <x v="32"/>
    <x v="57"/>
    <x v="295"/>
    <x v="3"/>
    <x v="70"/>
    <x v="70"/>
    <x v="21"/>
    <x v="70"/>
  </r>
  <r>
    <x v="1152"/>
    <x v="158"/>
    <x v="1"/>
    <x v="1"/>
    <x v="3"/>
    <x v="1"/>
    <x v="137"/>
    <x v="295"/>
    <x v="1"/>
    <x v="1"/>
    <x v="1"/>
    <x v="1"/>
    <x v="1"/>
  </r>
  <r>
    <x v="1153"/>
    <x v="36"/>
    <x v="1"/>
    <x v="1"/>
    <x v="2"/>
    <x v="33"/>
    <x v="35"/>
    <x v="296"/>
    <x v="3"/>
    <x v="90"/>
    <x v="90"/>
    <x v="1"/>
    <x v="90"/>
  </r>
  <r>
    <x v="1154"/>
    <x v="174"/>
    <x v="3"/>
    <x v="13"/>
    <x v="2"/>
    <x v="16"/>
    <x v="146"/>
    <x v="296"/>
    <x v="3"/>
    <x v="68"/>
    <x v="68"/>
    <x v="13"/>
    <x v="68"/>
  </r>
  <r>
    <x v="1155"/>
    <x v="136"/>
    <x v="0"/>
    <x v="18"/>
    <x v="1"/>
    <x v="25"/>
    <x v="117"/>
    <x v="296"/>
    <x v="3"/>
    <x v="28"/>
    <x v="28"/>
    <x v="18"/>
    <x v="28"/>
  </r>
  <r>
    <x v="1156"/>
    <x v="153"/>
    <x v="0"/>
    <x v="0"/>
    <x v="2"/>
    <x v="0"/>
    <x v="94"/>
    <x v="297"/>
    <x v="3"/>
    <x v="98"/>
    <x v="98"/>
    <x v="0"/>
    <x v="98"/>
  </r>
  <r>
    <x v="1157"/>
    <x v="81"/>
    <x v="0"/>
    <x v="0"/>
    <x v="2"/>
    <x v="0"/>
    <x v="74"/>
    <x v="297"/>
    <x v="0"/>
    <x v="0"/>
    <x v="0"/>
    <x v="0"/>
    <x v="0"/>
  </r>
  <r>
    <x v="1158"/>
    <x v="179"/>
    <x v="5"/>
    <x v="25"/>
    <x v="5"/>
    <x v="50"/>
    <x v="149"/>
    <x v="298"/>
    <x v="4"/>
    <x v="100"/>
    <x v="100"/>
    <x v="25"/>
    <x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29" firstHeaderRow="1" firstDataRow="1" firstDataCol="1"/>
  <pivotFields count="13">
    <pivotField compact="0" showAll="0">
      <items count="1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compact="0" showAll="0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multipleItemSelectionAllowed="1" showAll="0">
      <items count="27">
        <item x="0"/>
        <item x="7"/>
        <item x="15"/>
        <item x="16"/>
        <item x="24"/>
        <item x="17"/>
        <item x="8"/>
        <item x="11"/>
        <item x="18"/>
        <item x="12"/>
        <item x="4"/>
        <item x="5"/>
        <item x="6"/>
        <item x="1"/>
        <item x="14"/>
        <item x="13"/>
        <item x="20"/>
        <item x="3"/>
        <item x="19"/>
        <item x="22"/>
        <item x="10"/>
        <item x="9"/>
        <item x="21"/>
        <item x="2"/>
        <item x="23"/>
        <item h="1" x="2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Revenue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4:B40" firstHeaderRow="1" firstDataRow="1" firstDataCol="1"/>
  <pivotFields count="13">
    <pivotField compact="0" showAll="0">
      <items count="1160">
        <item x="916"/>
        <item x="1123"/>
        <item x="349"/>
        <item x="189"/>
        <item x="601"/>
        <item x="744"/>
        <item x="470"/>
        <item x="471"/>
        <item x="673"/>
        <item x="229"/>
        <item x="1098"/>
        <item x="571"/>
        <item x="712"/>
        <item x="804"/>
        <item x="936"/>
        <item x="453"/>
        <item x="965"/>
        <item x="1017"/>
        <item x="241"/>
        <item x="345"/>
        <item x="617"/>
        <item x="918"/>
        <item x="339"/>
        <item x="124"/>
        <item x="566"/>
        <item x="550"/>
        <item x="930"/>
        <item x="896"/>
        <item x="1068"/>
        <item x="793"/>
        <item x="252"/>
        <item x="1085"/>
        <item x="560"/>
        <item x="994"/>
        <item x="426"/>
        <item x="772"/>
        <item x="483"/>
        <item x="457"/>
        <item x="15"/>
        <item x="1128"/>
        <item x="689"/>
        <item x="890"/>
        <item x="72"/>
        <item x="90"/>
        <item x="711"/>
        <item x="414"/>
        <item x="1063"/>
        <item x="546"/>
        <item x="616"/>
        <item x="951"/>
        <item x="227"/>
        <item x="393"/>
        <item x="1151"/>
        <item x="565"/>
        <item x="840"/>
        <item x="1013"/>
        <item x="876"/>
        <item x="288"/>
        <item x="97"/>
        <item x="795"/>
        <item x="356"/>
        <item x="102"/>
        <item x="445"/>
        <item x="759"/>
        <item x="889"/>
        <item x="690"/>
        <item x="276"/>
        <item x="980"/>
        <item x="1019"/>
        <item x="905"/>
        <item x="1122"/>
        <item x="500"/>
        <item x="475"/>
        <item x="527"/>
        <item x="312"/>
        <item x="1148"/>
        <item x="589"/>
        <item x="352"/>
        <item x="885"/>
        <item x="555"/>
        <item x="754"/>
        <item x="625"/>
        <item x="878"/>
        <item x="822"/>
        <item x="230"/>
        <item x="802"/>
        <item x="1144"/>
        <item x="431"/>
        <item x="691"/>
        <item x="1042"/>
        <item x="618"/>
        <item x="801"/>
        <item x="303"/>
        <item x="334"/>
        <item x="679"/>
        <item x="42"/>
        <item x="477"/>
        <item x="622"/>
        <item x="440"/>
        <item x="543"/>
        <item x="154"/>
        <item x="697"/>
        <item x="646"/>
        <item x="634"/>
        <item x="920"/>
        <item x="373"/>
        <item x="479"/>
        <item x="11"/>
        <item x="564"/>
        <item x="365"/>
        <item x="88"/>
        <item x="883"/>
        <item x="269"/>
        <item x="585"/>
        <item x="717"/>
        <item x="101"/>
        <item x="424"/>
        <item x="418"/>
        <item x="1126"/>
        <item x="1104"/>
        <item x="699"/>
        <item x="174"/>
        <item x="796"/>
        <item x="151"/>
        <item x="62"/>
        <item x="291"/>
        <item x="995"/>
        <item x="1045"/>
        <item x="433"/>
        <item x="489"/>
        <item x="1053"/>
        <item x="343"/>
        <item x="897"/>
        <item x="480"/>
        <item x="1036"/>
        <item x="943"/>
        <item x="1138"/>
        <item x="658"/>
        <item x="262"/>
        <item x="181"/>
        <item x="716"/>
        <item x="584"/>
        <item x="1140"/>
        <item x="61"/>
        <item x="688"/>
        <item x="263"/>
        <item x="1034"/>
        <item x="167"/>
        <item x="435"/>
        <item x="1127"/>
        <item x="96"/>
        <item x="302"/>
        <item x="416"/>
        <item x="705"/>
        <item x="1134"/>
        <item x="260"/>
        <item x="1057"/>
        <item x="41"/>
        <item x="556"/>
        <item x="844"/>
        <item x="13"/>
        <item x="962"/>
        <item x="177"/>
        <item x="595"/>
        <item x="580"/>
        <item x="136"/>
        <item x="1135"/>
        <item x="1103"/>
        <item x="331"/>
        <item x="463"/>
        <item x="977"/>
        <item x="284"/>
        <item x="1026"/>
        <item x="1051"/>
        <item x="1040"/>
        <item x="924"/>
        <item x="1111"/>
        <item x="98"/>
        <item x="741"/>
        <item x="251"/>
        <item x="1022"/>
        <item x="830"/>
        <item x="877"/>
        <item x="370"/>
        <item x="727"/>
        <item x="142"/>
        <item x="290"/>
        <item x="232"/>
        <item x="610"/>
        <item x="708"/>
        <item x="1120"/>
        <item x="530"/>
        <item x="698"/>
        <item x="783"/>
        <item x="577"/>
        <item x="779"/>
        <item x="386"/>
        <item x="406"/>
        <item x="957"/>
        <item x="1094"/>
        <item x="430"/>
        <item x="1000"/>
        <item x="1130"/>
        <item x="730"/>
        <item x="1117"/>
        <item x="310"/>
        <item x="350"/>
        <item x="1073"/>
        <item x="308"/>
        <item x="1082"/>
        <item x="990"/>
        <item x="758"/>
        <item x="893"/>
        <item x="637"/>
        <item x="1084"/>
        <item x="22"/>
        <item x="671"/>
        <item x="776"/>
        <item x="856"/>
        <item x="1054"/>
        <item x="16"/>
        <item x="68"/>
        <item x="998"/>
        <item x="169"/>
        <item x="170"/>
        <item x="459"/>
        <item x="518"/>
        <item x="1156"/>
        <item x="216"/>
        <item x="53"/>
        <item x="358"/>
        <item x="362"/>
        <item x="771"/>
        <item x="899"/>
        <item x="110"/>
        <item x="914"/>
        <item x="1069"/>
        <item x="971"/>
        <item x="931"/>
        <item x="934"/>
        <item x="286"/>
        <item x="201"/>
        <item x="279"/>
        <item x="0"/>
        <item x="442"/>
        <item x="709"/>
        <item x="387"/>
        <item x="952"/>
        <item x="1007"/>
        <item x="762"/>
        <item x="255"/>
        <item x="225"/>
        <item x="458"/>
        <item x="503"/>
        <item x="309"/>
        <item x="623"/>
        <item x="984"/>
        <item x="522"/>
        <item x="504"/>
        <item x="19"/>
        <item x="1150"/>
        <item x="935"/>
        <item x="389"/>
        <item x="1119"/>
        <item x="257"/>
        <item x="210"/>
        <item x="1043"/>
        <item x="497"/>
        <item x="1065"/>
        <item x="484"/>
        <item x="534"/>
        <item x="380"/>
        <item x="773"/>
        <item x="1033"/>
        <item x="332"/>
        <item x="1077"/>
        <item x="304"/>
        <item x="23"/>
        <item x="147"/>
        <item x="725"/>
        <item x="415"/>
        <item x="200"/>
        <item x="842"/>
        <item x="609"/>
        <item x="604"/>
        <item x="450"/>
        <item x="664"/>
        <item x="528"/>
        <item x="803"/>
        <item x="377"/>
        <item x="866"/>
        <item x="925"/>
        <item x="835"/>
        <item x="207"/>
        <item x="519"/>
        <item x="642"/>
        <item x="109"/>
        <item x="964"/>
        <item x="911"/>
        <item x="245"/>
        <item x="121"/>
        <item x="692"/>
        <item x="887"/>
        <item x="545"/>
        <item x="164"/>
        <item x="505"/>
        <item x="402"/>
        <item x="508"/>
        <item x="521"/>
        <item x="1107"/>
        <item x="1080"/>
        <item x="824"/>
        <item x="1072"/>
        <item x="155"/>
        <item x="768"/>
        <item x="199"/>
        <item x="915"/>
        <item x="782"/>
        <item x="141"/>
        <item x="1121"/>
        <item x="135"/>
        <item x="446"/>
        <item x="886"/>
        <item x="509"/>
        <item x="753"/>
        <item x="281"/>
        <item x="598"/>
        <item x="163"/>
        <item x="581"/>
        <item x="1023"/>
        <item x="194"/>
        <item x="583"/>
        <item x="180"/>
        <item x="119"/>
        <item x="65"/>
        <item x="239"/>
        <item x="648"/>
        <item x="778"/>
        <item x="55"/>
        <item x="256"/>
        <item x="273"/>
        <item x="573"/>
        <item x="176"/>
        <item x="1145"/>
        <item x="827"/>
        <item x="846"/>
        <item x="422"/>
        <item x="600"/>
        <item x="271"/>
        <item x="1027"/>
        <item x="117"/>
        <item x="161"/>
        <item x="238"/>
        <item x="293"/>
        <item x="24"/>
        <item x="33"/>
        <item x="594"/>
        <item x="152"/>
        <item x="295"/>
        <item x="870"/>
        <item x="849"/>
        <item x="74"/>
        <item x="441"/>
        <item x="586"/>
        <item x="788"/>
        <item x="1112"/>
        <item x="755"/>
        <item x="713"/>
        <item x="83"/>
        <item x="369"/>
        <item x="978"/>
        <item x="1093"/>
        <item x="1142"/>
        <item x="378"/>
        <item x="175"/>
        <item x="537"/>
        <item x="451"/>
        <item x="448"/>
        <item x="720"/>
        <item x="975"/>
        <item x="27"/>
        <item x="133"/>
        <item x="456"/>
        <item x="396"/>
        <item x="868"/>
        <item x="52"/>
        <item x="800"/>
        <item x="376"/>
        <item x="786"/>
        <item x="82"/>
        <item x="770"/>
        <item x="667"/>
        <item x="427"/>
        <item x="125"/>
        <item x="970"/>
        <item x="39"/>
        <item x="351"/>
        <item x="603"/>
        <item x="307"/>
        <item x="423"/>
        <item x="767"/>
        <item x="140"/>
        <item x="214"/>
        <item x="17"/>
        <item x="329"/>
        <item x="879"/>
        <item x="2"/>
        <item x="791"/>
        <item x="447"/>
        <item x="895"/>
        <item x="531"/>
        <item x="294"/>
        <item x="997"/>
        <item x="372"/>
        <item x="619"/>
        <item x="81"/>
        <item x="91"/>
        <item x="287"/>
        <item x="520"/>
        <item x="1010"/>
        <item x="898"/>
        <item x="1124"/>
        <item x="105"/>
        <item x="988"/>
        <item x="535"/>
        <item x="1049"/>
        <item x="814"/>
        <item x="338"/>
        <item x="348"/>
        <item x="939"/>
        <item x="777"/>
        <item x="215"/>
        <item x="59"/>
        <item x="960"/>
        <item x="651"/>
        <item x="848"/>
        <item x="150"/>
        <item x="76"/>
        <item x="993"/>
        <item x="942"/>
        <item x="913"/>
        <item x="86"/>
        <item x="439"/>
        <item x="576"/>
        <item x="525"/>
        <item x="1025"/>
        <item x="630"/>
        <item x="781"/>
        <item x="808"/>
        <item x="544"/>
        <item x="1097"/>
        <item x="1101"/>
        <item x="265"/>
        <item x="865"/>
        <item x="100"/>
        <item x="655"/>
        <item x="134"/>
        <item x="859"/>
        <item x="29"/>
        <item x="371"/>
        <item x="1079"/>
        <item x="937"/>
        <item x="1100"/>
        <item x="860"/>
        <item x="30"/>
        <item x="875"/>
        <item x="311"/>
        <item x="205"/>
        <item x="640"/>
        <item x="572"/>
        <item x="1056"/>
        <item x="460"/>
        <item x="633"/>
        <item x="240"/>
        <item x="202"/>
        <item x="733"/>
        <item x="590"/>
        <item x="94"/>
        <item x="894"/>
        <item x="166"/>
        <item x="31"/>
        <item x="968"/>
        <item x="14"/>
        <item x="1035"/>
        <item x="1014"/>
        <item x="220"/>
        <item x="852"/>
        <item x="695"/>
        <item x="969"/>
        <item x="981"/>
        <item x="127"/>
        <item x="973"/>
        <item x="148"/>
        <item x="769"/>
        <item x="987"/>
        <item x="1086"/>
        <item x="363"/>
        <item x="335"/>
        <item x="553"/>
        <item x="532"/>
        <item x="1133"/>
        <item x="726"/>
        <item x="115"/>
        <item x="529"/>
        <item x="1038"/>
        <item x="419"/>
        <item x="685"/>
        <item x="816"/>
        <item x="434"/>
        <item x="6"/>
        <item x="494"/>
        <item x="1059"/>
        <item x="944"/>
        <item x="621"/>
        <item x="320"/>
        <item x="132"/>
        <item x="438"/>
        <item x="999"/>
        <item x="452"/>
        <item x="591"/>
        <item x="165"/>
        <item x="672"/>
        <item x="425"/>
        <item x="1048"/>
        <item x="203"/>
        <item x="549"/>
        <item x="1090"/>
        <item x="305"/>
        <item x="221"/>
        <item x="653"/>
        <item x="1154"/>
        <item x="563"/>
        <item x="211"/>
        <item x="366"/>
        <item x="1102"/>
        <item x="813"/>
        <item x="940"/>
        <item x="40"/>
        <item x="71"/>
        <item x="379"/>
        <item x="888"/>
        <item x="570"/>
        <item x="972"/>
        <item x="401"/>
        <item x="568"/>
        <item x="46"/>
        <item x="212"/>
        <item x="996"/>
        <item x="493"/>
        <item x="231"/>
        <item x="933"/>
        <item x="54"/>
        <item x="745"/>
        <item x="680"/>
        <item x="197"/>
        <item x="714"/>
        <item x="354"/>
        <item x="748"/>
        <item x="833"/>
        <item x="657"/>
        <item x="757"/>
        <item x="582"/>
        <item x="644"/>
        <item x="359"/>
        <item x="461"/>
        <item x="1109"/>
        <item x="18"/>
        <item x="412"/>
        <item x="1004"/>
        <item x="1075"/>
        <item x="277"/>
        <item x="799"/>
        <item x="25"/>
        <item x="666"/>
        <item x="1024"/>
        <item x="171"/>
        <item x="774"/>
        <item x="327"/>
        <item x="954"/>
        <item x="1002"/>
        <item x="632"/>
        <item x="502"/>
        <item x="485"/>
        <item x="122"/>
        <item x="829"/>
        <item x="1015"/>
        <item x="160"/>
        <item x="597"/>
        <item x="756"/>
        <item x="512"/>
        <item x="851"/>
        <item x="318"/>
        <item x="204"/>
        <item x="765"/>
        <item x="58"/>
        <item x="670"/>
        <item x="382"/>
        <item x="336"/>
        <item x="1055"/>
        <item x="328"/>
        <item x="900"/>
        <item x="1046"/>
        <item x="958"/>
        <item x="674"/>
        <item x="399"/>
        <item x="867"/>
        <item x="236"/>
        <item x="629"/>
        <item x="1050"/>
        <item x="1116"/>
        <item x="126"/>
        <item x="578"/>
        <item x="162"/>
        <item x="217"/>
        <item x="44"/>
        <item x="1044"/>
        <item x="107"/>
        <item x="50"/>
        <item x="850"/>
        <item x="607"/>
        <item x="871"/>
        <item x="620"/>
        <item x="57"/>
        <item x="614"/>
        <item x="821"/>
        <item x="149"/>
        <item x="195"/>
        <item x="153"/>
        <item x="361"/>
        <item x="84"/>
        <item x="1066"/>
        <item x="613"/>
        <item x="991"/>
        <item x="547"/>
        <item x="974"/>
        <item x="743"/>
        <item x="863"/>
        <item x="47"/>
        <item x="185"/>
        <item x="516"/>
        <item x="408"/>
        <item x="499"/>
        <item x="130"/>
        <item x="963"/>
        <item x="190"/>
        <item x="675"/>
        <item x="145"/>
        <item x="118"/>
        <item x="1129"/>
        <item x="285"/>
        <item x="296"/>
        <item x="1095"/>
        <item x="1078"/>
        <item x="742"/>
        <item x="806"/>
        <item x="526"/>
        <item x="880"/>
        <item x="834"/>
        <item x="1155"/>
        <item x="732"/>
        <item x="907"/>
        <item x="628"/>
        <item x="605"/>
        <item x="468"/>
        <item x="579"/>
        <item x="575"/>
        <item x="989"/>
        <item x="976"/>
        <item x="1132"/>
        <item x="663"/>
        <item x="75"/>
        <item x="1152"/>
        <item x="340"/>
        <item x="289"/>
        <item x="668"/>
        <item x="749"/>
        <item x="901"/>
        <item x="662"/>
        <item x="874"/>
        <item x="274"/>
        <item x="615"/>
        <item x="213"/>
        <item x="347"/>
        <item x="89"/>
        <item x="1099"/>
        <item x="404"/>
        <item x="715"/>
        <item x="654"/>
        <item x="436"/>
        <item x="498"/>
        <item x="270"/>
        <item x="687"/>
        <item x="986"/>
        <item x="683"/>
        <item x="267"/>
        <item x="677"/>
        <item x="979"/>
        <item x="486"/>
        <item x="694"/>
        <item x="333"/>
        <item x="736"/>
        <item x="702"/>
        <item x="103"/>
        <item x="272"/>
        <item x="143"/>
        <item x="847"/>
        <item x="825"/>
        <item x="1028"/>
        <item x="1021"/>
        <item x="179"/>
        <item x="790"/>
        <item x="342"/>
        <item x="1005"/>
        <item x="173"/>
        <item x="66"/>
        <item x="395"/>
        <item x="538"/>
        <item x="853"/>
        <item x="910"/>
        <item x="99"/>
        <item x="454"/>
        <item x="246"/>
        <item x="1131"/>
        <item x="884"/>
        <item x="1125"/>
        <item x="224"/>
        <item x="313"/>
        <item x="536"/>
        <item x="843"/>
        <item x="540"/>
        <item x="775"/>
        <item x="10"/>
        <item x="949"/>
        <item x="678"/>
        <item x="1088"/>
        <item x="681"/>
        <item x="902"/>
        <item x="1106"/>
        <item x="735"/>
        <item x="1096"/>
        <item x="266"/>
        <item x="219"/>
        <item x="407"/>
        <item x="323"/>
        <item x="209"/>
        <item x="841"/>
        <item x="36"/>
        <item x="488"/>
        <item x="961"/>
        <item x="1071"/>
        <item x="28"/>
        <item x="93"/>
        <item x="1060"/>
        <item x="250"/>
        <item x="73"/>
        <item x="707"/>
        <item x="478"/>
        <item x="432"/>
        <item x="367"/>
        <item x="751"/>
        <item x="326"/>
        <item x="364"/>
        <item x="34"/>
        <item x="928"/>
        <item x="20"/>
        <item x="638"/>
        <item x="660"/>
        <item x="467"/>
        <item x="533"/>
        <item x="652"/>
        <item x="1070"/>
        <item x="292"/>
        <item x="247"/>
        <item x="686"/>
        <item x="283"/>
        <item x="831"/>
        <item x="554"/>
        <item x="665"/>
        <item x="314"/>
        <item x="114"/>
        <item x="608"/>
        <item x="218"/>
        <item x="138"/>
        <item x="588"/>
        <item x="397"/>
        <item x="69"/>
        <item x="1006"/>
        <item x="558"/>
        <item x="541"/>
        <item x="1012"/>
        <item x="120"/>
        <item x="661"/>
        <item x="836"/>
        <item x="410"/>
        <item x="511"/>
        <item x="967"/>
        <item x="317"/>
        <item x="787"/>
        <item x="196"/>
        <item x="746"/>
        <item x="87"/>
        <item x="322"/>
        <item x="192"/>
        <item x="455"/>
        <item x="696"/>
        <item x="476"/>
        <item x="482"/>
        <item x="186"/>
        <item x="592"/>
        <item x="602"/>
        <item x="280"/>
        <item x="21"/>
        <item x="129"/>
        <item x="394"/>
        <item x="487"/>
        <item x="1089"/>
        <item x="268"/>
        <item x="724"/>
        <item x="244"/>
        <item x="839"/>
        <item x="574"/>
        <item x="85"/>
        <item x="355"/>
        <item x="198"/>
        <item x="420"/>
        <item x="400"/>
        <item x="368"/>
        <item x="700"/>
        <item x="409"/>
        <item x="37"/>
        <item x="297"/>
        <item x="506"/>
        <item x="146"/>
        <item x="278"/>
        <item x="437"/>
        <item x="722"/>
        <item x="299"/>
        <item x="12"/>
        <item x="1030"/>
        <item x="249"/>
        <item x="248"/>
        <item x="857"/>
        <item x="539"/>
        <item x="854"/>
        <item x="139"/>
        <item x="1081"/>
        <item x="1062"/>
        <item x="723"/>
        <item x="472"/>
        <item x="862"/>
        <item x="706"/>
        <item x="517"/>
        <item x="259"/>
        <item x="495"/>
        <item x="92"/>
        <item x="228"/>
        <item x="612"/>
        <item x="892"/>
        <item x="208"/>
        <item x="780"/>
        <item x="1018"/>
        <item x="1003"/>
        <item x="599"/>
        <item x="766"/>
        <item x="639"/>
        <item x="360"/>
        <item x="927"/>
        <item x="752"/>
        <item x="1153"/>
        <item x="104"/>
        <item x="921"/>
        <item x="559"/>
        <item x="403"/>
        <item x="301"/>
        <item x="785"/>
        <item x="330"/>
        <item x="569"/>
        <item x="1083"/>
        <item x="551"/>
        <item x="552"/>
        <item x="282"/>
        <item x="1087"/>
        <item x="693"/>
        <item x="306"/>
        <item x="941"/>
        <item x="656"/>
        <item x="112"/>
        <item x="926"/>
        <item x="226"/>
        <item x="513"/>
        <item x="38"/>
        <item x="1009"/>
        <item x="275"/>
        <item x="405"/>
        <item x="881"/>
        <item x="719"/>
        <item x="855"/>
        <item x="466"/>
        <item x="261"/>
        <item x="959"/>
        <item x="740"/>
        <item x="815"/>
        <item x="1058"/>
        <item x="904"/>
        <item x="864"/>
        <item x="128"/>
        <item x="264"/>
        <item x="428"/>
        <item x="234"/>
        <item x="80"/>
        <item x="357"/>
        <item x="682"/>
        <item x="64"/>
        <item x="35"/>
        <item x="641"/>
        <item x="48"/>
        <item x="728"/>
        <item x="882"/>
        <item x="325"/>
        <item x="188"/>
        <item x="1141"/>
        <item x="449"/>
        <item x="384"/>
        <item x="375"/>
        <item x="344"/>
        <item x="501"/>
        <item x="481"/>
        <item x="514"/>
        <item x="738"/>
        <item x="390"/>
        <item x="374"/>
        <item x="56"/>
        <item x="797"/>
        <item x="144"/>
        <item x="381"/>
        <item x="26"/>
        <item x="845"/>
        <item x="321"/>
        <item x="891"/>
        <item x="1136"/>
        <item x="67"/>
        <item x="676"/>
        <item x="1092"/>
        <item x="817"/>
        <item x="659"/>
        <item x="1001"/>
        <item x="731"/>
        <item x="809"/>
        <item x="811"/>
        <item x="805"/>
        <item x="95"/>
        <item x="1114"/>
        <item x="1031"/>
        <item x="137"/>
        <item x="739"/>
        <item x="388"/>
        <item x="507"/>
        <item x="60"/>
        <item x="1011"/>
        <item x="1041"/>
        <item x="1118"/>
        <item x="826"/>
        <item x="734"/>
        <item x="49"/>
        <item x="636"/>
        <item x="172"/>
        <item x="669"/>
        <item x="737"/>
        <item x="761"/>
        <item x="51"/>
        <item x="1067"/>
        <item x="1037"/>
        <item x="158"/>
        <item x="919"/>
        <item x="955"/>
        <item x="929"/>
        <item x="178"/>
        <item x="917"/>
        <item x="812"/>
        <item x="798"/>
        <item x="593"/>
        <item x="123"/>
        <item x="703"/>
        <item x="465"/>
        <item x="818"/>
        <item x="385"/>
        <item x="820"/>
        <item x="948"/>
        <item x="254"/>
        <item x="492"/>
        <item x="443"/>
        <item x="872"/>
        <item x="903"/>
        <item x="947"/>
        <item x="315"/>
        <item x="956"/>
        <item x="1008"/>
        <item x="1039"/>
        <item x="861"/>
        <item x="1146"/>
        <item x="346"/>
        <item x="242"/>
        <item x="237"/>
        <item x="496"/>
        <item x="624"/>
        <item x="1108"/>
        <item x="923"/>
        <item x="413"/>
        <item x="184"/>
        <item x="966"/>
        <item x="79"/>
        <item x="392"/>
        <item x="1052"/>
        <item x="300"/>
        <item x="647"/>
        <item x="417"/>
        <item x="631"/>
        <item x="983"/>
        <item x="823"/>
        <item x="1147"/>
        <item x="398"/>
        <item x="469"/>
        <item x="1064"/>
        <item x="750"/>
        <item x="938"/>
        <item x="1113"/>
        <item x="606"/>
        <item x="828"/>
        <item x="1137"/>
        <item x="157"/>
        <item x="1016"/>
        <item x="182"/>
        <item x="462"/>
        <item x="473"/>
        <item x="1061"/>
        <item x="596"/>
        <item x="1139"/>
        <item x="908"/>
        <item x="548"/>
        <item x="1143"/>
        <item x="1020"/>
        <item x="650"/>
        <item x="258"/>
        <item x="233"/>
        <item x="561"/>
        <item x="1157"/>
        <item x="341"/>
        <item x="645"/>
        <item x="906"/>
        <item x="567"/>
        <item x="191"/>
        <item x="63"/>
        <item x="760"/>
        <item x="464"/>
        <item x="1032"/>
        <item x="950"/>
        <item x="168"/>
        <item x="491"/>
        <item x="627"/>
        <item x="510"/>
        <item x="429"/>
        <item x="1149"/>
        <item x="116"/>
        <item x="1110"/>
        <item x="113"/>
        <item x="869"/>
        <item x="792"/>
        <item x="982"/>
        <item x="838"/>
        <item x="43"/>
        <item x="70"/>
        <item x="383"/>
        <item x="77"/>
        <item x="718"/>
        <item x="649"/>
        <item x="701"/>
        <item x="587"/>
        <item x="542"/>
        <item x="156"/>
        <item x="1029"/>
        <item x="524"/>
        <item x="992"/>
        <item x="243"/>
        <item x="316"/>
        <item x="223"/>
        <item x="1115"/>
        <item x="807"/>
        <item x="729"/>
        <item x="206"/>
        <item x="391"/>
        <item x="704"/>
        <item x="912"/>
        <item x="4"/>
        <item x="78"/>
        <item x="8"/>
        <item x="1"/>
        <item x="193"/>
        <item x="789"/>
        <item x="710"/>
        <item x="515"/>
        <item x="187"/>
        <item x="1091"/>
        <item x="444"/>
        <item x="159"/>
        <item x="324"/>
        <item x="319"/>
        <item x="784"/>
        <item x="985"/>
        <item x="837"/>
        <item x="1076"/>
        <item x="421"/>
        <item x="131"/>
        <item x="474"/>
        <item x="235"/>
        <item x="643"/>
        <item x="9"/>
        <item x="626"/>
        <item x="932"/>
        <item x="353"/>
        <item x="490"/>
        <item x="909"/>
        <item x="764"/>
        <item x="523"/>
        <item x="922"/>
        <item x="810"/>
        <item x="183"/>
        <item x="106"/>
        <item x="108"/>
        <item x="298"/>
        <item x="946"/>
        <item x="3"/>
        <item x="721"/>
        <item x="1047"/>
        <item x="945"/>
        <item x="858"/>
        <item x="819"/>
        <item x="953"/>
        <item x="557"/>
        <item x="111"/>
        <item x="611"/>
        <item x="5"/>
        <item x="253"/>
        <item x="1105"/>
        <item x="747"/>
        <item x="45"/>
        <item x="337"/>
        <item x="222"/>
        <item x="7"/>
        <item x="562"/>
        <item x="832"/>
        <item x="763"/>
        <item x="1074"/>
        <item x="794"/>
        <item x="411"/>
        <item x="684"/>
        <item x="873"/>
        <item x="32"/>
        <item x="635"/>
        <item x="1158"/>
        <item t="default"/>
      </items>
    </pivotField>
    <pivotField compact="0" showAll="0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axis="axisRow"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27">
        <item x="0"/>
        <item x="7"/>
        <item x="15"/>
        <item x="16"/>
        <item x="24"/>
        <item x="17"/>
        <item x="8"/>
        <item x="11"/>
        <item x="18"/>
        <item x="12"/>
        <item x="4"/>
        <item x="5"/>
        <item x="6"/>
        <item x="1"/>
        <item x="14"/>
        <item x="13"/>
        <item x="20"/>
        <item x="3"/>
        <item x="19"/>
        <item x="22"/>
        <item x="10"/>
        <item x="9"/>
        <item x="21"/>
        <item x="2"/>
        <item x="23"/>
        <item x="2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3:B48" firstHeaderRow="1" firstDataRow="1" firstDataCol="1"/>
  <pivotFields count="13">
    <pivotField compact="0" showAll="0">
      <items count="1160">
        <item x="916"/>
        <item x="1123"/>
        <item x="349"/>
        <item x="189"/>
        <item x="601"/>
        <item x="744"/>
        <item x="470"/>
        <item x="471"/>
        <item x="673"/>
        <item x="229"/>
        <item x="1098"/>
        <item x="571"/>
        <item x="712"/>
        <item x="804"/>
        <item x="936"/>
        <item x="453"/>
        <item x="965"/>
        <item x="1017"/>
        <item x="241"/>
        <item x="345"/>
        <item x="617"/>
        <item x="918"/>
        <item x="339"/>
        <item x="124"/>
        <item x="566"/>
        <item x="550"/>
        <item x="930"/>
        <item x="896"/>
        <item x="1068"/>
        <item x="793"/>
        <item x="252"/>
        <item x="1085"/>
        <item x="560"/>
        <item x="994"/>
        <item x="426"/>
        <item x="772"/>
        <item x="483"/>
        <item x="457"/>
        <item x="15"/>
        <item x="1128"/>
        <item x="689"/>
        <item x="890"/>
        <item x="72"/>
        <item x="90"/>
        <item x="711"/>
        <item x="414"/>
        <item x="1063"/>
        <item x="546"/>
        <item x="616"/>
        <item x="951"/>
        <item x="227"/>
        <item x="393"/>
        <item x="1151"/>
        <item x="565"/>
        <item x="840"/>
        <item x="1013"/>
        <item x="876"/>
        <item x="288"/>
        <item x="97"/>
        <item x="795"/>
        <item x="356"/>
        <item x="102"/>
        <item x="445"/>
        <item x="759"/>
        <item x="889"/>
        <item x="690"/>
        <item x="276"/>
        <item x="980"/>
        <item x="1019"/>
        <item x="905"/>
        <item x="1122"/>
        <item x="500"/>
        <item x="475"/>
        <item x="527"/>
        <item x="312"/>
        <item x="1148"/>
        <item x="589"/>
        <item x="352"/>
        <item x="885"/>
        <item x="555"/>
        <item x="754"/>
        <item x="625"/>
        <item x="878"/>
        <item x="822"/>
        <item x="230"/>
        <item x="802"/>
        <item x="1144"/>
        <item x="431"/>
        <item x="691"/>
        <item x="1042"/>
        <item x="618"/>
        <item x="801"/>
        <item x="303"/>
        <item x="334"/>
        <item x="679"/>
        <item x="42"/>
        <item x="477"/>
        <item x="622"/>
        <item x="440"/>
        <item x="543"/>
        <item x="154"/>
        <item x="697"/>
        <item x="646"/>
        <item x="634"/>
        <item x="920"/>
        <item x="373"/>
        <item x="479"/>
        <item x="11"/>
        <item x="564"/>
        <item x="365"/>
        <item x="88"/>
        <item x="883"/>
        <item x="269"/>
        <item x="585"/>
        <item x="717"/>
        <item x="101"/>
        <item x="424"/>
        <item x="418"/>
        <item x="1126"/>
        <item x="1104"/>
        <item x="699"/>
        <item x="174"/>
        <item x="796"/>
        <item x="151"/>
        <item x="62"/>
        <item x="291"/>
        <item x="995"/>
        <item x="1045"/>
        <item x="433"/>
        <item x="489"/>
        <item x="1053"/>
        <item x="343"/>
        <item x="897"/>
        <item x="480"/>
        <item x="1036"/>
        <item x="943"/>
        <item x="1138"/>
        <item x="658"/>
        <item x="262"/>
        <item x="181"/>
        <item x="716"/>
        <item x="584"/>
        <item x="1140"/>
        <item x="61"/>
        <item x="688"/>
        <item x="263"/>
        <item x="1034"/>
        <item x="167"/>
        <item x="435"/>
        <item x="1127"/>
        <item x="96"/>
        <item x="302"/>
        <item x="416"/>
        <item x="705"/>
        <item x="1134"/>
        <item x="260"/>
        <item x="1057"/>
        <item x="41"/>
        <item x="556"/>
        <item x="844"/>
        <item x="13"/>
        <item x="962"/>
        <item x="177"/>
        <item x="595"/>
        <item x="580"/>
        <item x="136"/>
        <item x="1135"/>
        <item x="1103"/>
        <item x="331"/>
        <item x="463"/>
        <item x="977"/>
        <item x="284"/>
        <item x="1026"/>
        <item x="1051"/>
        <item x="1040"/>
        <item x="924"/>
        <item x="1111"/>
        <item x="98"/>
        <item x="741"/>
        <item x="251"/>
        <item x="1022"/>
        <item x="830"/>
        <item x="877"/>
        <item x="370"/>
        <item x="727"/>
        <item x="142"/>
        <item x="290"/>
        <item x="232"/>
        <item x="610"/>
        <item x="708"/>
        <item x="1120"/>
        <item x="530"/>
        <item x="698"/>
        <item x="783"/>
        <item x="577"/>
        <item x="779"/>
        <item x="386"/>
        <item x="406"/>
        <item x="957"/>
        <item x="1094"/>
        <item x="430"/>
        <item x="1000"/>
        <item x="1130"/>
        <item x="730"/>
        <item x="1117"/>
        <item x="310"/>
        <item x="350"/>
        <item x="1073"/>
        <item x="308"/>
        <item x="1082"/>
        <item x="990"/>
        <item x="758"/>
        <item x="893"/>
        <item x="637"/>
        <item x="1084"/>
        <item x="22"/>
        <item x="671"/>
        <item x="776"/>
        <item x="856"/>
        <item x="1054"/>
        <item x="16"/>
        <item x="68"/>
        <item x="998"/>
        <item x="169"/>
        <item x="170"/>
        <item x="459"/>
        <item x="518"/>
        <item x="1156"/>
        <item x="216"/>
        <item x="53"/>
        <item x="358"/>
        <item x="362"/>
        <item x="771"/>
        <item x="899"/>
        <item x="110"/>
        <item x="914"/>
        <item x="1069"/>
        <item x="971"/>
        <item x="931"/>
        <item x="934"/>
        <item x="286"/>
        <item x="201"/>
        <item x="279"/>
        <item x="0"/>
        <item x="442"/>
        <item x="709"/>
        <item x="387"/>
        <item x="952"/>
        <item x="1007"/>
        <item x="762"/>
        <item x="255"/>
        <item x="225"/>
        <item x="458"/>
        <item x="503"/>
        <item x="309"/>
        <item x="623"/>
        <item x="984"/>
        <item x="522"/>
        <item x="504"/>
        <item x="19"/>
        <item x="1150"/>
        <item x="935"/>
        <item x="389"/>
        <item x="1119"/>
        <item x="257"/>
        <item x="210"/>
        <item x="1043"/>
        <item x="497"/>
        <item x="1065"/>
        <item x="484"/>
        <item x="534"/>
        <item x="380"/>
        <item x="773"/>
        <item x="1033"/>
        <item x="332"/>
        <item x="1077"/>
        <item x="304"/>
        <item x="23"/>
        <item x="147"/>
        <item x="725"/>
        <item x="415"/>
        <item x="200"/>
        <item x="842"/>
        <item x="609"/>
        <item x="604"/>
        <item x="450"/>
        <item x="664"/>
        <item x="528"/>
        <item x="803"/>
        <item x="377"/>
        <item x="866"/>
        <item x="925"/>
        <item x="835"/>
        <item x="207"/>
        <item x="519"/>
        <item x="642"/>
        <item x="109"/>
        <item x="964"/>
        <item x="911"/>
        <item x="245"/>
        <item x="121"/>
        <item x="692"/>
        <item x="887"/>
        <item x="545"/>
        <item x="164"/>
        <item x="505"/>
        <item x="402"/>
        <item x="508"/>
        <item x="521"/>
        <item x="1107"/>
        <item x="1080"/>
        <item x="824"/>
        <item x="1072"/>
        <item x="155"/>
        <item x="768"/>
        <item x="199"/>
        <item x="915"/>
        <item x="782"/>
        <item x="141"/>
        <item x="1121"/>
        <item x="135"/>
        <item x="446"/>
        <item x="886"/>
        <item x="509"/>
        <item x="753"/>
        <item x="281"/>
        <item x="598"/>
        <item x="163"/>
        <item x="581"/>
        <item x="1023"/>
        <item x="194"/>
        <item x="583"/>
        <item x="180"/>
        <item x="119"/>
        <item x="65"/>
        <item x="239"/>
        <item x="648"/>
        <item x="778"/>
        <item x="55"/>
        <item x="256"/>
        <item x="273"/>
        <item x="573"/>
        <item x="176"/>
        <item x="1145"/>
        <item x="827"/>
        <item x="846"/>
        <item x="422"/>
        <item x="600"/>
        <item x="271"/>
        <item x="1027"/>
        <item x="117"/>
        <item x="161"/>
        <item x="238"/>
        <item x="293"/>
        <item x="24"/>
        <item x="33"/>
        <item x="594"/>
        <item x="152"/>
        <item x="295"/>
        <item x="870"/>
        <item x="849"/>
        <item x="74"/>
        <item x="441"/>
        <item x="586"/>
        <item x="788"/>
        <item x="1112"/>
        <item x="755"/>
        <item x="713"/>
        <item x="83"/>
        <item x="369"/>
        <item x="978"/>
        <item x="1093"/>
        <item x="1142"/>
        <item x="378"/>
        <item x="175"/>
        <item x="537"/>
        <item x="451"/>
        <item x="448"/>
        <item x="720"/>
        <item x="975"/>
        <item x="27"/>
        <item x="133"/>
        <item x="456"/>
        <item x="396"/>
        <item x="868"/>
        <item x="52"/>
        <item x="800"/>
        <item x="376"/>
        <item x="786"/>
        <item x="82"/>
        <item x="770"/>
        <item x="667"/>
        <item x="427"/>
        <item x="125"/>
        <item x="970"/>
        <item x="39"/>
        <item x="351"/>
        <item x="603"/>
        <item x="307"/>
        <item x="423"/>
        <item x="767"/>
        <item x="140"/>
        <item x="214"/>
        <item x="17"/>
        <item x="329"/>
        <item x="879"/>
        <item x="2"/>
        <item x="791"/>
        <item x="447"/>
        <item x="895"/>
        <item x="531"/>
        <item x="294"/>
        <item x="997"/>
        <item x="372"/>
        <item x="619"/>
        <item x="81"/>
        <item x="91"/>
        <item x="287"/>
        <item x="520"/>
        <item x="1010"/>
        <item x="898"/>
        <item x="1124"/>
        <item x="105"/>
        <item x="988"/>
        <item x="535"/>
        <item x="1049"/>
        <item x="814"/>
        <item x="338"/>
        <item x="348"/>
        <item x="939"/>
        <item x="777"/>
        <item x="215"/>
        <item x="59"/>
        <item x="960"/>
        <item x="651"/>
        <item x="848"/>
        <item x="150"/>
        <item x="76"/>
        <item x="993"/>
        <item x="942"/>
        <item x="913"/>
        <item x="86"/>
        <item x="439"/>
        <item x="576"/>
        <item x="525"/>
        <item x="1025"/>
        <item x="630"/>
        <item x="781"/>
        <item x="808"/>
        <item x="544"/>
        <item x="1097"/>
        <item x="1101"/>
        <item x="265"/>
        <item x="865"/>
        <item x="100"/>
        <item x="655"/>
        <item x="134"/>
        <item x="859"/>
        <item x="29"/>
        <item x="371"/>
        <item x="1079"/>
        <item x="937"/>
        <item x="1100"/>
        <item x="860"/>
        <item x="30"/>
        <item x="875"/>
        <item x="311"/>
        <item x="205"/>
        <item x="640"/>
        <item x="572"/>
        <item x="1056"/>
        <item x="460"/>
        <item x="633"/>
        <item x="240"/>
        <item x="202"/>
        <item x="733"/>
        <item x="590"/>
        <item x="94"/>
        <item x="894"/>
        <item x="166"/>
        <item x="31"/>
        <item x="968"/>
        <item x="14"/>
        <item x="1035"/>
        <item x="1014"/>
        <item x="220"/>
        <item x="852"/>
        <item x="695"/>
        <item x="969"/>
        <item x="981"/>
        <item x="127"/>
        <item x="973"/>
        <item x="148"/>
        <item x="769"/>
        <item x="987"/>
        <item x="1086"/>
        <item x="363"/>
        <item x="335"/>
        <item x="553"/>
        <item x="532"/>
        <item x="1133"/>
        <item x="726"/>
        <item x="115"/>
        <item x="529"/>
        <item x="1038"/>
        <item x="419"/>
        <item x="685"/>
        <item x="816"/>
        <item x="434"/>
        <item x="6"/>
        <item x="494"/>
        <item x="1059"/>
        <item x="944"/>
        <item x="621"/>
        <item x="320"/>
        <item x="132"/>
        <item x="438"/>
        <item x="999"/>
        <item x="452"/>
        <item x="591"/>
        <item x="165"/>
        <item x="672"/>
        <item x="425"/>
        <item x="1048"/>
        <item x="203"/>
        <item x="549"/>
        <item x="1090"/>
        <item x="305"/>
        <item x="221"/>
        <item x="653"/>
        <item x="1154"/>
        <item x="563"/>
        <item x="211"/>
        <item x="366"/>
        <item x="1102"/>
        <item x="813"/>
        <item x="940"/>
        <item x="40"/>
        <item x="71"/>
        <item x="379"/>
        <item x="888"/>
        <item x="570"/>
        <item x="972"/>
        <item x="401"/>
        <item x="568"/>
        <item x="46"/>
        <item x="212"/>
        <item x="996"/>
        <item x="493"/>
        <item x="231"/>
        <item x="933"/>
        <item x="54"/>
        <item x="745"/>
        <item x="680"/>
        <item x="197"/>
        <item x="714"/>
        <item x="354"/>
        <item x="748"/>
        <item x="833"/>
        <item x="657"/>
        <item x="757"/>
        <item x="582"/>
        <item x="644"/>
        <item x="359"/>
        <item x="461"/>
        <item x="1109"/>
        <item x="18"/>
        <item x="412"/>
        <item x="1004"/>
        <item x="1075"/>
        <item x="277"/>
        <item x="799"/>
        <item x="25"/>
        <item x="666"/>
        <item x="1024"/>
        <item x="171"/>
        <item x="774"/>
        <item x="327"/>
        <item x="954"/>
        <item x="1002"/>
        <item x="632"/>
        <item x="502"/>
        <item x="485"/>
        <item x="122"/>
        <item x="829"/>
        <item x="1015"/>
        <item x="160"/>
        <item x="597"/>
        <item x="756"/>
        <item x="512"/>
        <item x="851"/>
        <item x="318"/>
        <item x="204"/>
        <item x="765"/>
        <item x="58"/>
        <item x="670"/>
        <item x="382"/>
        <item x="336"/>
        <item x="1055"/>
        <item x="328"/>
        <item x="900"/>
        <item x="1046"/>
        <item x="958"/>
        <item x="674"/>
        <item x="399"/>
        <item x="867"/>
        <item x="236"/>
        <item x="629"/>
        <item x="1050"/>
        <item x="1116"/>
        <item x="126"/>
        <item x="578"/>
        <item x="162"/>
        <item x="217"/>
        <item x="44"/>
        <item x="1044"/>
        <item x="107"/>
        <item x="50"/>
        <item x="850"/>
        <item x="607"/>
        <item x="871"/>
        <item x="620"/>
        <item x="57"/>
        <item x="614"/>
        <item x="821"/>
        <item x="149"/>
        <item x="195"/>
        <item x="153"/>
        <item x="361"/>
        <item x="84"/>
        <item x="1066"/>
        <item x="613"/>
        <item x="991"/>
        <item x="547"/>
        <item x="974"/>
        <item x="743"/>
        <item x="863"/>
        <item x="47"/>
        <item x="185"/>
        <item x="516"/>
        <item x="408"/>
        <item x="499"/>
        <item x="130"/>
        <item x="963"/>
        <item x="190"/>
        <item x="675"/>
        <item x="145"/>
        <item x="118"/>
        <item x="1129"/>
        <item x="285"/>
        <item x="296"/>
        <item x="1095"/>
        <item x="1078"/>
        <item x="742"/>
        <item x="806"/>
        <item x="526"/>
        <item x="880"/>
        <item x="834"/>
        <item x="1155"/>
        <item x="732"/>
        <item x="907"/>
        <item x="628"/>
        <item x="605"/>
        <item x="468"/>
        <item x="579"/>
        <item x="575"/>
        <item x="989"/>
        <item x="976"/>
        <item x="1132"/>
        <item x="663"/>
        <item x="75"/>
        <item x="1152"/>
        <item x="340"/>
        <item x="289"/>
        <item x="668"/>
        <item x="749"/>
        <item x="901"/>
        <item x="662"/>
        <item x="874"/>
        <item x="274"/>
        <item x="615"/>
        <item x="213"/>
        <item x="347"/>
        <item x="89"/>
        <item x="1099"/>
        <item x="404"/>
        <item x="715"/>
        <item x="654"/>
        <item x="436"/>
        <item x="498"/>
        <item x="270"/>
        <item x="687"/>
        <item x="986"/>
        <item x="683"/>
        <item x="267"/>
        <item x="677"/>
        <item x="979"/>
        <item x="486"/>
        <item x="694"/>
        <item x="333"/>
        <item x="736"/>
        <item x="702"/>
        <item x="103"/>
        <item x="272"/>
        <item x="143"/>
        <item x="847"/>
        <item x="825"/>
        <item x="1028"/>
        <item x="1021"/>
        <item x="179"/>
        <item x="790"/>
        <item x="342"/>
        <item x="1005"/>
        <item x="173"/>
        <item x="66"/>
        <item x="395"/>
        <item x="538"/>
        <item x="853"/>
        <item x="910"/>
        <item x="99"/>
        <item x="454"/>
        <item x="246"/>
        <item x="1131"/>
        <item x="884"/>
        <item x="1125"/>
        <item x="224"/>
        <item x="313"/>
        <item x="536"/>
        <item x="843"/>
        <item x="540"/>
        <item x="775"/>
        <item x="10"/>
        <item x="949"/>
        <item x="678"/>
        <item x="1088"/>
        <item x="681"/>
        <item x="902"/>
        <item x="1106"/>
        <item x="735"/>
        <item x="1096"/>
        <item x="266"/>
        <item x="219"/>
        <item x="407"/>
        <item x="323"/>
        <item x="209"/>
        <item x="841"/>
        <item x="36"/>
        <item x="488"/>
        <item x="961"/>
        <item x="1071"/>
        <item x="28"/>
        <item x="93"/>
        <item x="1060"/>
        <item x="250"/>
        <item x="73"/>
        <item x="707"/>
        <item x="478"/>
        <item x="432"/>
        <item x="367"/>
        <item x="751"/>
        <item x="326"/>
        <item x="364"/>
        <item x="34"/>
        <item x="928"/>
        <item x="20"/>
        <item x="638"/>
        <item x="660"/>
        <item x="467"/>
        <item x="533"/>
        <item x="652"/>
        <item x="1070"/>
        <item x="292"/>
        <item x="247"/>
        <item x="686"/>
        <item x="283"/>
        <item x="831"/>
        <item x="554"/>
        <item x="665"/>
        <item x="314"/>
        <item x="114"/>
        <item x="608"/>
        <item x="218"/>
        <item x="138"/>
        <item x="588"/>
        <item x="397"/>
        <item x="69"/>
        <item x="1006"/>
        <item x="558"/>
        <item x="541"/>
        <item x="1012"/>
        <item x="120"/>
        <item x="661"/>
        <item x="836"/>
        <item x="410"/>
        <item x="511"/>
        <item x="967"/>
        <item x="317"/>
        <item x="787"/>
        <item x="196"/>
        <item x="746"/>
        <item x="87"/>
        <item x="322"/>
        <item x="192"/>
        <item x="455"/>
        <item x="696"/>
        <item x="476"/>
        <item x="482"/>
        <item x="186"/>
        <item x="592"/>
        <item x="602"/>
        <item x="280"/>
        <item x="21"/>
        <item x="129"/>
        <item x="394"/>
        <item x="487"/>
        <item x="1089"/>
        <item x="268"/>
        <item x="724"/>
        <item x="244"/>
        <item x="839"/>
        <item x="574"/>
        <item x="85"/>
        <item x="355"/>
        <item x="198"/>
        <item x="420"/>
        <item x="400"/>
        <item x="368"/>
        <item x="700"/>
        <item x="409"/>
        <item x="37"/>
        <item x="297"/>
        <item x="506"/>
        <item x="146"/>
        <item x="278"/>
        <item x="437"/>
        <item x="722"/>
        <item x="299"/>
        <item x="12"/>
        <item x="1030"/>
        <item x="249"/>
        <item x="248"/>
        <item x="857"/>
        <item x="539"/>
        <item x="854"/>
        <item x="139"/>
        <item x="1081"/>
        <item x="1062"/>
        <item x="723"/>
        <item x="472"/>
        <item x="862"/>
        <item x="706"/>
        <item x="517"/>
        <item x="259"/>
        <item x="495"/>
        <item x="92"/>
        <item x="228"/>
        <item x="612"/>
        <item x="892"/>
        <item x="208"/>
        <item x="780"/>
        <item x="1018"/>
        <item x="1003"/>
        <item x="599"/>
        <item x="766"/>
        <item x="639"/>
        <item x="360"/>
        <item x="927"/>
        <item x="752"/>
        <item x="1153"/>
        <item x="104"/>
        <item x="921"/>
        <item x="559"/>
        <item x="403"/>
        <item x="301"/>
        <item x="785"/>
        <item x="330"/>
        <item x="569"/>
        <item x="1083"/>
        <item x="551"/>
        <item x="552"/>
        <item x="282"/>
        <item x="1087"/>
        <item x="693"/>
        <item x="306"/>
        <item x="941"/>
        <item x="656"/>
        <item x="112"/>
        <item x="926"/>
        <item x="226"/>
        <item x="513"/>
        <item x="38"/>
        <item x="1009"/>
        <item x="275"/>
        <item x="405"/>
        <item x="881"/>
        <item x="719"/>
        <item x="855"/>
        <item x="466"/>
        <item x="261"/>
        <item x="959"/>
        <item x="740"/>
        <item x="815"/>
        <item x="1058"/>
        <item x="904"/>
        <item x="864"/>
        <item x="128"/>
        <item x="264"/>
        <item x="428"/>
        <item x="234"/>
        <item x="80"/>
        <item x="357"/>
        <item x="682"/>
        <item x="64"/>
        <item x="35"/>
        <item x="641"/>
        <item x="48"/>
        <item x="728"/>
        <item x="882"/>
        <item x="325"/>
        <item x="188"/>
        <item x="1141"/>
        <item x="449"/>
        <item x="384"/>
        <item x="375"/>
        <item x="344"/>
        <item x="501"/>
        <item x="481"/>
        <item x="514"/>
        <item x="738"/>
        <item x="390"/>
        <item x="374"/>
        <item x="56"/>
        <item x="797"/>
        <item x="144"/>
        <item x="381"/>
        <item x="26"/>
        <item x="845"/>
        <item x="321"/>
        <item x="891"/>
        <item x="1136"/>
        <item x="67"/>
        <item x="676"/>
        <item x="1092"/>
        <item x="817"/>
        <item x="659"/>
        <item x="1001"/>
        <item x="731"/>
        <item x="809"/>
        <item x="811"/>
        <item x="805"/>
        <item x="95"/>
        <item x="1114"/>
        <item x="1031"/>
        <item x="137"/>
        <item x="739"/>
        <item x="388"/>
        <item x="507"/>
        <item x="60"/>
        <item x="1011"/>
        <item x="1041"/>
        <item x="1118"/>
        <item x="826"/>
        <item x="734"/>
        <item x="49"/>
        <item x="636"/>
        <item x="172"/>
        <item x="669"/>
        <item x="737"/>
        <item x="761"/>
        <item x="51"/>
        <item x="1067"/>
        <item x="1037"/>
        <item x="158"/>
        <item x="919"/>
        <item x="955"/>
        <item x="929"/>
        <item x="178"/>
        <item x="917"/>
        <item x="812"/>
        <item x="798"/>
        <item x="593"/>
        <item x="123"/>
        <item x="703"/>
        <item x="465"/>
        <item x="818"/>
        <item x="385"/>
        <item x="820"/>
        <item x="948"/>
        <item x="254"/>
        <item x="492"/>
        <item x="443"/>
        <item x="872"/>
        <item x="903"/>
        <item x="947"/>
        <item x="315"/>
        <item x="956"/>
        <item x="1008"/>
        <item x="1039"/>
        <item x="861"/>
        <item x="1146"/>
        <item x="346"/>
        <item x="242"/>
        <item x="237"/>
        <item x="496"/>
        <item x="624"/>
        <item x="1108"/>
        <item x="923"/>
        <item x="413"/>
        <item x="184"/>
        <item x="966"/>
        <item x="79"/>
        <item x="392"/>
        <item x="1052"/>
        <item x="300"/>
        <item x="647"/>
        <item x="417"/>
        <item x="631"/>
        <item x="983"/>
        <item x="823"/>
        <item x="1147"/>
        <item x="398"/>
        <item x="469"/>
        <item x="1064"/>
        <item x="750"/>
        <item x="938"/>
        <item x="1113"/>
        <item x="606"/>
        <item x="828"/>
        <item x="1137"/>
        <item x="157"/>
        <item x="1016"/>
        <item x="182"/>
        <item x="462"/>
        <item x="473"/>
        <item x="1061"/>
        <item x="596"/>
        <item x="1139"/>
        <item x="908"/>
        <item x="548"/>
        <item x="1143"/>
        <item x="1020"/>
        <item x="650"/>
        <item x="258"/>
        <item x="233"/>
        <item x="561"/>
        <item x="1157"/>
        <item x="341"/>
        <item x="645"/>
        <item x="906"/>
        <item x="567"/>
        <item x="191"/>
        <item x="63"/>
        <item x="760"/>
        <item x="464"/>
        <item x="1032"/>
        <item x="950"/>
        <item x="168"/>
        <item x="491"/>
        <item x="627"/>
        <item x="510"/>
        <item x="429"/>
        <item x="1149"/>
        <item x="116"/>
        <item x="1110"/>
        <item x="113"/>
        <item x="869"/>
        <item x="792"/>
        <item x="982"/>
        <item x="838"/>
        <item x="43"/>
        <item x="70"/>
        <item x="383"/>
        <item x="77"/>
        <item x="718"/>
        <item x="649"/>
        <item x="701"/>
        <item x="587"/>
        <item x="542"/>
        <item x="156"/>
        <item x="1029"/>
        <item x="524"/>
        <item x="992"/>
        <item x="243"/>
        <item x="316"/>
        <item x="223"/>
        <item x="1115"/>
        <item x="807"/>
        <item x="729"/>
        <item x="206"/>
        <item x="391"/>
        <item x="704"/>
        <item x="912"/>
        <item x="4"/>
        <item x="78"/>
        <item x="8"/>
        <item x="1"/>
        <item x="193"/>
        <item x="789"/>
        <item x="710"/>
        <item x="515"/>
        <item x="187"/>
        <item x="1091"/>
        <item x="444"/>
        <item x="159"/>
        <item x="324"/>
        <item x="319"/>
        <item x="784"/>
        <item x="985"/>
        <item x="837"/>
        <item x="1076"/>
        <item x="421"/>
        <item x="131"/>
        <item x="474"/>
        <item x="235"/>
        <item x="643"/>
        <item x="9"/>
        <item x="626"/>
        <item x="932"/>
        <item x="353"/>
        <item x="490"/>
        <item x="909"/>
        <item x="764"/>
        <item x="523"/>
        <item x="922"/>
        <item x="810"/>
        <item x="183"/>
        <item x="106"/>
        <item x="108"/>
        <item x="298"/>
        <item x="946"/>
        <item x="3"/>
        <item x="721"/>
        <item x="1047"/>
        <item x="945"/>
        <item x="858"/>
        <item x="819"/>
        <item x="953"/>
        <item x="557"/>
        <item x="111"/>
        <item x="611"/>
        <item x="5"/>
        <item x="253"/>
        <item x="1105"/>
        <item x="747"/>
        <item x="45"/>
        <item x="337"/>
        <item x="222"/>
        <item x="7"/>
        <item x="562"/>
        <item x="832"/>
        <item x="763"/>
        <item x="1074"/>
        <item x="794"/>
        <item x="411"/>
        <item x="684"/>
        <item x="873"/>
        <item x="32"/>
        <item x="635"/>
        <item x="1158"/>
        <item t="default"/>
      </items>
    </pivotField>
    <pivotField compact="0" showAll="0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27">
        <item x="0"/>
        <item x="7"/>
        <item x="15"/>
        <item x="16"/>
        <item x="24"/>
        <item x="17"/>
        <item x="8"/>
        <item x="11"/>
        <item x="18"/>
        <item x="12"/>
        <item x="4"/>
        <item x="5"/>
        <item x="6"/>
        <item x="1"/>
        <item x="14"/>
        <item x="13"/>
        <item x="20"/>
        <item x="3"/>
        <item x="19"/>
        <item x="22"/>
        <item x="10"/>
        <item x="9"/>
        <item x="21"/>
        <item x="2"/>
        <item x="23"/>
        <item x="25"/>
        <item t="default"/>
      </items>
    </pivotField>
    <pivotField axis="axisRow" compact="0" multipleItemSelectionAllowed="1" showAll="0">
      <items count="7">
        <item x="0"/>
        <item x="1"/>
        <item x="2"/>
        <item x="3"/>
        <item h="1" x="4"/>
        <item h="1" x="5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83" firstHeaderRow="0" firstDataRow="1" firstDataCol="1"/>
  <pivotFields count="12">
    <pivotField dataField="1" compact="0" showAll="0">
      <items count="1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axis="axisRow" compact="0" multipleItemSelectionAllowed="1" showAll="0">
      <items count="181">
        <item x="60"/>
        <item x="152"/>
        <item x="48"/>
        <item x="86"/>
        <item x="137"/>
        <item x="166"/>
        <item x="66"/>
        <item x="53"/>
        <item x="18"/>
        <item x="58"/>
        <item x="123"/>
        <item x="45"/>
        <item x="97"/>
        <item x="150"/>
        <item x="81"/>
        <item x="170"/>
        <item x="130"/>
        <item x="23"/>
        <item x="116"/>
        <item x="30"/>
        <item x="35"/>
        <item x="161"/>
        <item x="54"/>
        <item x="160"/>
        <item x="110"/>
        <item x="100"/>
        <item x="21"/>
        <item x="176"/>
        <item x="178"/>
        <item x="36"/>
        <item x="153"/>
        <item x="156"/>
        <item x="102"/>
        <item x="71"/>
        <item x="37"/>
        <item x="141"/>
        <item x="73"/>
        <item x="56"/>
        <item x="131"/>
        <item x="67"/>
        <item x="106"/>
        <item x="26"/>
        <item x="148"/>
        <item x="61"/>
        <item x="69"/>
        <item x="165"/>
        <item x="38"/>
        <item x="111"/>
        <item x="114"/>
        <item x="128"/>
        <item x="174"/>
        <item x="136"/>
        <item x="129"/>
        <item x="17"/>
        <item x="118"/>
        <item x="2"/>
        <item x="47"/>
        <item x="25"/>
        <item x="34"/>
        <item x="109"/>
        <item x="104"/>
        <item x="24"/>
        <item x="49"/>
        <item x="125"/>
        <item x="172"/>
        <item x="11"/>
        <item x="52"/>
        <item x="142"/>
        <item x="98"/>
        <item x="108"/>
        <item x="164"/>
        <item x="4"/>
        <item x="40"/>
        <item x="149"/>
        <item x="42"/>
        <item x="127"/>
        <item x="89"/>
        <item x="99"/>
        <item x="41"/>
        <item x="117"/>
        <item x="8"/>
        <item x="12"/>
        <item x="92"/>
        <item x="154"/>
        <item x="87"/>
        <item x="122"/>
        <item x="3"/>
        <item x="14"/>
        <item x="16"/>
        <item x="143"/>
        <item x="146"/>
        <item x="96"/>
        <item x="50"/>
        <item x="134"/>
        <item x="113"/>
        <item x="101"/>
        <item x="115"/>
        <item x="112"/>
        <item x="94"/>
        <item x="7"/>
        <item x="57"/>
        <item x="175"/>
        <item x="133"/>
        <item x="155"/>
        <item x="177"/>
        <item x="163"/>
        <item x="63"/>
        <item x="151"/>
        <item x="138"/>
        <item x="103"/>
        <item x="70"/>
        <item x="78"/>
        <item x="93"/>
        <item x="157"/>
        <item x="68"/>
        <item x="162"/>
        <item x="0"/>
        <item x="169"/>
        <item x="44"/>
        <item x="62"/>
        <item x="159"/>
        <item x="105"/>
        <item x="64"/>
        <item x="10"/>
        <item x="135"/>
        <item x="79"/>
        <item x="13"/>
        <item x="121"/>
        <item x="55"/>
        <item x="124"/>
        <item x="46"/>
        <item x="167"/>
        <item x="28"/>
        <item x="77"/>
        <item x="76"/>
        <item x="144"/>
        <item x="29"/>
        <item x="65"/>
        <item x="147"/>
        <item x="32"/>
        <item x="107"/>
        <item x="9"/>
        <item x="91"/>
        <item x="145"/>
        <item x="84"/>
        <item x="5"/>
        <item x="75"/>
        <item x="158"/>
        <item x="90"/>
        <item x="132"/>
        <item x="1"/>
        <item x="27"/>
        <item x="120"/>
        <item x="15"/>
        <item x="33"/>
        <item x="139"/>
        <item x="39"/>
        <item x="74"/>
        <item x="95"/>
        <item x="59"/>
        <item x="6"/>
        <item x="171"/>
        <item x="83"/>
        <item x="119"/>
        <item x="85"/>
        <item x="72"/>
        <item x="20"/>
        <item x="22"/>
        <item x="88"/>
        <item x="31"/>
        <item x="51"/>
        <item x="173"/>
        <item x="80"/>
        <item x="140"/>
        <item x="126"/>
        <item x="82"/>
        <item x="19"/>
        <item x="168"/>
        <item x="43"/>
        <item h="1" x="17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30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11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dataField="1" compact="0" showAll="0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3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3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1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OrderDate" fld="7" subtotal="max" baseField="0" baseItem="0"/>
    <dataField name="Distinct Count of OrderID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Sum of Revenue" fld="9" baseField="0" baseItem="0"/>
  </dataFields>
  <formats count="2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3:J182" totalsRowShown="0">
  <autoFilter xmlns:etc="http://www.wps.cn/officeDocument/2017/etCustomData" ref="A3:J182" etc:filterBottomFollowUsedRange="0"/>
  <tableColumns count="10">
    <tableColumn id="1" name="CustomerID"/>
    <tableColumn id="2" name="Last Date of Purchase"/>
    <tableColumn id="3" name="Recency" dataDxfId="2">
      <calculatedColumnFormula>DATEDIF(B4,$C$1,"d")</calculatedColumnFormula>
    </tableColumn>
    <tableColumn id="4" name="Frequency"/>
    <tableColumn id="5" name="Monetary"/>
    <tableColumn id="6" name="R Score" dataDxfId="3">
      <calculatedColumnFormula>ROUND((1-_xlfn.PERCENTRANK.INC($C$4:$C$182,C4))*9,0)</calculatedColumnFormula>
    </tableColumn>
    <tableColumn id="7" name="F Score" dataDxfId="4">
      <calculatedColumnFormula>ROUND((1-_xlfn.PERCENTRANK.INC($D$4:$D$182,D4))*9,0)</calculatedColumnFormula>
    </tableColumn>
    <tableColumn id="8" name="M Score" dataDxfId="5">
      <calculatedColumnFormula>ROUND((1-_xlfn.PERCENTRANK.INC($E$4:$E$182,E4))*9,0)</calculatedColumnFormula>
    </tableColumn>
    <tableColumn id="9" name="RFM Score" dataDxfId="6">
      <calculatedColumnFormula>CONCATENATE(F4,G4,H4)</calculatedColumnFormula>
    </tableColumn>
    <tableColumn id="10" name="RFM Segment" dataDxfId="7">
      <calculatedColumnFormula array="1">_xlfn.IFS(AND(F4&gt;=8,G4&gt;=8,H4&gt;=8),"Champion",AND(F4&gt;=6,G4&gt;=7,H4&gt;=6),"Loyal Customer",AND(F4&gt;=6,G4&gt;=5,H4&gt;=5),"Potential Loyalist",AND(F4&gt;=8,G4&gt;=2,H4&gt;=5),"New Customers",AND(F4&gt;=6,G4&gt;=2,H4&gt;=3),"Promising",AND(F4&gt;=3,G4&gt;=3,H4&gt;=3),"Need Attention",AND(F4&gt;=4,G4&gt;=6,H4&gt;=6),"At Risk",AND(F4&gt;=2,G4&gt;=8,H4&gt;=8),"Can't Lose Them",AND(F4&gt;=2,G4&gt;=2,H4&gt;=2),"Hibernating",TRUE,"Other")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1" name="Table4" displayName="Table4" ref="A12:B20" totalsRowShown="0">
  <autoFilter xmlns:etc="http://www.wps.cn/officeDocument/2017/etCustomData" ref="A12:B20" etc:filterBottomFollowUsedRange="0"/>
  <sortState ref="A12:B20">
    <sortCondition ref="B13:B21" descending="1"/>
  </sortState>
  <tableColumns count="2">
    <tableColumn id="1" name="Segment" dataDxfId="8"/>
    <tableColumn id="2" name="Customer Count" dataDxfId="9">
      <calculatedColumnFormula>COUNTIFS('RFM Analysis'!J3:$J$182,A13)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14" name="Table13" displayName="Table13" ref="A22:C38" totalsRowShown="0">
  <autoFilter xmlns:etc="http://www.wps.cn/officeDocument/2017/etCustomData" ref="A22:C38" etc:filterBottomFollowUsedRange="0"/>
  <tableColumns count="3">
    <tableColumn id="1" name="Segments" dataDxfId="10"/>
    <tableColumn id="2" name="Definition Of Segments" dataDxfId="11"/>
    <tableColumn id="3" name="Strategy" dataDxfId="1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5"/>
  <sheetViews>
    <sheetView zoomScaleSheetLayoutView="60" topLeftCell="A38" workbookViewId="0">
      <selection activeCell="A36" sqref="A36"/>
    </sheetView>
  </sheetViews>
  <sheetFormatPr defaultColWidth="8.4375" defaultRowHeight="16.8" outlineLevelCol="2"/>
  <cols>
    <col min="1" max="1" width="42.1875" customWidth="1"/>
    <col min="3" max="3" width="18.6171875" style="15" customWidth="1"/>
  </cols>
  <sheetData>
    <row r="1" spans="1:3">
      <c r="A1" t="s">
        <v>0</v>
      </c>
      <c r="B1" t="s">
        <v>1</v>
      </c>
      <c r="C1" s="15" t="s">
        <v>2</v>
      </c>
    </row>
    <row r="2" spans="1:3">
      <c r="A2" t="s">
        <v>3</v>
      </c>
      <c r="B2" t="s">
        <v>4</v>
      </c>
      <c r="C2" s="15">
        <v>45141</v>
      </c>
    </row>
    <row r="3" spans="1:3">
      <c r="A3" t="s">
        <v>5</v>
      </c>
      <c r="B3" t="s">
        <v>6</v>
      </c>
      <c r="C3" s="15">
        <v>44998</v>
      </c>
    </row>
    <row r="4" spans="1:3">
      <c r="A4" t="s">
        <v>7</v>
      </c>
      <c r="B4" t="s">
        <v>6</v>
      </c>
      <c r="C4" s="15">
        <v>45177</v>
      </c>
    </row>
    <row r="5" spans="1:3">
      <c r="A5" t="s">
        <v>8</v>
      </c>
      <c r="B5" t="s">
        <v>6</v>
      </c>
      <c r="C5" s="15">
        <v>45033</v>
      </c>
    </row>
    <row r="6" spans="1:3">
      <c r="A6" t="s">
        <v>9</v>
      </c>
      <c r="B6" t="s">
        <v>6</v>
      </c>
      <c r="C6" s="15">
        <v>44949</v>
      </c>
    </row>
    <row r="7" spans="1:3">
      <c r="A7" t="s">
        <v>10</v>
      </c>
      <c r="B7" t="s">
        <v>6</v>
      </c>
      <c r="C7" s="15">
        <v>45195</v>
      </c>
    </row>
    <row r="8" spans="1:3">
      <c r="A8" t="s">
        <v>11</v>
      </c>
      <c r="B8" t="s">
        <v>4</v>
      </c>
      <c r="C8" s="15">
        <v>45072</v>
      </c>
    </row>
    <row r="9" spans="1:3">
      <c r="A9" t="s">
        <v>12</v>
      </c>
      <c r="B9" t="s">
        <v>6</v>
      </c>
      <c r="C9" s="15">
        <v>45106</v>
      </c>
    </row>
    <row r="10" spans="1:3">
      <c r="A10" t="s">
        <v>13</v>
      </c>
      <c r="B10" t="s">
        <v>4</v>
      </c>
      <c r="C10" s="15">
        <v>45214</v>
      </c>
    </row>
    <row r="11" spans="1:3">
      <c r="A11" t="s">
        <v>14</v>
      </c>
      <c r="B11" t="s">
        <v>6</v>
      </c>
      <c r="C11" s="15">
        <v>45134</v>
      </c>
    </row>
    <row r="12" spans="1:3">
      <c r="A12" t="s">
        <v>15</v>
      </c>
      <c r="B12" t="s">
        <v>4</v>
      </c>
      <c r="C12" s="15">
        <v>45050</v>
      </c>
    </row>
    <row r="13" spans="1:3">
      <c r="A13" t="s">
        <v>16</v>
      </c>
      <c r="B13" t="s">
        <v>4</v>
      </c>
      <c r="C13" s="15">
        <v>45182</v>
      </c>
    </row>
    <row r="14" spans="1:3">
      <c r="A14" t="s">
        <v>17</v>
      </c>
      <c r="B14" t="s">
        <v>6</v>
      </c>
      <c r="C14" s="15">
        <v>45041</v>
      </c>
    </row>
    <row r="15" spans="1:3">
      <c r="A15" t="s">
        <v>18</v>
      </c>
      <c r="B15" t="s">
        <v>4</v>
      </c>
      <c r="C15" s="15">
        <v>45159</v>
      </c>
    </row>
    <row r="16" spans="1:3">
      <c r="A16" t="s">
        <v>19</v>
      </c>
      <c r="B16" t="s">
        <v>4</v>
      </c>
      <c r="C16" s="15">
        <v>45112</v>
      </c>
    </row>
    <row r="17" spans="1:3">
      <c r="A17" t="s">
        <v>20</v>
      </c>
      <c r="B17" t="s">
        <v>6</v>
      </c>
      <c r="C17" s="15">
        <v>44982</v>
      </c>
    </row>
    <row r="18" spans="1:3">
      <c r="A18" t="s">
        <v>21</v>
      </c>
      <c r="B18" t="s">
        <v>4</v>
      </c>
      <c r="C18" s="15">
        <v>45046</v>
      </c>
    </row>
    <row r="19" spans="1:3">
      <c r="A19" t="s">
        <v>22</v>
      </c>
      <c r="B19" t="s">
        <v>6</v>
      </c>
      <c r="C19" s="15">
        <v>45010</v>
      </c>
    </row>
    <row r="20" spans="1:3">
      <c r="A20" t="s">
        <v>23</v>
      </c>
      <c r="B20" t="s">
        <v>6</v>
      </c>
      <c r="C20" s="15">
        <v>45222</v>
      </c>
    </row>
    <row r="21" spans="1:3">
      <c r="A21" t="s">
        <v>24</v>
      </c>
      <c r="B21" t="s">
        <v>4</v>
      </c>
      <c r="C21" s="15">
        <v>45169</v>
      </c>
    </row>
    <row r="22" spans="1:3">
      <c r="A22" t="s">
        <v>25</v>
      </c>
      <c r="B22" t="s">
        <v>26</v>
      </c>
      <c r="C22" s="15">
        <v>45187</v>
      </c>
    </row>
    <row r="23" spans="1:3">
      <c r="A23" t="s">
        <v>27</v>
      </c>
      <c r="B23" t="s">
        <v>6</v>
      </c>
      <c r="C23" s="15">
        <v>45093</v>
      </c>
    </row>
    <row r="24" spans="1:3">
      <c r="A24" t="s">
        <v>28</v>
      </c>
      <c r="B24" t="s">
        <v>4</v>
      </c>
      <c r="C24" s="15">
        <v>45273</v>
      </c>
    </row>
    <row r="25" spans="1:3">
      <c r="A25" t="s">
        <v>29</v>
      </c>
      <c r="B25" t="s">
        <v>6</v>
      </c>
      <c r="C25" s="15">
        <v>45207</v>
      </c>
    </row>
    <row r="26" spans="1:3">
      <c r="A26" t="s">
        <v>30</v>
      </c>
      <c r="B26" t="s">
        <v>4</v>
      </c>
      <c r="C26" s="15">
        <v>45276</v>
      </c>
    </row>
    <row r="27" spans="1:3">
      <c r="A27" t="s">
        <v>31</v>
      </c>
      <c r="B27" t="s">
        <v>6</v>
      </c>
      <c r="C27" s="15">
        <v>44959</v>
      </c>
    </row>
    <row r="28" spans="1:3">
      <c r="A28" t="s">
        <v>32</v>
      </c>
      <c r="B28" t="s">
        <v>4</v>
      </c>
      <c r="C28" s="15">
        <v>45037</v>
      </c>
    </row>
    <row r="29" spans="1:3">
      <c r="A29" t="s">
        <v>33</v>
      </c>
      <c r="B29" t="s">
        <v>6</v>
      </c>
      <c r="C29" s="15">
        <v>44929</v>
      </c>
    </row>
    <row r="30" spans="1:3">
      <c r="A30" t="s">
        <v>34</v>
      </c>
      <c r="B30" t="s">
        <v>6</v>
      </c>
      <c r="C30" s="15">
        <v>45028</v>
      </c>
    </row>
    <row r="31" spans="1:3">
      <c r="A31" t="s">
        <v>35</v>
      </c>
      <c r="B31" t="s">
        <v>4</v>
      </c>
      <c r="C31" s="15">
        <v>45161</v>
      </c>
    </row>
    <row r="32" spans="1:3">
      <c r="A32" t="s">
        <v>36</v>
      </c>
      <c r="B32" t="s">
        <v>26</v>
      </c>
      <c r="C32" s="15">
        <v>45102</v>
      </c>
    </row>
    <row r="33" spans="1:3">
      <c r="A33" t="s">
        <v>37</v>
      </c>
      <c r="B33" t="s">
        <v>38</v>
      </c>
      <c r="C33" s="15">
        <v>45059</v>
      </c>
    </row>
    <row r="34" spans="1:3">
      <c r="A34" t="s">
        <v>39</v>
      </c>
      <c r="B34" t="s">
        <v>26</v>
      </c>
      <c r="C34" s="15">
        <v>45037</v>
      </c>
    </row>
    <row r="35" spans="1:3">
      <c r="A35" t="s">
        <v>40</v>
      </c>
      <c r="B35" t="s">
        <v>26</v>
      </c>
      <c r="C35" s="15">
        <v>45068</v>
      </c>
    </row>
    <row r="36" spans="1:3">
      <c r="A36" t="s">
        <v>41</v>
      </c>
      <c r="B36" t="s">
        <v>6</v>
      </c>
      <c r="C36" s="15">
        <v>44960</v>
      </c>
    </row>
    <row r="37" spans="1:3">
      <c r="A37" t="s">
        <v>42</v>
      </c>
      <c r="B37" t="s">
        <v>4</v>
      </c>
      <c r="C37" s="15">
        <v>45071</v>
      </c>
    </row>
    <row r="38" spans="1:3">
      <c r="A38" t="s">
        <v>43</v>
      </c>
      <c r="B38" t="s">
        <v>6</v>
      </c>
      <c r="C38" s="15">
        <v>45197</v>
      </c>
    </row>
    <row r="39" spans="1:3">
      <c r="A39" t="s">
        <v>44</v>
      </c>
      <c r="B39" t="s">
        <v>4</v>
      </c>
      <c r="C39" s="15">
        <v>45171</v>
      </c>
    </row>
    <row r="40" spans="1:3">
      <c r="A40" t="s">
        <v>45</v>
      </c>
      <c r="B40" t="s">
        <v>6</v>
      </c>
      <c r="C40" s="15">
        <v>45006</v>
      </c>
    </row>
    <row r="41" spans="1:3">
      <c r="A41" t="s">
        <v>46</v>
      </c>
      <c r="B41" t="s">
        <v>6</v>
      </c>
      <c r="C41" s="15">
        <v>45069</v>
      </c>
    </row>
    <row r="42" spans="1:3">
      <c r="A42" t="s">
        <v>47</v>
      </c>
      <c r="B42" t="s">
        <v>6</v>
      </c>
      <c r="C42" s="15">
        <v>44967</v>
      </c>
    </row>
    <row r="43" spans="1:3">
      <c r="A43" t="s">
        <v>48</v>
      </c>
      <c r="B43" t="s">
        <v>6</v>
      </c>
      <c r="C43" s="15">
        <v>45161</v>
      </c>
    </row>
    <row r="44" spans="1:3">
      <c r="A44" t="s">
        <v>49</v>
      </c>
      <c r="B44" t="s">
        <v>6</v>
      </c>
      <c r="C44" s="15">
        <v>45152</v>
      </c>
    </row>
    <row r="45" spans="1:3">
      <c r="A45" t="s">
        <v>50</v>
      </c>
      <c r="B45" t="s">
        <v>6</v>
      </c>
      <c r="C45" s="15">
        <v>44999</v>
      </c>
    </row>
    <row r="46" spans="1:3">
      <c r="A46" t="s">
        <v>51</v>
      </c>
      <c r="B46" t="s">
        <v>38</v>
      </c>
      <c r="C46" s="15">
        <v>45096</v>
      </c>
    </row>
    <row r="47" spans="1:3">
      <c r="A47" t="s">
        <v>52</v>
      </c>
      <c r="B47" t="s">
        <v>4</v>
      </c>
      <c r="C47" s="15">
        <v>45129</v>
      </c>
    </row>
    <row r="48" spans="1:3">
      <c r="A48" t="s">
        <v>53</v>
      </c>
      <c r="B48" t="s">
        <v>4</v>
      </c>
      <c r="C48" s="15">
        <v>45154</v>
      </c>
    </row>
    <row r="49" spans="1:3">
      <c r="A49" t="s">
        <v>54</v>
      </c>
      <c r="B49" t="s">
        <v>6</v>
      </c>
      <c r="C49" s="15">
        <v>45201</v>
      </c>
    </row>
    <row r="50" spans="1:3">
      <c r="A50" t="s">
        <v>55</v>
      </c>
      <c r="B50" t="s">
        <v>38</v>
      </c>
      <c r="C50" s="15">
        <v>45223</v>
      </c>
    </row>
    <row r="51" spans="1:3">
      <c r="A51" t="s">
        <v>56</v>
      </c>
      <c r="B51" t="s">
        <v>4</v>
      </c>
      <c r="C51" s="15">
        <v>45074</v>
      </c>
    </row>
    <row r="52" spans="1:3">
      <c r="A52" t="s">
        <v>57</v>
      </c>
      <c r="B52" t="s">
        <v>26</v>
      </c>
      <c r="C52" s="15">
        <v>44933</v>
      </c>
    </row>
    <row r="53" spans="1:3">
      <c r="A53" t="s">
        <v>58</v>
      </c>
      <c r="B53" t="s">
        <v>4</v>
      </c>
      <c r="C53" s="15">
        <v>45287</v>
      </c>
    </row>
    <row r="54" spans="1:3">
      <c r="A54" t="s">
        <v>59</v>
      </c>
      <c r="B54" t="s">
        <v>4</v>
      </c>
      <c r="C54" s="15">
        <v>45068</v>
      </c>
    </row>
    <row r="55" spans="1:3">
      <c r="A55" t="s">
        <v>60</v>
      </c>
      <c r="B55" t="s">
        <v>6</v>
      </c>
      <c r="C55" s="15">
        <v>44943</v>
      </c>
    </row>
    <row r="56" spans="1:3">
      <c r="A56" t="s">
        <v>61</v>
      </c>
      <c r="B56" t="s">
        <v>6</v>
      </c>
      <c r="C56" s="15">
        <v>45227</v>
      </c>
    </row>
    <row r="57" spans="1:3">
      <c r="A57" t="s">
        <v>62</v>
      </c>
      <c r="B57" t="s">
        <v>6</v>
      </c>
      <c r="C57" s="15">
        <v>45178</v>
      </c>
    </row>
    <row r="58" spans="1:3">
      <c r="A58" t="s">
        <v>63</v>
      </c>
      <c r="B58" t="s">
        <v>6</v>
      </c>
      <c r="C58" s="15">
        <v>45144</v>
      </c>
    </row>
    <row r="59" spans="1:3">
      <c r="A59" t="s">
        <v>64</v>
      </c>
      <c r="B59" t="s">
        <v>4</v>
      </c>
      <c r="C59" s="15">
        <v>44933</v>
      </c>
    </row>
    <row r="60" spans="1:3">
      <c r="A60" t="s">
        <v>65</v>
      </c>
      <c r="B60" t="s">
        <v>6</v>
      </c>
      <c r="C60" s="15">
        <v>44939</v>
      </c>
    </row>
    <row r="61" spans="1:3">
      <c r="A61" t="s">
        <v>66</v>
      </c>
      <c r="B61" t="s">
        <v>38</v>
      </c>
      <c r="C61" s="15">
        <v>45207</v>
      </c>
    </row>
    <row r="62" spans="1:3">
      <c r="A62" t="s">
        <v>67</v>
      </c>
      <c r="B62" t="s">
        <v>4</v>
      </c>
      <c r="C62" s="15">
        <v>45272</v>
      </c>
    </row>
    <row r="63" spans="1:3">
      <c r="A63" t="s">
        <v>68</v>
      </c>
      <c r="B63" t="s">
        <v>6</v>
      </c>
      <c r="C63" s="15">
        <v>45084</v>
      </c>
    </row>
    <row r="64" spans="1:3">
      <c r="A64" t="s">
        <v>69</v>
      </c>
      <c r="B64" t="s">
        <v>4</v>
      </c>
      <c r="C64" s="15">
        <v>44933</v>
      </c>
    </row>
    <row r="65" spans="1:3">
      <c r="A65" t="s">
        <v>70</v>
      </c>
      <c r="B65" t="s">
        <v>6</v>
      </c>
      <c r="C65" s="15">
        <v>45269</v>
      </c>
    </row>
    <row r="66" spans="1:3">
      <c r="A66" t="s">
        <v>71</v>
      </c>
      <c r="B66" t="s">
        <v>38</v>
      </c>
      <c r="C66" s="15">
        <v>44993</v>
      </c>
    </row>
    <row r="67" spans="1:3">
      <c r="A67" t="s">
        <v>72</v>
      </c>
      <c r="B67" t="s">
        <v>38</v>
      </c>
      <c r="C67" s="15">
        <v>45136</v>
      </c>
    </row>
    <row r="68" spans="1:3">
      <c r="A68" t="s">
        <v>73</v>
      </c>
      <c r="B68" t="s">
        <v>6</v>
      </c>
      <c r="C68" s="15">
        <v>45053</v>
      </c>
    </row>
    <row r="69" spans="1:3">
      <c r="A69" t="s">
        <v>74</v>
      </c>
      <c r="B69" t="s">
        <v>4</v>
      </c>
      <c r="C69" s="15">
        <v>45103</v>
      </c>
    </row>
    <row r="70" spans="1:3">
      <c r="A70" t="s">
        <v>75</v>
      </c>
      <c r="B70" t="s">
        <v>4</v>
      </c>
      <c r="C70" s="15">
        <v>45190</v>
      </c>
    </row>
    <row r="71" spans="1:3">
      <c r="A71" t="s">
        <v>76</v>
      </c>
      <c r="B71" t="s">
        <v>4</v>
      </c>
      <c r="C71" s="15">
        <v>45072</v>
      </c>
    </row>
    <row r="72" spans="1:3">
      <c r="A72" t="s">
        <v>77</v>
      </c>
      <c r="B72" t="s">
        <v>6</v>
      </c>
      <c r="C72" s="15">
        <v>44964</v>
      </c>
    </row>
    <row r="73" spans="1:3">
      <c r="A73" t="s">
        <v>78</v>
      </c>
      <c r="B73" t="s">
        <v>26</v>
      </c>
      <c r="C73" s="15">
        <v>44961</v>
      </c>
    </row>
    <row r="74" spans="1:3">
      <c r="A74" t="s">
        <v>79</v>
      </c>
      <c r="B74" t="s">
        <v>38</v>
      </c>
      <c r="C74" s="15">
        <v>44978</v>
      </c>
    </row>
    <row r="75" spans="1:3">
      <c r="A75" t="s">
        <v>80</v>
      </c>
      <c r="B75" t="s">
        <v>6</v>
      </c>
      <c r="C75" s="15">
        <v>45200</v>
      </c>
    </row>
    <row r="76" spans="1:3">
      <c r="A76" t="s">
        <v>81</v>
      </c>
      <c r="B76" t="s">
        <v>6</v>
      </c>
      <c r="C76" s="15">
        <v>45041</v>
      </c>
    </row>
    <row r="77" spans="1:3">
      <c r="A77" t="s">
        <v>82</v>
      </c>
      <c r="B77" t="s">
        <v>6</v>
      </c>
      <c r="C77" s="15">
        <v>44928</v>
      </c>
    </row>
    <row r="78" spans="1:3">
      <c r="A78" t="s">
        <v>83</v>
      </c>
      <c r="B78" t="s">
        <v>6</v>
      </c>
      <c r="C78" s="15">
        <v>45277</v>
      </c>
    </row>
    <row r="79" spans="1:3">
      <c r="A79" t="s">
        <v>84</v>
      </c>
      <c r="B79" t="s">
        <v>38</v>
      </c>
      <c r="C79" s="15">
        <v>45174</v>
      </c>
    </row>
    <row r="80" spans="1:3">
      <c r="A80" t="s">
        <v>85</v>
      </c>
      <c r="B80" t="s">
        <v>26</v>
      </c>
      <c r="C80" s="15">
        <v>45181</v>
      </c>
    </row>
    <row r="81" spans="1:3">
      <c r="A81" t="s">
        <v>86</v>
      </c>
      <c r="B81" t="s">
        <v>26</v>
      </c>
      <c r="C81" s="15">
        <v>45227</v>
      </c>
    </row>
    <row r="82" spans="1:3">
      <c r="A82" t="s">
        <v>87</v>
      </c>
      <c r="B82" t="s">
        <v>38</v>
      </c>
      <c r="C82" s="15">
        <v>45019</v>
      </c>
    </row>
    <row r="83" spans="1:3">
      <c r="A83" t="s">
        <v>88</v>
      </c>
      <c r="B83" t="s">
        <v>4</v>
      </c>
      <c r="C83" s="15">
        <v>45042</v>
      </c>
    </row>
    <row r="84" spans="1:3">
      <c r="A84" t="s">
        <v>89</v>
      </c>
      <c r="B84" t="s">
        <v>6</v>
      </c>
      <c r="C84" s="15">
        <v>44947</v>
      </c>
    </row>
    <row r="85" spans="1:3">
      <c r="A85" t="s">
        <v>90</v>
      </c>
      <c r="B85" t="s">
        <v>4</v>
      </c>
      <c r="C85" s="15">
        <v>45043</v>
      </c>
    </row>
    <row r="86" spans="1:3">
      <c r="A86" t="s">
        <v>91</v>
      </c>
      <c r="B86" t="s">
        <v>38</v>
      </c>
      <c r="C86" s="15">
        <v>45026</v>
      </c>
    </row>
    <row r="87" spans="1:3">
      <c r="A87" t="s">
        <v>92</v>
      </c>
      <c r="B87" t="s">
        <v>38</v>
      </c>
      <c r="C87" s="15">
        <v>45125</v>
      </c>
    </row>
    <row r="88" spans="1:3">
      <c r="A88" t="s">
        <v>93</v>
      </c>
      <c r="B88" t="s">
        <v>6</v>
      </c>
      <c r="C88" s="15">
        <v>45244</v>
      </c>
    </row>
    <row r="89" spans="1:3">
      <c r="A89" t="s">
        <v>94</v>
      </c>
      <c r="B89" t="s">
        <v>4</v>
      </c>
      <c r="C89" s="15">
        <v>44956</v>
      </c>
    </row>
    <row r="90" spans="1:3">
      <c r="A90" t="s">
        <v>95</v>
      </c>
      <c r="B90" t="s">
        <v>6</v>
      </c>
      <c r="C90" s="15">
        <v>44941</v>
      </c>
    </row>
    <row r="91" spans="1:3">
      <c r="A91" t="s">
        <v>96</v>
      </c>
      <c r="B91" t="s">
        <v>4</v>
      </c>
      <c r="C91" s="15">
        <v>45143</v>
      </c>
    </row>
    <row r="92" spans="1:3">
      <c r="A92" t="s">
        <v>97</v>
      </c>
      <c r="B92" t="s">
        <v>4</v>
      </c>
      <c r="C92" s="15">
        <v>45151</v>
      </c>
    </row>
    <row r="93" spans="1:3">
      <c r="A93" t="s">
        <v>98</v>
      </c>
      <c r="B93" t="s">
        <v>38</v>
      </c>
      <c r="C93" s="15">
        <v>45122</v>
      </c>
    </row>
    <row r="94" spans="1:3">
      <c r="A94" t="s">
        <v>99</v>
      </c>
      <c r="B94" t="s">
        <v>6</v>
      </c>
      <c r="C94" s="15">
        <v>45052</v>
      </c>
    </row>
    <row r="95" spans="1:3">
      <c r="A95" t="s">
        <v>100</v>
      </c>
      <c r="B95" t="s">
        <v>6</v>
      </c>
      <c r="C95" s="15">
        <v>45128</v>
      </c>
    </row>
    <row r="96" spans="1:3">
      <c r="A96" t="s">
        <v>101</v>
      </c>
      <c r="B96" t="s">
        <v>26</v>
      </c>
      <c r="C96" s="15">
        <v>45160</v>
      </c>
    </row>
    <row r="97" spans="1:3">
      <c r="A97" t="s">
        <v>102</v>
      </c>
      <c r="B97" t="s">
        <v>4</v>
      </c>
      <c r="C97" s="15">
        <v>45149</v>
      </c>
    </row>
    <row r="98" spans="1:3">
      <c r="A98" t="s">
        <v>103</v>
      </c>
      <c r="B98" t="s">
        <v>6</v>
      </c>
      <c r="C98" s="15">
        <v>45132</v>
      </c>
    </row>
    <row r="99" spans="1:3">
      <c r="A99" t="s">
        <v>104</v>
      </c>
      <c r="B99" t="s">
        <v>38</v>
      </c>
      <c r="C99" s="15">
        <v>45279</v>
      </c>
    </row>
    <row r="100" spans="1:3">
      <c r="A100" t="s">
        <v>105</v>
      </c>
      <c r="B100" t="s">
        <v>4</v>
      </c>
      <c r="C100" s="15">
        <v>44958</v>
      </c>
    </row>
    <row r="101" spans="1:3">
      <c r="A101" t="s">
        <v>106</v>
      </c>
      <c r="B101" t="s">
        <v>4</v>
      </c>
      <c r="C101" s="15">
        <v>45055</v>
      </c>
    </row>
    <row r="102" spans="1:3">
      <c r="A102" t="s">
        <v>107</v>
      </c>
      <c r="B102" t="s">
        <v>26</v>
      </c>
      <c r="C102" s="15">
        <v>45039</v>
      </c>
    </row>
    <row r="103" spans="1:3">
      <c r="A103" t="s">
        <v>108</v>
      </c>
      <c r="B103" t="s">
        <v>4</v>
      </c>
      <c r="C103" s="15">
        <v>45194</v>
      </c>
    </row>
    <row r="104" spans="1:3">
      <c r="A104" t="s">
        <v>109</v>
      </c>
      <c r="B104" t="s">
        <v>26</v>
      </c>
      <c r="C104" s="15">
        <v>45129</v>
      </c>
    </row>
    <row r="105" spans="1:3">
      <c r="A105" t="s">
        <v>110</v>
      </c>
      <c r="B105" t="s">
        <v>26</v>
      </c>
      <c r="C105" s="15">
        <v>45090</v>
      </c>
    </row>
    <row r="106" spans="1:3">
      <c r="A106" t="s">
        <v>111</v>
      </c>
      <c r="B106" t="s">
        <v>4</v>
      </c>
      <c r="C106" s="15">
        <v>45191</v>
      </c>
    </row>
    <row r="107" spans="1:3">
      <c r="A107" t="s">
        <v>112</v>
      </c>
      <c r="B107" t="s">
        <v>4</v>
      </c>
      <c r="C107" s="15">
        <v>44937</v>
      </c>
    </row>
    <row r="108" spans="1:3">
      <c r="A108" t="s">
        <v>113</v>
      </c>
      <c r="B108" t="s">
        <v>26</v>
      </c>
      <c r="C108" s="15">
        <v>45206</v>
      </c>
    </row>
    <row r="109" spans="1:3">
      <c r="A109" t="s">
        <v>114</v>
      </c>
      <c r="B109" t="s">
        <v>38</v>
      </c>
      <c r="C109" s="15">
        <v>45211</v>
      </c>
    </row>
    <row r="110" spans="1:3">
      <c r="A110" t="s">
        <v>115</v>
      </c>
      <c r="B110" t="s">
        <v>6</v>
      </c>
      <c r="C110" s="15">
        <v>45124</v>
      </c>
    </row>
    <row r="111" spans="1:3">
      <c r="A111" t="s">
        <v>116</v>
      </c>
      <c r="B111" t="s">
        <v>6</v>
      </c>
      <c r="C111" s="15">
        <v>45037</v>
      </c>
    </row>
    <row r="112" spans="1:3">
      <c r="A112" t="s">
        <v>117</v>
      </c>
      <c r="B112" t="s">
        <v>4</v>
      </c>
      <c r="C112" s="15">
        <v>45139</v>
      </c>
    </row>
    <row r="113" spans="1:3">
      <c r="A113" t="s">
        <v>118</v>
      </c>
      <c r="B113" t="s">
        <v>6</v>
      </c>
      <c r="C113" s="15">
        <v>45218</v>
      </c>
    </row>
    <row r="114" spans="1:3">
      <c r="A114" t="s">
        <v>119</v>
      </c>
      <c r="B114" t="s">
        <v>6</v>
      </c>
      <c r="C114" s="15">
        <v>44960</v>
      </c>
    </row>
    <row r="115" spans="1:3">
      <c r="A115" t="s">
        <v>120</v>
      </c>
      <c r="B115" t="s">
        <v>38</v>
      </c>
      <c r="C115" s="15">
        <v>45204</v>
      </c>
    </row>
    <row r="116" spans="1:3">
      <c r="A116" t="s">
        <v>121</v>
      </c>
      <c r="B116" t="s">
        <v>6</v>
      </c>
      <c r="C116" s="15">
        <v>45164</v>
      </c>
    </row>
    <row r="117" spans="1:3">
      <c r="A117" t="s">
        <v>122</v>
      </c>
      <c r="B117" t="s">
        <v>26</v>
      </c>
      <c r="C117" s="15">
        <v>45015</v>
      </c>
    </row>
    <row r="118" spans="1:3">
      <c r="A118" t="s">
        <v>123</v>
      </c>
      <c r="B118" t="s">
        <v>4</v>
      </c>
      <c r="C118" s="15">
        <v>45264</v>
      </c>
    </row>
    <row r="119" spans="1:3">
      <c r="A119" t="s">
        <v>124</v>
      </c>
      <c r="B119" t="s">
        <v>6</v>
      </c>
      <c r="C119" s="15">
        <v>45083</v>
      </c>
    </row>
    <row r="120" spans="1:3">
      <c r="A120" t="s">
        <v>125</v>
      </c>
      <c r="B120" t="s">
        <v>6</v>
      </c>
      <c r="C120" s="15">
        <v>45073</v>
      </c>
    </row>
    <row r="121" spans="1:3">
      <c r="A121" t="s">
        <v>126</v>
      </c>
      <c r="B121" t="s">
        <v>26</v>
      </c>
      <c r="C121" s="15">
        <v>45192</v>
      </c>
    </row>
    <row r="122" spans="1:3">
      <c r="A122" t="s">
        <v>127</v>
      </c>
      <c r="B122" t="s">
        <v>26</v>
      </c>
      <c r="C122" s="15">
        <v>45070</v>
      </c>
    </row>
    <row r="123" spans="1:3">
      <c r="A123" t="s">
        <v>128</v>
      </c>
      <c r="B123" t="s">
        <v>6</v>
      </c>
      <c r="C123" s="15">
        <v>45161</v>
      </c>
    </row>
    <row r="124" spans="1:3">
      <c r="A124" t="s">
        <v>129</v>
      </c>
      <c r="B124" t="s">
        <v>4</v>
      </c>
      <c r="C124" s="15">
        <v>45151</v>
      </c>
    </row>
    <row r="125" spans="1:3">
      <c r="A125" t="s">
        <v>130</v>
      </c>
      <c r="B125" t="s">
        <v>4</v>
      </c>
      <c r="C125" s="15">
        <v>45241</v>
      </c>
    </row>
    <row r="126" spans="1:3">
      <c r="A126" t="s">
        <v>131</v>
      </c>
      <c r="B126" t="s">
        <v>6</v>
      </c>
      <c r="C126" s="15">
        <v>45192</v>
      </c>
    </row>
    <row r="127" spans="1:3">
      <c r="A127" t="s">
        <v>132</v>
      </c>
      <c r="B127" t="s">
        <v>4</v>
      </c>
      <c r="C127" s="15">
        <v>45062</v>
      </c>
    </row>
    <row r="128" spans="1:3">
      <c r="A128" t="s">
        <v>133</v>
      </c>
      <c r="B128" t="s">
        <v>6</v>
      </c>
      <c r="C128" s="15">
        <v>45248</v>
      </c>
    </row>
    <row r="129" spans="1:3">
      <c r="A129" t="s">
        <v>134</v>
      </c>
      <c r="B129" t="s">
        <v>6</v>
      </c>
      <c r="C129" s="15">
        <v>45241</v>
      </c>
    </row>
    <row r="130" spans="1:3">
      <c r="A130" t="s">
        <v>135</v>
      </c>
      <c r="B130" t="s">
        <v>4</v>
      </c>
      <c r="C130" s="15">
        <v>45286</v>
      </c>
    </row>
    <row r="131" spans="1:3">
      <c r="A131" t="s">
        <v>136</v>
      </c>
      <c r="B131" t="s">
        <v>38</v>
      </c>
      <c r="C131" s="15">
        <v>45181</v>
      </c>
    </row>
    <row r="132" spans="1:3">
      <c r="A132" t="s">
        <v>137</v>
      </c>
      <c r="B132" t="s">
        <v>6</v>
      </c>
      <c r="C132" s="15">
        <v>45166</v>
      </c>
    </row>
    <row r="133" spans="1:3">
      <c r="A133" t="s">
        <v>138</v>
      </c>
      <c r="B133" t="s">
        <v>4</v>
      </c>
      <c r="C133" s="15">
        <v>44976</v>
      </c>
    </row>
    <row r="134" spans="1:3">
      <c r="A134" t="s">
        <v>139</v>
      </c>
      <c r="B134" t="s">
        <v>4</v>
      </c>
      <c r="C134" s="15">
        <v>45205</v>
      </c>
    </row>
    <row r="135" spans="1:3">
      <c r="A135" t="s">
        <v>140</v>
      </c>
      <c r="B135" t="s">
        <v>4</v>
      </c>
      <c r="C135" s="15">
        <v>45136</v>
      </c>
    </row>
    <row r="136" spans="1:3">
      <c r="A136" t="s">
        <v>141</v>
      </c>
      <c r="B136" t="s">
        <v>4</v>
      </c>
      <c r="C136" s="15">
        <v>45035</v>
      </c>
    </row>
    <row r="137" spans="1:3">
      <c r="A137" t="s">
        <v>142</v>
      </c>
      <c r="B137" t="s">
        <v>38</v>
      </c>
      <c r="C137" s="15">
        <v>45079</v>
      </c>
    </row>
    <row r="138" spans="1:3">
      <c r="A138" t="s">
        <v>143</v>
      </c>
      <c r="B138" t="s">
        <v>6</v>
      </c>
      <c r="C138" s="15">
        <v>45193</v>
      </c>
    </row>
    <row r="139" spans="1:3">
      <c r="A139" t="s">
        <v>144</v>
      </c>
      <c r="B139" t="s">
        <v>38</v>
      </c>
      <c r="C139" s="15">
        <v>45085</v>
      </c>
    </row>
    <row r="140" spans="1:3">
      <c r="A140" t="s">
        <v>145</v>
      </c>
      <c r="B140" t="s">
        <v>6</v>
      </c>
      <c r="C140" s="15">
        <v>44982</v>
      </c>
    </row>
    <row r="141" spans="1:3">
      <c r="A141" t="s">
        <v>146</v>
      </c>
      <c r="B141" t="s">
        <v>4</v>
      </c>
      <c r="C141" s="15">
        <v>44981</v>
      </c>
    </row>
    <row r="142" spans="1:3">
      <c r="A142" t="s">
        <v>147</v>
      </c>
      <c r="B142" t="s">
        <v>6</v>
      </c>
      <c r="C142" s="15">
        <v>45228</v>
      </c>
    </row>
    <row r="143" spans="1:3">
      <c r="A143" t="s">
        <v>148</v>
      </c>
      <c r="B143" t="s">
        <v>6</v>
      </c>
      <c r="C143" s="15">
        <v>44955</v>
      </c>
    </row>
    <row r="144" spans="1:3">
      <c r="A144" t="s">
        <v>149</v>
      </c>
      <c r="B144" t="s">
        <v>38</v>
      </c>
      <c r="C144" s="15">
        <v>45054</v>
      </c>
    </row>
    <row r="145" spans="1:3">
      <c r="A145" t="s">
        <v>150</v>
      </c>
      <c r="B145" t="s">
        <v>4</v>
      </c>
      <c r="C145" s="15">
        <v>45253</v>
      </c>
    </row>
    <row r="146" spans="1:3">
      <c r="A146" t="s">
        <v>151</v>
      </c>
      <c r="B146" t="s">
        <v>6</v>
      </c>
      <c r="C146" s="15">
        <v>45047</v>
      </c>
    </row>
    <row r="147" spans="1:3">
      <c r="A147" t="s">
        <v>152</v>
      </c>
      <c r="B147" t="s">
        <v>4</v>
      </c>
      <c r="C147" s="15">
        <v>44949</v>
      </c>
    </row>
    <row r="148" spans="1:3">
      <c r="A148" t="s">
        <v>153</v>
      </c>
      <c r="B148" t="s">
        <v>4</v>
      </c>
      <c r="C148" s="15">
        <v>44999</v>
      </c>
    </row>
    <row r="149" spans="1:3">
      <c r="A149" t="s">
        <v>154</v>
      </c>
      <c r="B149" t="s">
        <v>6</v>
      </c>
      <c r="C149" s="15">
        <v>45242</v>
      </c>
    </row>
    <row r="150" spans="1:3">
      <c r="A150" t="s">
        <v>155</v>
      </c>
      <c r="B150" t="s">
        <v>4</v>
      </c>
      <c r="C150" s="15">
        <v>45204</v>
      </c>
    </row>
    <row r="151" spans="1:3">
      <c r="A151" t="s">
        <v>156</v>
      </c>
      <c r="B151" t="s">
        <v>4</v>
      </c>
      <c r="C151" s="15">
        <v>44975</v>
      </c>
    </row>
    <row r="152" spans="1:3">
      <c r="A152" t="s">
        <v>157</v>
      </c>
      <c r="B152" t="s">
        <v>6</v>
      </c>
      <c r="C152" s="15">
        <v>45216</v>
      </c>
    </row>
    <row r="153" spans="1:3">
      <c r="A153" t="s">
        <v>158</v>
      </c>
      <c r="B153" t="s">
        <v>6</v>
      </c>
      <c r="C153" s="15">
        <v>45061</v>
      </c>
    </row>
    <row r="154" spans="1:3">
      <c r="A154" t="s">
        <v>159</v>
      </c>
      <c r="B154" t="s">
        <v>6</v>
      </c>
      <c r="C154" s="15">
        <v>45153</v>
      </c>
    </row>
    <row r="155" spans="1:3">
      <c r="A155" t="s">
        <v>160</v>
      </c>
      <c r="B155" t="s">
        <v>4</v>
      </c>
      <c r="C155" s="15">
        <v>45087</v>
      </c>
    </row>
    <row r="156" spans="1:3">
      <c r="A156" t="s">
        <v>161</v>
      </c>
      <c r="B156" t="s">
        <v>38</v>
      </c>
      <c r="C156" s="15">
        <v>45203</v>
      </c>
    </row>
    <row r="157" spans="1:3">
      <c r="A157" t="s">
        <v>162</v>
      </c>
      <c r="B157" t="s">
        <v>4</v>
      </c>
      <c r="C157" s="15">
        <v>45262</v>
      </c>
    </row>
    <row r="158" spans="1:3">
      <c r="A158" t="s">
        <v>163</v>
      </c>
      <c r="B158" t="s">
        <v>6</v>
      </c>
      <c r="C158" s="15">
        <v>45140</v>
      </c>
    </row>
    <row r="159" spans="1:3">
      <c r="A159" t="s">
        <v>164</v>
      </c>
      <c r="B159" t="s">
        <v>4</v>
      </c>
      <c r="C159" s="15">
        <v>45015</v>
      </c>
    </row>
    <row r="160" spans="1:3">
      <c r="A160" t="s">
        <v>165</v>
      </c>
      <c r="B160" t="s">
        <v>6</v>
      </c>
      <c r="C160" s="15">
        <v>45132</v>
      </c>
    </row>
    <row r="161" spans="1:3">
      <c r="A161" t="s">
        <v>166</v>
      </c>
      <c r="B161" t="s">
        <v>26</v>
      </c>
      <c r="C161" s="15">
        <v>45164</v>
      </c>
    </row>
    <row r="162" spans="1:3">
      <c r="A162" t="s">
        <v>167</v>
      </c>
      <c r="B162" t="s">
        <v>26</v>
      </c>
      <c r="C162" s="15">
        <v>45168</v>
      </c>
    </row>
    <row r="163" spans="1:3">
      <c r="A163" t="s">
        <v>168</v>
      </c>
      <c r="B163" t="s">
        <v>6</v>
      </c>
      <c r="C163" s="15">
        <v>45128</v>
      </c>
    </row>
    <row r="164" spans="1:3">
      <c r="A164" t="s">
        <v>169</v>
      </c>
      <c r="B164" t="s">
        <v>6</v>
      </c>
      <c r="C164" s="15">
        <v>44979</v>
      </c>
    </row>
    <row r="165" spans="1:3">
      <c r="A165" t="s">
        <v>170</v>
      </c>
      <c r="B165" t="s">
        <v>26</v>
      </c>
      <c r="C165" s="15">
        <v>44969</v>
      </c>
    </row>
    <row r="166" spans="1:3">
      <c r="A166" t="s">
        <v>171</v>
      </c>
      <c r="B166" t="s">
        <v>6</v>
      </c>
      <c r="C166" s="15">
        <v>45246</v>
      </c>
    </row>
    <row r="167" spans="1:3">
      <c r="A167" t="s">
        <v>172</v>
      </c>
      <c r="B167" t="s">
        <v>4</v>
      </c>
      <c r="C167" s="15">
        <v>45002</v>
      </c>
    </row>
    <row r="168" spans="1:3">
      <c r="A168" t="s">
        <v>173</v>
      </c>
      <c r="B168" t="s">
        <v>6</v>
      </c>
      <c r="C168" s="15">
        <v>45084</v>
      </c>
    </row>
    <row r="169" spans="1:3">
      <c r="A169" t="s">
        <v>174</v>
      </c>
      <c r="B169" t="s">
        <v>6</v>
      </c>
      <c r="C169" s="15">
        <v>45271</v>
      </c>
    </row>
    <row r="170" spans="1:3">
      <c r="A170" t="s">
        <v>175</v>
      </c>
      <c r="B170" t="s">
        <v>6</v>
      </c>
      <c r="C170" s="15">
        <v>44964</v>
      </c>
    </row>
    <row r="171" spans="1:3">
      <c r="A171" t="s">
        <v>176</v>
      </c>
      <c r="B171" t="s">
        <v>6</v>
      </c>
      <c r="C171" s="15">
        <v>45206</v>
      </c>
    </row>
    <row r="172" spans="1:3">
      <c r="A172" t="s">
        <v>177</v>
      </c>
      <c r="B172" t="s">
        <v>4</v>
      </c>
      <c r="C172" s="15">
        <v>44986</v>
      </c>
    </row>
    <row r="173" spans="1:3">
      <c r="A173" t="s">
        <v>178</v>
      </c>
      <c r="B173" t="s">
        <v>38</v>
      </c>
      <c r="C173" s="15">
        <v>44946</v>
      </c>
    </row>
    <row r="174" spans="1:3">
      <c r="A174" t="s">
        <v>179</v>
      </c>
      <c r="B174" t="s">
        <v>38</v>
      </c>
      <c r="C174" s="15">
        <v>45221</v>
      </c>
    </row>
    <row r="175" spans="1:3">
      <c r="A175" t="s">
        <v>180</v>
      </c>
      <c r="B175" t="s">
        <v>38</v>
      </c>
      <c r="C175" s="15">
        <v>45215</v>
      </c>
    </row>
    <row r="176" spans="1:3">
      <c r="A176" t="s">
        <v>181</v>
      </c>
      <c r="B176" t="s">
        <v>4</v>
      </c>
      <c r="C176" s="15">
        <v>45125</v>
      </c>
    </row>
    <row r="177" spans="1:3">
      <c r="A177" t="s">
        <v>182</v>
      </c>
      <c r="B177" t="s">
        <v>4</v>
      </c>
      <c r="C177" s="15">
        <v>44998</v>
      </c>
    </row>
    <row r="178" spans="1:3">
      <c r="A178" t="s">
        <v>183</v>
      </c>
      <c r="B178" t="s">
        <v>6</v>
      </c>
      <c r="C178" s="15">
        <v>45237</v>
      </c>
    </row>
    <row r="179" spans="1:3">
      <c r="A179" t="s">
        <v>184</v>
      </c>
      <c r="B179" t="s">
        <v>4</v>
      </c>
      <c r="C179" s="15">
        <v>45239</v>
      </c>
    </row>
    <row r="180" spans="1:3">
      <c r="A180" t="s">
        <v>185</v>
      </c>
      <c r="B180" t="s">
        <v>38</v>
      </c>
      <c r="C180" s="15">
        <v>45288</v>
      </c>
    </row>
    <row r="181" spans="1:3">
      <c r="A181" t="s">
        <v>186</v>
      </c>
      <c r="B181" t="s">
        <v>6</v>
      </c>
      <c r="C181" s="15">
        <v>45283</v>
      </c>
    </row>
    <row r="182" spans="1:3">
      <c r="A182" t="s">
        <v>187</v>
      </c>
      <c r="B182" t="s">
        <v>6</v>
      </c>
      <c r="C182" s="15">
        <v>45282</v>
      </c>
    </row>
    <row r="183" spans="1:3">
      <c r="A183" t="s">
        <v>188</v>
      </c>
      <c r="B183" t="s">
        <v>6</v>
      </c>
      <c r="C183" s="15">
        <v>45003</v>
      </c>
    </row>
    <row r="184" spans="1:3">
      <c r="A184" t="s">
        <v>189</v>
      </c>
      <c r="B184" t="s">
        <v>4</v>
      </c>
      <c r="C184" s="15">
        <v>45015</v>
      </c>
    </row>
    <row r="185" spans="1:3">
      <c r="A185" t="s">
        <v>190</v>
      </c>
      <c r="B185" t="s">
        <v>4</v>
      </c>
      <c r="C185" s="15">
        <v>45043</v>
      </c>
    </row>
    <row r="186" spans="1:3">
      <c r="A186" t="s">
        <v>191</v>
      </c>
      <c r="B186" t="s">
        <v>4</v>
      </c>
      <c r="C186" s="15">
        <v>45004</v>
      </c>
    </row>
    <row r="187" spans="1:3">
      <c r="A187" t="s">
        <v>192</v>
      </c>
      <c r="B187" t="s">
        <v>26</v>
      </c>
      <c r="C187" s="15">
        <v>45234</v>
      </c>
    </row>
    <row r="188" spans="1:3">
      <c r="A188" t="s">
        <v>193</v>
      </c>
      <c r="B188" t="s">
        <v>4</v>
      </c>
      <c r="C188" s="15">
        <v>45255</v>
      </c>
    </row>
    <row r="189" spans="1:3">
      <c r="A189" t="s">
        <v>194</v>
      </c>
      <c r="B189" t="s">
        <v>26</v>
      </c>
      <c r="C189" s="15">
        <v>45096</v>
      </c>
    </row>
    <row r="190" spans="1:3">
      <c r="A190" t="s">
        <v>195</v>
      </c>
      <c r="B190" t="s">
        <v>6</v>
      </c>
      <c r="C190" s="15">
        <v>44997</v>
      </c>
    </row>
    <row r="191" spans="1:3">
      <c r="A191" t="s">
        <v>196</v>
      </c>
      <c r="B191" t="s">
        <v>6</v>
      </c>
      <c r="C191" s="15">
        <v>45186</v>
      </c>
    </row>
    <row r="192" spans="1:3">
      <c r="A192" t="s">
        <v>197</v>
      </c>
      <c r="B192" t="s">
        <v>4</v>
      </c>
      <c r="C192" s="15">
        <v>45251</v>
      </c>
    </row>
    <row r="193" spans="1:3">
      <c r="A193" t="s">
        <v>198</v>
      </c>
      <c r="B193" t="s">
        <v>4</v>
      </c>
      <c r="C193" s="15">
        <v>45115</v>
      </c>
    </row>
    <row r="194" spans="1:3">
      <c r="A194" t="s">
        <v>199</v>
      </c>
      <c r="B194" t="s">
        <v>38</v>
      </c>
      <c r="C194" s="15">
        <v>45252</v>
      </c>
    </row>
    <row r="195" spans="1:3">
      <c r="A195" t="s">
        <v>200</v>
      </c>
      <c r="B195" t="s">
        <v>26</v>
      </c>
      <c r="C195" s="15">
        <v>44947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36" sqref="A36"/>
    </sheetView>
  </sheetViews>
  <sheetFormatPr defaultColWidth="9" defaultRowHeight="16.8" outlineLevelCol="4"/>
  <cols>
    <col min="1" max="1" width="8.4375"/>
    <col min="2" max="2" width="24.3515625" customWidth="1"/>
    <col min="3" max="3" width="25.3828125" customWidth="1"/>
    <col min="4" max="5" width="8.4375"/>
  </cols>
  <sheetData>
    <row r="1" spans="1:5">
      <c r="A1" t="s">
        <v>201</v>
      </c>
      <c r="B1" t="s">
        <v>202</v>
      </c>
      <c r="C1" t="s">
        <v>203</v>
      </c>
      <c r="D1" t="s">
        <v>204</v>
      </c>
      <c r="E1" t="s">
        <v>205</v>
      </c>
    </row>
    <row r="2" spans="1:5">
      <c r="A2">
        <v>1001</v>
      </c>
      <c r="B2" t="s">
        <v>206</v>
      </c>
      <c r="C2" t="s">
        <v>207</v>
      </c>
      <c r="D2">
        <v>19.49</v>
      </c>
      <c r="E2">
        <v>11.55</v>
      </c>
    </row>
    <row r="3" spans="1:5">
      <c r="A3">
        <v>1002</v>
      </c>
      <c r="B3" t="s">
        <v>208</v>
      </c>
      <c r="C3" t="s">
        <v>207</v>
      </c>
      <c r="D3">
        <v>35.53</v>
      </c>
      <c r="E3">
        <v>5.39</v>
      </c>
    </row>
    <row r="4" spans="1:5">
      <c r="A4">
        <v>1003</v>
      </c>
      <c r="B4" t="s">
        <v>209</v>
      </c>
      <c r="C4" t="s">
        <v>207</v>
      </c>
      <c r="D4">
        <v>40.35</v>
      </c>
      <c r="E4">
        <v>11.69</v>
      </c>
    </row>
    <row r="5" spans="1:5">
      <c r="A5">
        <v>1004</v>
      </c>
      <c r="B5" t="s">
        <v>210</v>
      </c>
      <c r="C5" t="s">
        <v>207</v>
      </c>
      <c r="D5">
        <v>23.49</v>
      </c>
      <c r="E5">
        <v>9.17</v>
      </c>
    </row>
    <row r="6" spans="1:5">
      <c r="A6">
        <v>1005</v>
      </c>
      <c r="B6" t="s">
        <v>211</v>
      </c>
      <c r="C6" t="s">
        <v>207</v>
      </c>
      <c r="D6">
        <v>19.06</v>
      </c>
      <c r="E6">
        <v>10.88</v>
      </c>
    </row>
    <row r="7" spans="1:5">
      <c r="A7">
        <v>1006</v>
      </c>
      <c r="B7" t="s">
        <v>212</v>
      </c>
      <c r="C7" t="s">
        <v>213</v>
      </c>
      <c r="D7">
        <v>232.2</v>
      </c>
      <c r="E7">
        <v>71.26</v>
      </c>
    </row>
    <row r="8" spans="1:5">
      <c r="A8">
        <v>1007</v>
      </c>
      <c r="B8" t="s">
        <v>214</v>
      </c>
      <c r="C8" t="s">
        <v>213</v>
      </c>
      <c r="D8">
        <v>254.72</v>
      </c>
      <c r="E8">
        <v>118.44</v>
      </c>
    </row>
    <row r="9" spans="1:5">
      <c r="A9">
        <v>1008</v>
      </c>
      <c r="B9" t="s">
        <v>215</v>
      </c>
      <c r="C9" t="s">
        <v>213</v>
      </c>
      <c r="D9">
        <v>235.76</v>
      </c>
      <c r="E9">
        <v>120.44</v>
      </c>
    </row>
    <row r="10" spans="1:5">
      <c r="A10">
        <v>1009</v>
      </c>
      <c r="B10" t="s">
        <v>216</v>
      </c>
      <c r="C10" t="s">
        <v>213</v>
      </c>
      <c r="D10">
        <v>338.36</v>
      </c>
      <c r="E10">
        <v>134.7</v>
      </c>
    </row>
    <row r="11" spans="1:5">
      <c r="A11">
        <v>1010</v>
      </c>
      <c r="B11" t="s">
        <v>217</v>
      </c>
      <c r="C11" t="s">
        <v>213</v>
      </c>
      <c r="D11">
        <v>105.23</v>
      </c>
      <c r="E11">
        <v>67.95</v>
      </c>
    </row>
    <row r="12" spans="1:5">
      <c r="A12">
        <v>1011</v>
      </c>
      <c r="B12" t="s">
        <v>218</v>
      </c>
      <c r="C12" t="s">
        <v>219</v>
      </c>
      <c r="D12">
        <v>26.83</v>
      </c>
      <c r="E12">
        <v>13.32</v>
      </c>
    </row>
    <row r="13" spans="1:5">
      <c r="A13">
        <v>1012</v>
      </c>
      <c r="B13" t="s">
        <v>220</v>
      </c>
      <c r="C13" t="s">
        <v>219</v>
      </c>
      <c r="D13">
        <v>34.87</v>
      </c>
      <c r="E13">
        <v>23.61</v>
      </c>
    </row>
    <row r="14" spans="1:5">
      <c r="A14">
        <v>1013</v>
      </c>
      <c r="B14" t="s">
        <v>221</v>
      </c>
      <c r="C14" t="s">
        <v>219</v>
      </c>
      <c r="D14">
        <v>61.04</v>
      </c>
      <c r="E14">
        <v>23.37</v>
      </c>
    </row>
    <row r="15" spans="1:5">
      <c r="A15">
        <v>1014</v>
      </c>
      <c r="B15" t="s">
        <v>222</v>
      </c>
      <c r="C15" t="s">
        <v>219</v>
      </c>
      <c r="D15">
        <v>24.1</v>
      </c>
      <c r="E15">
        <v>19.28</v>
      </c>
    </row>
    <row r="16" spans="1:5">
      <c r="A16">
        <v>1015</v>
      </c>
      <c r="B16" t="s">
        <v>223</v>
      </c>
      <c r="C16" t="s">
        <v>219</v>
      </c>
      <c r="D16">
        <v>24.13</v>
      </c>
      <c r="E16">
        <v>8.45</v>
      </c>
    </row>
    <row r="17" spans="1:5">
      <c r="A17">
        <v>1016</v>
      </c>
      <c r="B17" t="s">
        <v>224</v>
      </c>
      <c r="C17" t="s">
        <v>225</v>
      </c>
      <c r="D17">
        <v>43.2</v>
      </c>
      <c r="E17">
        <v>28.28</v>
      </c>
    </row>
    <row r="18" spans="1:5">
      <c r="A18">
        <v>1017</v>
      </c>
      <c r="B18" t="s">
        <v>226</v>
      </c>
      <c r="C18" t="s">
        <v>225</v>
      </c>
      <c r="D18">
        <v>15.23</v>
      </c>
      <c r="E18">
        <v>12.18</v>
      </c>
    </row>
    <row r="19" spans="1:5">
      <c r="A19">
        <v>1018</v>
      </c>
      <c r="B19" t="s">
        <v>227</v>
      </c>
      <c r="C19" t="s">
        <v>225</v>
      </c>
      <c r="D19">
        <v>43.28</v>
      </c>
      <c r="E19">
        <v>18.93</v>
      </c>
    </row>
    <row r="20" spans="1:5">
      <c r="A20">
        <v>1019</v>
      </c>
      <c r="B20" t="s">
        <v>228</v>
      </c>
      <c r="C20" t="s">
        <v>225</v>
      </c>
      <c r="D20">
        <v>21.37</v>
      </c>
      <c r="E20">
        <v>7.51</v>
      </c>
    </row>
    <row r="21" spans="1:5">
      <c r="A21">
        <v>1020</v>
      </c>
      <c r="B21" t="s">
        <v>229</v>
      </c>
      <c r="C21" t="s">
        <v>225</v>
      </c>
      <c r="D21">
        <v>27.37</v>
      </c>
      <c r="E21">
        <v>21.9</v>
      </c>
    </row>
    <row r="22" spans="1:5">
      <c r="A22">
        <v>1021</v>
      </c>
      <c r="B22" t="s">
        <v>230</v>
      </c>
      <c r="C22" t="s">
        <v>231</v>
      </c>
      <c r="D22">
        <v>61.26</v>
      </c>
      <c r="E22">
        <v>31.95</v>
      </c>
    </row>
    <row r="23" spans="1:5">
      <c r="A23">
        <v>1022</v>
      </c>
      <c r="B23" t="s">
        <v>232</v>
      </c>
      <c r="C23" t="s">
        <v>231</v>
      </c>
      <c r="D23">
        <v>88.77</v>
      </c>
      <c r="E23">
        <v>21.69</v>
      </c>
    </row>
    <row r="24" spans="1:5">
      <c r="A24">
        <v>1023</v>
      </c>
      <c r="B24" t="s">
        <v>233</v>
      </c>
      <c r="C24" t="s">
        <v>231</v>
      </c>
      <c r="D24">
        <v>65.21</v>
      </c>
      <c r="E24">
        <v>25.1</v>
      </c>
    </row>
    <row r="25" spans="1:5">
      <c r="A25">
        <v>1024</v>
      </c>
      <c r="B25" t="s">
        <v>234</v>
      </c>
      <c r="C25" t="s">
        <v>231</v>
      </c>
      <c r="D25">
        <v>74.87</v>
      </c>
      <c r="E25">
        <v>17.45</v>
      </c>
    </row>
    <row r="26" spans="1:5">
      <c r="A26">
        <v>1025</v>
      </c>
      <c r="B26" t="s">
        <v>235</v>
      </c>
      <c r="C26" t="s">
        <v>231</v>
      </c>
      <c r="D26">
        <v>73.41</v>
      </c>
      <c r="E26">
        <v>24.81</v>
      </c>
    </row>
    <row r="27" spans="1:5">
      <c r="A27">
        <v>1026</v>
      </c>
      <c r="B27" t="s">
        <v>206</v>
      </c>
      <c r="C27" t="s">
        <v>207</v>
      </c>
      <c r="D27">
        <v>19.49</v>
      </c>
      <c r="E27">
        <v>11.55</v>
      </c>
    </row>
    <row r="28" spans="1:5">
      <c r="A28">
        <v>1027</v>
      </c>
      <c r="B28" t="s">
        <v>208</v>
      </c>
      <c r="C28" t="s">
        <v>207</v>
      </c>
      <c r="D28">
        <v>35.53</v>
      </c>
      <c r="E28">
        <v>5.39</v>
      </c>
    </row>
    <row r="29" spans="1:5">
      <c r="A29">
        <v>1028</v>
      </c>
      <c r="B29" t="s">
        <v>209</v>
      </c>
      <c r="C29" t="s">
        <v>207</v>
      </c>
      <c r="D29">
        <v>40.35</v>
      </c>
      <c r="E29">
        <v>11.69</v>
      </c>
    </row>
    <row r="30" spans="1:5">
      <c r="A30">
        <v>1029</v>
      </c>
      <c r="B30" t="s">
        <v>210</v>
      </c>
      <c r="C30" t="s">
        <v>207</v>
      </c>
      <c r="D30">
        <v>23.49</v>
      </c>
      <c r="E30">
        <v>9.17</v>
      </c>
    </row>
    <row r="31" spans="1:5">
      <c r="A31">
        <v>1030</v>
      </c>
      <c r="B31" t="s">
        <v>211</v>
      </c>
      <c r="C31" t="s">
        <v>207</v>
      </c>
      <c r="D31">
        <v>19.06</v>
      </c>
      <c r="E31">
        <v>10.88</v>
      </c>
    </row>
    <row r="32" spans="1:5">
      <c r="A32">
        <v>1031</v>
      </c>
      <c r="B32" t="s">
        <v>212</v>
      </c>
      <c r="C32" t="s">
        <v>213</v>
      </c>
      <c r="D32">
        <v>232.2</v>
      </c>
      <c r="E32">
        <v>71.26</v>
      </c>
    </row>
    <row r="33" spans="1:5">
      <c r="A33">
        <v>1032</v>
      </c>
      <c r="B33" t="s">
        <v>214</v>
      </c>
      <c r="C33" t="s">
        <v>213</v>
      </c>
      <c r="D33">
        <v>254.72</v>
      </c>
      <c r="E33">
        <v>118.44</v>
      </c>
    </row>
    <row r="34" spans="1:5">
      <c r="A34">
        <v>1033</v>
      </c>
      <c r="B34" t="s">
        <v>215</v>
      </c>
      <c r="C34" t="s">
        <v>213</v>
      </c>
      <c r="D34">
        <v>235.76</v>
      </c>
      <c r="E34">
        <v>120.44</v>
      </c>
    </row>
    <row r="35" spans="1:5">
      <c r="A35">
        <v>1034</v>
      </c>
      <c r="B35" t="s">
        <v>216</v>
      </c>
      <c r="C35" t="s">
        <v>213</v>
      </c>
      <c r="D35">
        <v>338.36</v>
      </c>
      <c r="E35">
        <v>134.7</v>
      </c>
    </row>
    <row r="36" spans="1:5">
      <c r="A36">
        <v>1035</v>
      </c>
      <c r="B36" t="s">
        <v>217</v>
      </c>
      <c r="C36" t="s">
        <v>213</v>
      </c>
      <c r="D36">
        <v>105.23</v>
      </c>
      <c r="E36">
        <v>67.95</v>
      </c>
    </row>
    <row r="37" spans="1:5">
      <c r="A37">
        <v>1036</v>
      </c>
      <c r="B37" t="s">
        <v>218</v>
      </c>
      <c r="C37" t="s">
        <v>219</v>
      </c>
      <c r="D37">
        <v>26.83</v>
      </c>
      <c r="E37">
        <v>13.32</v>
      </c>
    </row>
    <row r="38" spans="1:5">
      <c r="A38">
        <v>1037</v>
      </c>
      <c r="B38" t="s">
        <v>220</v>
      </c>
      <c r="C38" t="s">
        <v>219</v>
      </c>
      <c r="D38">
        <v>34.87</v>
      </c>
      <c r="E38">
        <v>23.61</v>
      </c>
    </row>
    <row r="39" spans="1:5">
      <c r="A39">
        <v>1038</v>
      </c>
      <c r="B39" t="s">
        <v>221</v>
      </c>
      <c r="C39" t="s">
        <v>219</v>
      </c>
      <c r="D39">
        <v>61.04</v>
      </c>
      <c r="E39">
        <v>23.37</v>
      </c>
    </row>
    <row r="40" spans="1:5">
      <c r="A40">
        <v>1039</v>
      </c>
      <c r="B40" t="s">
        <v>222</v>
      </c>
      <c r="C40" t="s">
        <v>219</v>
      </c>
      <c r="D40">
        <v>24.1</v>
      </c>
      <c r="E40">
        <v>19.28</v>
      </c>
    </row>
    <row r="41" spans="1:5">
      <c r="A41">
        <v>1040</v>
      </c>
      <c r="B41" t="s">
        <v>223</v>
      </c>
      <c r="C41" t="s">
        <v>219</v>
      </c>
      <c r="D41">
        <v>24.13</v>
      </c>
      <c r="E41">
        <v>8.45</v>
      </c>
    </row>
    <row r="42" spans="1:5">
      <c r="A42">
        <v>1041</v>
      </c>
      <c r="B42" t="s">
        <v>224</v>
      </c>
      <c r="C42" t="s">
        <v>225</v>
      </c>
      <c r="D42">
        <v>43.2</v>
      </c>
      <c r="E42">
        <v>28.28</v>
      </c>
    </row>
    <row r="43" spans="1:5">
      <c r="A43">
        <v>1042</v>
      </c>
      <c r="B43" t="s">
        <v>226</v>
      </c>
      <c r="C43" t="s">
        <v>225</v>
      </c>
      <c r="D43">
        <v>15.23</v>
      </c>
      <c r="E43">
        <v>12.18</v>
      </c>
    </row>
    <row r="44" spans="1:5">
      <c r="A44">
        <v>1043</v>
      </c>
      <c r="B44" t="s">
        <v>227</v>
      </c>
      <c r="C44" t="s">
        <v>225</v>
      </c>
      <c r="D44">
        <v>43.28</v>
      </c>
      <c r="E44">
        <v>18.93</v>
      </c>
    </row>
    <row r="45" spans="1:5">
      <c r="A45">
        <v>1044</v>
      </c>
      <c r="B45" t="s">
        <v>228</v>
      </c>
      <c r="C45" t="s">
        <v>225</v>
      </c>
      <c r="D45">
        <v>21.37</v>
      </c>
      <c r="E45">
        <v>7.51</v>
      </c>
    </row>
    <row r="46" spans="1:5">
      <c r="A46">
        <v>1045</v>
      </c>
      <c r="B46" t="s">
        <v>229</v>
      </c>
      <c r="C46" t="s">
        <v>225</v>
      </c>
      <c r="D46">
        <v>27.37</v>
      </c>
      <c r="E46">
        <v>21.9</v>
      </c>
    </row>
    <row r="47" spans="1:5">
      <c r="A47">
        <v>1046</v>
      </c>
      <c r="B47" t="s">
        <v>230</v>
      </c>
      <c r="C47" t="s">
        <v>231</v>
      </c>
      <c r="D47">
        <v>61.26</v>
      </c>
      <c r="E47">
        <v>31.95</v>
      </c>
    </row>
    <row r="48" spans="1:5">
      <c r="A48">
        <v>1047</v>
      </c>
      <c r="B48" t="s">
        <v>232</v>
      </c>
      <c r="C48" t="s">
        <v>231</v>
      </c>
      <c r="D48">
        <v>88.77</v>
      </c>
      <c r="E48">
        <v>21.69</v>
      </c>
    </row>
    <row r="49" spans="1:5">
      <c r="A49">
        <v>1048</v>
      </c>
      <c r="B49" t="s">
        <v>233</v>
      </c>
      <c r="C49" t="s">
        <v>231</v>
      </c>
      <c r="D49">
        <v>65.21</v>
      </c>
      <c r="E49">
        <v>25.1</v>
      </c>
    </row>
    <row r="50" spans="1:5">
      <c r="A50">
        <v>1049</v>
      </c>
      <c r="B50" t="s">
        <v>234</v>
      </c>
      <c r="C50" t="s">
        <v>231</v>
      </c>
      <c r="D50">
        <v>74.87</v>
      </c>
      <c r="E50">
        <v>17.45</v>
      </c>
    </row>
    <row r="51" spans="1:5">
      <c r="A51">
        <v>1050</v>
      </c>
      <c r="B51" t="s">
        <v>235</v>
      </c>
      <c r="C51" t="s">
        <v>231</v>
      </c>
      <c r="D51">
        <v>73.41</v>
      </c>
      <c r="E51">
        <v>24.81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8"/>
  <sheetViews>
    <sheetView topLeftCell="A19" workbookViewId="0">
      <selection activeCell="A36" sqref="A36"/>
    </sheetView>
  </sheetViews>
  <sheetFormatPr defaultColWidth="9" defaultRowHeight="16.8" outlineLevelCol="1"/>
  <cols>
    <col min="1" max="1" width="22.78125" customWidth="1"/>
    <col min="2" max="2" width="12.6875"/>
  </cols>
  <sheetData>
    <row r="3" spans="1:2">
      <c r="A3" t="s">
        <v>202</v>
      </c>
      <c r="B3" t="s">
        <v>236</v>
      </c>
    </row>
    <row r="4" spans="1:2">
      <c r="A4" t="s">
        <v>221</v>
      </c>
      <c r="B4">
        <v>7019.6</v>
      </c>
    </row>
    <row r="5" spans="1:2">
      <c r="A5" t="s">
        <v>215</v>
      </c>
      <c r="B5">
        <v>28526.96</v>
      </c>
    </row>
    <row r="6" spans="1:2">
      <c r="A6" t="s">
        <v>232</v>
      </c>
      <c r="B6">
        <v>13493.04</v>
      </c>
    </row>
    <row r="7" spans="1:2">
      <c r="A7" t="s">
        <v>224</v>
      </c>
      <c r="B7">
        <v>4449.6</v>
      </c>
    </row>
    <row r="8" spans="1:2">
      <c r="A8" t="s">
        <v>222</v>
      </c>
      <c r="B8">
        <v>2964.3</v>
      </c>
    </row>
    <row r="9" spans="1:2">
      <c r="A9" t="s">
        <v>210</v>
      </c>
      <c r="B9">
        <v>2278.53</v>
      </c>
    </row>
    <row r="10" spans="1:2">
      <c r="A10" t="s">
        <v>228</v>
      </c>
      <c r="B10">
        <v>2179.74</v>
      </c>
    </row>
    <row r="11" spans="1:2">
      <c r="A11" t="s">
        <v>209</v>
      </c>
      <c r="B11">
        <v>5003.4</v>
      </c>
    </row>
    <row r="12" spans="1:2">
      <c r="A12" t="s">
        <v>218</v>
      </c>
      <c r="B12">
        <v>2790.32</v>
      </c>
    </row>
    <row r="13" spans="1:2">
      <c r="A13" t="s">
        <v>211</v>
      </c>
      <c r="B13">
        <v>1829.76</v>
      </c>
    </row>
    <row r="14" spans="1:2">
      <c r="A14" t="s">
        <v>234</v>
      </c>
      <c r="B14">
        <v>8160.83</v>
      </c>
    </row>
    <row r="15" spans="1:2">
      <c r="A15" t="s">
        <v>220</v>
      </c>
      <c r="B15">
        <v>4149.53</v>
      </c>
    </row>
    <row r="16" spans="1:2">
      <c r="A16" t="s">
        <v>214</v>
      </c>
      <c r="B16">
        <v>29802.24</v>
      </c>
    </row>
    <row r="17" spans="1:2">
      <c r="A17" t="s">
        <v>216</v>
      </c>
      <c r="B17">
        <v>43648.44</v>
      </c>
    </row>
    <row r="18" spans="1:2">
      <c r="A18" t="s">
        <v>227</v>
      </c>
      <c r="B18">
        <v>6232.32</v>
      </c>
    </row>
    <row r="19" spans="1:2">
      <c r="A19" t="s">
        <v>226</v>
      </c>
      <c r="B19">
        <v>1599.15</v>
      </c>
    </row>
    <row r="20" spans="1:2">
      <c r="A20" t="s">
        <v>229</v>
      </c>
      <c r="B20">
        <v>3257.03</v>
      </c>
    </row>
    <row r="21" spans="1:2">
      <c r="A21" t="s">
        <v>230</v>
      </c>
      <c r="B21">
        <v>7596.24</v>
      </c>
    </row>
    <row r="22" spans="1:2">
      <c r="A22" t="s">
        <v>217</v>
      </c>
      <c r="B22">
        <v>11259.61</v>
      </c>
    </row>
    <row r="23" spans="1:2">
      <c r="A23" t="s">
        <v>212</v>
      </c>
      <c r="B23">
        <v>22523.4</v>
      </c>
    </row>
    <row r="24" spans="1:2">
      <c r="A24" t="s">
        <v>223</v>
      </c>
      <c r="B24">
        <v>2726.69</v>
      </c>
    </row>
    <row r="25" spans="1:2">
      <c r="A25" t="s">
        <v>208</v>
      </c>
      <c r="B25">
        <v>3446.41</v>
      </c>
    </row>
    <row r="26" spans="1:2">
      <c r="A26" t="s">
        <v>206</v>
      </c>
      <c r="B26">
        <v>2942.99</v>
      </c>
    </row>
    <row r="27" spans="1:2">
      <c r="A27" t="s">
        <v>235</v>
      </c>
      <c r="B27">
        <v>10424.22</v>
      </c>
    </row>
    <row r="28" spans="1:2">
      <c r="A28" t="s">
        <v>233</v>
      </c>
      <c r="B28">
        <v>7433.94</v>
      </c>
    </row>
    <row r="29" spans="1:2">
      <c r="A29" t="s">
        <v>237</v>
      </c>
      <c r="B29">
        <v>235738.29</v>
      </c>
    </row>
    <row r="34" spans="1:2">
      <c r="A34" t="s">
        <v>238</v>
      </c>
      <c r="B34" t="s">
        <v>236</v>
      </c>
    </row>
    <row r="35" spans="1:2">
      <c r="A35" t="s">
        <v>219</v>
      </c>
      <c r="B35">
        <v>19650.44</v>
      </c>
    </row>
    <row r="36" spans="1:2">
      <c r="A36" t="s">
        <v>213</v>
      </c>
      <c r="B36">
        <v>135760.65</v>
      </c>
    </row>
    <row r="37" spans="1:2">
      <c r="A37" t="s">
        <v>231</v>
      </c>
      <c r="B37">
        <v>47108.27</v>
      </c>
    </row>
    <row r="38" spans="1:2">
      <c r="A38" t="s">
        <v>225</v>
      </c>
      <c r="B38">
        <v>17717.84</v>
      </c>
    </row>
    <row r="39" spans="1:2">
      <c r="A39" t="s">
        <v>207</v>
      </c>
      <c r="B39">
        <v>15501.09</v>
      </c>
    </row>
    <row r="40" spans="1:2">
      <c r="A40" t="s">
        <v>237</v>
      </c>
      <c r="B40">
        <v>235738.29</v>
      </c>
    </row>
    <row r="43" spans="1:2">
      <c r="A43" t="s">
        <v>1</v>
      </c>
      <c r="B43" t="s">
        <v>239</v>
      </c>
    </row>
    <row r="44" spans="1:2">
      <c r="A44" t="s">
        <v>4</v>
      </c>
      <c r="B44">
        <v>36608.7</v>
      </c>
    </row>
    <row r="45" spans="1:2">
      <c r="A45" t="s">
        <v>38</v>
      </c>
      <c r="B45">
        <v>17529.92</v>
      </c>
    </row>
    <row r="46" spans="1:2">
      <c r="A46" t="s">
        <v>6</v>
      </c>
      <c r="B46">
        <v>53506.48</v>
      </c>
    </row>
    <row r="47" spans="1:2">
      <c r="A47" t="s">
        <v>26</v>
      </c>
      <c r="B47">
        <v>15947.07</v>
      </c>
    </row>
    <row r="48" spans="1:2">
      <c r="A48" t="s">
        <v>237</v>
      </c>
      <c r="B48">
        <v>123592.17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59"/>
  <sheetViews>
    <sheetView topLeftCell="A416" workbookViewId="0">
      <selection activeCell="A36" sqref="A36"/>
    </sheetView>
  </sheetViews>
  <sheetFormatPr defaultColWidth="9" defaultRowHeight="16.8"/>
  <cols>
    <col min="1" max="1" width="44.6640625" customWidth="1"/>
    <col min="2" max="2" width="37.109375" customWidth="1"/>
    <col min="3" max="3" width="16.140625" customWidth="1"/>
    <col min="4" max="4" width="26.4296875" customWidth="1"/>
    <col min="5" max="5" width="6.25" customWidth="1"/>
    <col min="6" max="6" width="8.4375"/>
    <col min="7" max="7" width="17.96875" customWidth="1"/>
    <col min="8" max="8" width="10.9296875" style="13" customWidth="1"/>
    <col min="9" max="9" width="8.4375"/>
    <col min="10" max="10" width="8.5"/>
    <col min="11" max="12" width="8.4375"/>
  </cols>
  <sheetData>
    <row r="1" s="7" customFormat="1" spans="1:13">
      <c r="A1" s="7" t="s">
        <v>240</v>
      </c>
      <c r="B1" s="7" t="s">
        <v>0</v>
      </c>
      <c r="C1" s="7" t="s">
        <v>238</v>
      </c>
      <c r="D1" s="7" t="s">
        <v>202</v>
      </c>
      <c r="E1" s="7" t="s">
        <v>1</v>
      </c>
      <c r="F1" s="7" t="s">
        <v>201</v>
      </c>
      <c r="G1" s="7" t="s">
        <v>2</v>
      </c>
      <c r="H1" s="14" t="s">
        <v>241</v>
      </c>
      <c r="I1" s="7" t="s">
        <v>242</v>
      </c>
      <c r="J1" s="7" t="s">
        <v>243</v>
      </c>
      <c r="K1" s="7" t="s">
        <v>244</v>
      </c>
      <c r="L1" s="7" t="s">
        <v>245</v>
      </c>
      <c r="M1" s="7" t="s">
        <v>246</v>
      </c>
    </row>
    <row r="2" spans="1:13">
      <c r="A2" t="s">
        <v>247</v>
      </c>
      <c r="B2" t="s">
        <v>21</v>
      </c>
      <c r="C2" t="str">
        <f>_xlfn.XLOOKUP(F2,Products!$A$2:$A$51,Products!$C$2:$C$51,0)</f>
        <v>Accessories</v>
      </c>
      <c r="D2" t="str">
        <f>_xlfn.XLOOKUP(F2,Products!$A$2:$A$51,Products!$B$2:$B$51,0)</f>
        <v>Airtight Storage Container</v>
      </c>
      <c r="E2" t="str">
        <f>_xlfn.XLOOKUP(B2,customers!$A$2:$A$195,customers!$B$2:$B$195,,0)</f>
        <v>East</v>
      </c>
      <c r="F2">
        <v>1013</v>
      </c>
      <c r="G2" s="9">
        <f>_xlfn.XLOOKUP(B2,customers!$A$1:$A$195,customers!$C$1:$C$195)</f>
        <v>45046</v>
      </c>
      <c r="H2" s="13">
        <v>45658</v>
      </c>
      <c r="I2">
        <v>2</v>
      </c>
      <c r="J2">
        <v>122.08</v>
      </c>
      <c r="K2">
        <v>51.41</v>
      </c>
      <c r="L2">
        <f>_xlfn.XLOOKUP(F2,Products!$A$2:$A$51,Products!$D$2:$D$51,0)</f>
        <v>61.04</v>
      </c>
      <c r="M2">
        <f>J2-K2</f>
        <v>70.67</v>
      </c>
    </row>
    <row r="3" spans="1:13">
      <c r="A3" t="s">
        <v>248</v>
      </c>
      <c r="B3" t="s">
        <v>84</v>
      </c>
      <c r="C3" t="str">
        <f>_xlfn.XLOOKUP(F3,Products!$A$2:$A$51,Products!$C$2:$C$51,0)</f>
        <v>Grinders &amp; Brewers</v>
      </c>
      <c r="D3" t="str">
        <f>_xlfn.XLOOKUP(F3,Products!$A$2:$A$51,Products!$B$2:$B$51,0)</f>
        <v>High-Capacity French Press</v>
      </c>
      <c r="E3" t="str">
        <f>_xlfn.XLOOKUP(B3,customers!$A$2:$A$195,customers!$B$2:$B$195,,0)</f>
        <v>South</v>
      </c>
      <c r="F3">
        <v>1034</v>
      </c>
      <c r="G3" s="9">
        <f>_xlfn.XLOOKUP(B3,customers!$A$1:$A$195,customers!$C$1:$C$195)</f>
        <v>45174</v>
      </c>
      <c r="H3" s="13">
        <v>45658</v>
      </c>
      <c r="I3">
        <v>1</v>
      </c>
      <c r="J3">
        <v>338.36</v>
      </c>
      <c r="K3">
        <v>148.17</v>
      </c>
      <c r="L3">
        <f>_xlfn.XLOOKUP(F3,Products!$A$2:$A$51,Products!$D$2:$D$51,0)</f>
        <v>338.36</v>
      </c>
      <c r="M3">
        <f t="shared" ref="M3:M66" si="0">J3-K3</f>
        <v>190.19</v>
      </c>
    </row>
    <row r="4" spans="1:13">
      <c r="A4" t="s">
        <v>249</v>
      </c>
      <c r="B4" t="s">
        <v>123</v>
      </c>
      <c r="C4" t="str">
        <f>_xlfn.XLOOKUP(F4,Products!$A$2:$A$51,Products!$C$2:$C$51,0)</f>
        <v>Subscriptions</v>
      </c>
      <c r="D4" t="str">
        <f>_xlfn.XLOOKUP(F4,Products!$A$2:$A$51,Products!$B$2:$B$51,0)</f>
        <v>Subscription Renewal Service</v>
      </c>
      <c r="E4" t="str">
        <f>_xlfn.XLOOKUP(B4,customers!$A$2:$A$195,customers!$B$2:$B$195,,0)</f>
        <v>East</v>
      </c>
      <c r="F4">
        <v>1050</v>
      </c>
      <c r="G4" s="9">
        <f>_xlfn.XLOOKUP(B4,customers!$A$1:$A$195,customers!$C$1:$C$195)</f>
        <v>45264</v>
      </c>
      <c r="H4" s="13">
        <v>45658</v>
      </c>
      <c r="I4">
        <v>4</v>
      </c>
      <c r="J4">
        <v>293.64</v>
      </c>
      <c r="K4">
        <v>109.16</v>
      </c>
      <c r="L4">
        <f>_xlfn.XLOOKUP(F4,Products!$A$2:$A$51,Products!$D$2:$D$51,0)</f>
        <v>73.41</v>
      </c>
      <c r="M4">
        <f t="shared" si="0"/>
        <v>184.48</v>
      </c>
    </row>
    <row r="5" spans="1:13">
      <c r="A5" t="s">
        <v>250</v>
      </c>
      <c r="B5" t="s">
        <v>142</v>
      </c>
      <c r="C5" t="str">
        <f>_xlfn.XLOOKUP(F5,Products!$A$2:$A$51,Products!$C$2:$C$51,0)</f>
        <v>Subscriptions</v>
      </c>
      <c r="D5" t="str">
        <f>_xlfn.XLOOKUP(F5,Products!$A$2:$A$51,Products!$B$2:$B$51,0)</f>
        <v>Monthly Dark Roast Subscription</v>
      </c>
      <c r="E5" t="str">
        <f>_xlfn.XLOOKUP(B5,customers!$A$2:$A$195,customers!$B$2:$B$195,,0)</f>
        <v>South</v>
      </c>
      <c r="F5">
        <v>1021</v>
      </c>
      <c r="G5" s="9">
        <f>_xlfn.XLOOKUP(B5,customers!$A$1:$A$195,customers!$C$1:$C$195)</f>
        <v>45079</v>
      </c>
      <c r="H5" s="13">
        <v>45658</v>
      </c>
      <c r="I5">
        <v>3</v>
      </c>
      <c r="J5">
        <v>183.78</v>
      </c>
      <c r="K5">
        <v>105.44</v>
      </c>
      <c r="L5">
        <f>_xlfn.XLOOKUP(F5,Products!$A$2:$A$51,Products!$D$2:$D$51,0)</f>
        <v>61.26</v>
      </c>
      <c r="M5">
        <f t="shared" si="0"/>
        <v>78.34</v>
      </c>
    </row>
    <row r="6" spans="1:13">
      <c r="A6" t="s">
        <v>251</v>
      </c>
      <c r="B6" t="s">
        <v>143</v>
      </c>
      <c r="C6" t="str">
        <f>_xlfn.XLOOKUP(F6,Products!$A$2:$A$51,Products!$C$2:$C$51,0)</f>
        <v>Subscriptions</v>
      </c>
      <c r="D6" t="str">
        <f>_xlfn.XLOOKUP(F6,Products!$A$2:$A$51,Products!$B$2:$B$51,0)</f>
        <v>Espresso Lovers Quarterly Pack</v>
      </c>
      <c r="E6" t="str">
        <f>_xlfn.XLOOKUP(B6,customers!$A$2:$A$195,customers!$B$2:$B$195,,0)</f>
        <v>West</v>
      </c>
      <c r="F6">
        <v>1024</v>
      </c>
      <c r="G6" s="9">
        <f>_xlfn.XLOOKUP(B6,customers!$A$1:$A$195,customers!$C$1:$C$195)</f>
        <v>45193</v>
      </c>
      <c r="H6" s="13">
        <v>45658</v>
      </c>
      <c r="I6">
        <v>3</v>
      </c>
      <c r="J6">
        <v>224.61</v>
      </c>
      <c r="K6">
        <v>57.58</v>
      </c>
      <c r="L6">
        <f>_xlfn.XLOOKUP(F6,Products!$A$2:$A$51,Products!$D$2:$D$51,0)</f>
        <v>74.87</v>
      </c>
      <c r="M6">
        <f t="shared" si="0"/>
        <v>167.03</v>
      </c>
    </row>
    <row r="7" spans="1:13">
      <c r="A7" t="s">
        <v>252</v>
      </c>
      <c r="B7" t="s">
        <v>5</v>
      </c>
      <c r="C7" t="str">
        <f>_xlfn.XLOOKUP(F7,Products!$A$2:$A$51,Products!$C$2:$C$51,0)</f>
        <v>Subscriptions</v>
      </c>
      <c r="D7" t="str">
        <f>_xlfn.XLOOKUP(F7,Products!$A$2:$A$51,Products!$B$2:$B$51,0)</f>
        <v>Monthly Dark Roast Subscription</v>
      </c>
      <c r="E7" t="str">
        <f>_xlfn.XLOOKUP(B7,customers!$A$2:$A$195,customers!$B$2:$B$195,,0)</f>
        <v>West</v>
      </c>
      <c r="F7">
        <v>1046</v>
      </c>
      <c r="G7" s="9">
        <f>_xlfn.XLOOKUP(B7,customers!$A$1:$A$195,customers!$C$1:$C$195)</f>
        <v>44998</v>
      </c>
      <c r="H7" s="13">
        <v>45689</v>
      </c>
      <c r="I7">
        <v>1</v>
      </c>
      <c r="J7">
        <v>61.26</v>
      </c>
      <c r="K7">
        <v>35.15</v>
      </c>
      <c r="L7">
        <f>_xlfn.XLOOKUP(F7,Products!$A$2:$A$51,Products!$D$2:$D$51,0)</f>
        <v>61.26</v>
      </c>
      <c r="M7">
        <f t="shared" si="0"/>
        <v>26.11</v>
      </c>
    </row>
    <row r="8" spans="1:13">
      <c r="A8" t="s">
        <v>253</v>
      </c>
      <c r="B8" t="s">
        <v>86</v>
      </c>
      <c r="C8" t="str">
        <f>_xlfn.XLOOKUP(F8,Products!$A$2:$A$51,Products!$C$2:$C$51,0)</f>
        <v>Accessories</v>
      </c>
      <c r="D8" t="str">
        <f>_xlfn.XLOOKUP(F8,Products!$A$2:$A$51,Products!$B$2:$B$51,0)</f>
        <v>Gooseneck Electric Kettle</v>
      </c>
      <c r="E8" t="str">
        <f>_xlfn.XLOOKUP(B8,customers!$A$2:$A$195,customers!$B$2:$B$195,,0)</f>
        <v>North</v>
      </c>
      <c r="F8">
        <v>1012</v>
      </c>
      <c r="G8" s="9">
        <f>_xlfn.XLOOKUP(B8,customers!$A$1:$A$195,customers!$C$1:$C$195)</f>
        <v>45227</v>
      </c>
      <c r="H8" s="13">
        <v>45689</v>
      </c>
      <c r="I8">
        <v>3</v>
      </c>
      <c r="J8">
        <v>104.61</v>
      </c>
      <c r="K8">
        <v>77.91</v>
      </c>
      <c r="L8">
        <f>_xlfn.XLOOKUP(F8,Products!$A$2:$A$51,Products!$D$2:$D$51,0)</f>
        <v>34.87</v>
      </c>
      <c r="M8">
        <f t="shared" si="0"/>
        <v>26.7</v>
      </c>
    </row>
    <row r="9" spans="1:13">
      <c r="A9" t="s">
        <v>254</v>
      </c>
      <c r="B9" t="s">
        <v>189</v>
      </c>
      <c r="C9" t="str">
        <f>_xlfn.XLOOKUP(F9,Products!$A$2:$A$51,Products!$C$2:$C$51,0)</f>
        <v>Subscriptions</v>
      </c>
      <c r="D9" t="str">
        <f>_xlfn.XLOOKUP(F9,Products!$A$2:$A$51,Products!$B$2:$B$51,0)</f>
        <v>Espresso Lovers Quarterly Pack</v>
      </c>
      <c r="E9" t="str">
        <f>_xlfn.XLOOKUP(B9,customers!$A$2:$A$195,customers!$B$2:$B$195,,0)</f>
        <v>East</v>
      </c>
      <c r="F9">
        <v>1024</v>
      </c>
      <c r="G9" s="9">
        <f>_xlfn.XLOOKUP(B9,customers!$A$1:$A$195,customers!$C$1:$C$195)</f>
        <v>45015</v>
      </c>
      <c r="H9" s="13">
        <v>45689</v>
      </c>
      <c r="I9">
        <v>4</v>
      </c>
      <c r="J9">
        <v>299.48</v>
      </c>
      <c r="K9">
        <v>76.78</v>
      </c>
      <c r="L9">
        <f>_xlfn.XLOOKUP(F9,Products!$A$2:$A$51,Products!$D$2:$D$51,0)</f>
        <v>74.87</v>
      </c>
      <c r="M9">
        <f t="shared" si="0"/>
        <v>222.7</v>
      </c>
    </row>
    <row r="10" spans="1:13">
      <c r="A10" t="s">
        <v>255</v>
      </c>
      <c r="B10" t="s">
        <v>197</v>
      </c>
      <c r="C10" t="str">
        <f>_xlfn.XLOOKUP(F10,Products!$A$2:$A$51,Products!$C$2:$C$51,0)</f>
        <v>Grinders &amp; Brewers</v>
      </c>
      <c r="D10" t="str">
        <f>_xlfn.XLOOKUP(F10,Products!$A$2:$A$51,Products!$B$2:$B$51,0)</f>
        <v>Hand Grinder (Travel Size)</v>
      </c>
      <c r="E10" t="str">
        <f>_xlfn.XLOOKUP(B10,customers!$A$2:$A$195,customers!$B$2:$B$195,,0)</f>
        <v>East</v>
      </c>
      <c r="F10">
        <v>1032</v>
      </c>
      <c r="G10" s="9">
        <f>_xlfn.XLOOKUP(B10,customers!$A$1:$A$195,customers!$C$1:$C$195)</f>
        <v>45251</v>
      </c>
      <c r="H10" s="13">
        <v>45689</v>
      </c>
      <c r="I10">
        <v>1</v>
      </c>
      <c r="J10">
        <v>254.72</v>
      </c>
      <c r="K10">
        <v>130.28</v>
      </c>
      <c r="L10">
        <f>_xlfn.XLOOKUP(F10,Products!$A$2:$A$51,Products!$D$2:$D$51,0)</f>
        <v>254.72</v>
      </c>
      <c r="M10">
        <f t="shared" si="0"/>
        <v>124.44</v>
      </c>
    </row>
    <row r="11" spans="1:13">
      <c r="A11" t="s">
        <v>256</v>
      </c>
      <c r="B11" t="s">
        <v>91</v>
      </c>
      <c r="C11" t="str">
        <f>_xlfn.XLOOKUP(F11,Products!$A$2:$A$51,Products!$C$2:$C$51,0)</f>
        <v>Grinders &amp; Brewers</v>
      </c>
      <c r="D11" t="str">
        <f>_xlfn.XLOOKUP(F11,Products!$A$2:$A$51,Products!$B$2:$B$51,0)</f>
        <v>Automated Drip Brewer</v>
      </c>
      <c r="E11" t="str">
        <f>_xlfn.XLOOKUP(B11,customers!$A$2:$A$195,customers!$B$2:$B$195,,0)</f>
        <v>South</v>
      </c>
      <c r="F11">
        <v>1033</v>
      </c>
      <c r="G11" s="9">
        <f>_xlfn.XLOOKUP(B11,customers!$A$1:$A$195,customers!$C$1:$C$195)</f>
        <v>45026</v>
      </c>
      <c r="H11" s="13">
        <v>45717</v>
      </c>
      <c r="I11">
        <v>1</v>
      </c>
      <c r="J11">
        <v>235.76</v>
      </c>
      <c r="K11">
        <v>132.48</v>
      </c>
      <c r="L11">
        <f>_xlfn.XLOOKUP(F11,Products!$A$2:$A$51,Products!$D$2:$D$51,0)</f>
        <v>235.76</v>
      </c>
      <c r="M11">
        <f t="shared" si="0"/>
        <v>103.28</v>
      </c>
    </row>
    <row r="12" spans="1:13">
      <c r="A12" t="s">
        <v>257</v>
      </c>
      <c r="B12" t="s">
        <v>184</v>
      </c>
      <c r="C12" t="str">
        <f>_xlfn.XLOOKUP(F12,Products!$A$2:$A$51,Products!$C$2:$C$51,0)</f>
        <v>Subscriptions</v>
      </c>
      <c r="D12" t="str">
        <f>_xlfn.XLOOKUP(F12,Products!$A$2:$A$51,Products!$B$2:$B$51,0)</f>
        <v>Monthly Dark Roast Subscription</v>
      </c>
      <c r="E12" t="str">
        <f>_xlfn.XLOOKUP(B12,customers!$A$2:$A$195,customers!$B$2:$B$195,,0)</f>
        <v>East</v>
      </c>
      <c r="F12">
        <v>1021</v>
      </c>
      <c r="G12" s="9">
        <f>_xlfn.XLOOKUP(B12,customers!$A$1:$A$195,customers!$C$1:$C$195)</f>
        <v>45239</v>
      </c>
      <c r="H12" s="13">
        <v>45717</v>
      </c>
      <c r="I12">
        <v>1</v>
      </c>
      <c r="J12">
        <v>61.26</v>
      </c>
      <c r="K12">
        <v>35.15</v>
      </c>
      <c r="L12">
        <f>_xlfn.XLOOKUP(F12,Products!$A$2:$A$51,Products!$D$2:$D$51,0)</f>
        <v>61.26</v>
      </c>
      <c r="M12">
        <f t="shared" si="0"/>
        <v>26.11</v>
      </c>
    </row>
    <row r="13" spans="1:13">
      <c r="A13" t="s">
        <v>258</v>
      </c>
      <c r="B13" t="s">
        <v>12</v>
      </c>
      <c r="C13" t="str">
        <f>_xlfn.XLOOKUP(F13,Products!$A$2:$A$51,Products!$C$2:$C$51,0)</f>
        <v>Merchandise</v>
      </c>
      <c r="D13" t="str">
        <f>_xlfn.XLOOKUP(F13,Products!$A$2:$A$51,Products!$B$2:$B$51,0)</f>
        <v>Daily Grind T-Shirt</v>
      </c>
      <c r="E13" t="str">
        <f>_xlfn.XLOOKUP(B13,customers!$A$2:$A$195,customers!$B$2:$B$195,,0)</f>
        <v>West</v>
      </c>
      <c r="F13">
        <v>1044</v>
      </c>
      <c r="G13" s="9">
        <f>_xlfn.XLOOKUP(B13,customers!$A$1:$A$195,customers!$C$1:$C$195)</f>
        <v>45106</v>
      </c>
      <c r="H13" s="13">
        <v>45748</v>
      </c>
      <c r="I13">
        <v>3</v>
      </c>
      <c r="J13">
        <v>64.11</v>
      </c>
      <c r="K13">
        <v>24.78</v>
      </c>
      <c r="L13">
        <f>_xlfn.XLOOKUP(F13,Products!$A$2:$A$51,Products!$D$2:$D$51,0)</f>
        <v>21.37</v>
      </c>
      <c r="M13">
        <f t="shared" si="0"/>
        <v>39.33</v>
      </c>
    </row>
    <row r="14" spans="1:13">
      <c r="A14" t="s">
        <v>259</v>
      </c>
      <c r="B14" t="s">
        <v>35</v>
      </c>
      <c r="C14" t="str">
        <f>_xlfn.XLOOKUP(F14,Products!$A$2:$A$51,Products!$C$2:$C$51,0)</f>
        <v>Subscriptions</v>
      </c>
      <c r="D14" t="str">
        <f>_xlfn.XLOOKUP(F14,Products!$A$2:$A$51,Products!$B$2:$B$51,0)</f>
        <v>Espresso Lovers Quarterly Pack</v>
      </c>
      <c r="E14" t="str">
        <f>_xlfn.XLOOKUP(B14,customers!$A$2:$A$195,customers!$B$2:$B$195,,0)</f>
        <v>East</v>
      </c>
      <c r="F14">
        <v>1024</v>
      </c>
      <c r="G14" s="9">
        <f>_xlfn.XLOOKUP(B14,customers!$A$1:$A$195,customers!$C$1:$C$195)</f>
        <v>45161</v>
      </c>
      <c r="H14" s="13">
        <v>45809</v>
      </c>
      <c r="I14">
        <v>4</v>
      </c>
      <c r="J14">
        <v>299.48</v>
      </c>
      <c r="K14">
        <v>76.78</v>
      </c>
      <c r="L14">
        <f>_xlfn.XLOOKUP(F14,Products!$A$2:$A$51,Products!$D$2:$D$51,0)</f>
        <v>74.87</v>
      </c>
      <c r="M14">
        <f t="shared" si="0"/>
        <v>222.7</v>
      </c>
    </row>
    <row r="15" spans="1:13">
      <c r="A15" t="s">
        <v>260</v>
      </c>
      <c r="B15" t="s">
        <v>43</v>
      </c>
      <c r="C15" t="str">
        <f>_xlfn.XLOOKUP(F15,Products!$A$2:$A$51,Products!$C$2:$C$51,0)</f>
        <v>Consumables</v>
      </c>
      <c r="D15" t="str">
        <f>_xlfn.XLOOKUP(F15,Products!$A$2:$A$51,Products!$B$2:$B$51,0)</f>
        <v>Seasonal Blend Light Roast</v>
      </c>
      <c r="E15" t="str">
        <f>_xlfn.XLOOKUP(B15,customers!$A$2:$A$195,customers!$B$2:$B$195,,0)</f>
        <v>West</v>
      </c>
      <c r="F15">
        <v>1027</v>
      </c>
      <c r="G15" s="9">
        <f>_xlfn.XLOOKUP(B15,customers!$A$1:$A$195,customers!$C$1:$C$195)</f>
        <v>45197</v>
      </c>
      <c r="H15" s="13">
        <v>45809</v>
      </c>
      <c r="I15">
        <v>3</v>
      </c>
      <c r="J15">
        <v>106.59</v>
      </c>
      <c r="K15">
        <v>17.79</v>
      </c>
      <c r="L15">
        <f>_xlfn.XLOOKUP(F15,Products!$A$2:$A$51,Products!$D$2:$D$51,0)</f>
        <v>35.53</v>
      </c>
      <c r="M15">
        <f t="shared" si="0"/>
        <v>88.8</v>
      </c>
    </row>
    <row r="16" spans="1:13">
      <c r="A16" t="s">
        <v>261</v>
      </c>
      <c r="B16" t="s">
        <v>88</v>
      </c>
      <c r="C16" t="str">
        <f>_xlfn.XLOOKUP(F16,Products!$A$2:$A$51,Products!$C$2:$C$51,0)</f>
        <v>Accessories</v>
      </c>
      <c r="D16" t="str">
        <f>_xlfn.XLOOKUP(F16,Products!$A$2:$A$51,Products!$B$2:$B$51,0)</f>
        <v>Refillable Coffee Pods</v>
      </c>
      <c r="E16" t="str">
        <f>_xlfn.XLOOKUP(B16,customers!$A$2:$A$195,customers!$B$2:$B$195,,0)</f>
        <v>East</v>
      </c>
      <c r="F16">
        <v>1015</v>
      </c>
      <c r="G16" s="9">
        <f>_xlfn.XLOOKUP(B16,customers!$A$1:$A$195,customers!$C$1:$C$195)</f>
        <v>45042</v>
      </c>
      <c r="H16" s="13">
        <v>45809</v>
      </c>
      <c r="I16">
        <v>3</v>
      </c>
      <c r="J16">
        <v>72.39</v>
      </c>
      <c r="K16">
        <v>27.88</v>
      </c>
      <c r="L16">
        <f>_xlfn.XLOOKUP(F16,Products!$A$2:$A$51,Products!$D$2:$D$51,0)</f>
        <v>24.13</v>
      </c>
      <c r="M16">
        <f t="shared" si="0"/>
        <v>44.51</v>
      </c>
    </row>
    <row r="17" spans="1:13">
      <c r="A17" t="s">
        <v>262</v>
      </c>
      <c r="B17" t="s">
        <v>138</v>
      </c>
      <c r="C17" t="str">
        <f>_xlfn.XLOOKUP(F17,Products!$A$2:$A$51,Products!$C$2:$C$51,0)</f>
        <v>Accessories</v>
      </c>
      <c r="D17" t="str">
        <f>_xlfn.XLOOKUP(F17,Products!$A$2:$A$51,Products!$B$2:$B$51,0)</f>
        <v>Gooseneck Electric Kettle</v>
      </c>
      <c r="E17" t="str">
        <f>_xlfn.XLOOKUP(B17,customers!$A$2:$A$195,customers!$B$2:$B$195,,0)</f>
        <v>East</v>
      </c>
      <c r="F17">
        <v>1037</v>
      </c>
      <c r="G17" s="9">
        <f>_xlfn.XLOOKUP(B17,customers!$A$1:$A$195,customers!$C$1:$C$195)</f>
        <v>44976</v>
      </c>
      <c r="H17" s="13">
        <v>45809</v>
      </c>
      <c r="I17">
        <v>2</v>
      </c>
      <c r="J17">
        <v>69.74</v>
      </c>
      <c r="K17">
        <v>51.94</v>
      </c>
      <c r="L17">
        <f>_xlfn.XLOOKUP(F17,Products!$A$2:$A$51,Products!$D$2:$D$51,0)</f>
        <v>34.87</v>
      </c>
      <c r="M17">
        <f t="shared" si="0"/>
        <v>17.8</v>
      </c>
    </row>
    <row r="18" spans="1:13">
      <c r="A18" t="s">
        <v>263</v>
      </c>
      <c r="B18" t="s">
        <v>30</v>
      </c>
      <c r="C18" t="str">
        <f>_xlfn.XLOOKUP(F18,Products!$A$2:$A$51,Products!$C$2:$C$51,0)</f>
        <v>Subscriptions</v>
      </c>
      <c r="D18" t="str">
        <f>_xlfn.XLOOKUP(F18,Products!$A$2:$A$51,Products!$B$2:$B$51,0)</f>
        <v>Espresso Lovers Quarterly Pack</v>
      </c>
      <c r="E18" t="str">
        <f>_xlfn.XLOOKUP(B18,customers!$A$2:$A$195,customers!$B$2:$B$195,,0)</f>
        <v>East</v>
      </c>
      <c r="F18">
        <v>1024</v>
      </c>
      <c r="G18" s="9">
        <f>_xlfn.XLOOKUP(B18,customers!$A$1:$A$195,customers!$C$1:$C$195)</f>
        <v>45276</v>
      </c>
      <c r="H18" s="13">
        <v>45839</v>
      </c>
      <c r="I18">
        <v>3</v>
      </c>
      <c r="J18">
        <v>224.61</v>
      </c>
      <c r="K18">
        <v>57.58</v>
      </c>
      <c r="L18">
        <f>_xlfn.XLOOKUP(F18,Products!$A$2:$A$51,Products!$D$2:$D$51,0)</f>
        <v>74.87</v>
      </c>
      <c r="M18">
        <f t="shared" si="0"/>
        <v>167.03</v>
      </c>
    </row>
    <row r="19" spans="1:13">
      <c r="A19" t="s">
        <v>264</v>
      </c>
      <c r="B19" t="s">
        <v>90</v>
      </c>
      <c r="C19" t="str">
        <f>_xlfn.XLOOKUP(F19,Products!$A$2:$A$51,Products!$C$2:$C$51,0)</f>
        <v>Consumables</v>
      </c>
      <c r="D19" t="str">
        <f>_xlfn.XLOOKUP(F19,Products!$A$2:$A$51,Products!$B$2:$B$51,0)</f>
        <v>Decaf Blend (1kg)</v>
      </c>
      <c r="E19" t="str">
        <f>_xlfn.XLOOKUP(B19,customers!$A$2:$A$195,customers!$B$2:$B$195,,0)</f>
        <v>East</v>
      </c>
      <c r="F19">
        <v>1003</v>
      </c>
      <c r="G19" s="9">
        <f>_xlfn.XLOOKUP(B19,customers!$A$1:$A$195,customers!$C$1:$C$195)</f>
        <v>45043</v>
      </c>
      <c r="H19" s="13">
        <v>45839</v>
      </c>
      <c r="I19">
        <v>3</v>
      </c>
      <c r="J19">
        <v>121.05</v>
      </c>
      <c r="K19">
        <v>38.58</v>
      </c>
      <c r="L19">
        <f>_xlfn.XLOOKUP(F19,Products!$A$2:$A$51,Products!$D$2:$D$51,0)</f>
        <v>40.35</v>
      </c>
      <c r="M19">
        <f t="shared" si="0"/>
        <v>82.47</v>
      </c>
    </row>
    <row r="20" spans="1:13">
      <c r="A20" t="s">
        <v>265</v>
      </c>
      <c r="B20" t="s">
        <v>97</v>
      </c>
      <c r="C20" t="str">
        <f>_xlfn.XLOOKUP(F20,Products!$A$2:$A$51,Products!$C$2:$C$51,0)</f>
        <v>Consumables</v>
      </c>
      <c r="D20" t="str">
        <f>_xlfn.XLOOKUP(F20,Products!$A$2:$A$51,Products!$B$2:$B$51,0)</f>
        <v>Espresso Bean Sampler Pack</v>
      </c>
      <c r="E20" t="str">
        <f>_xlfn.XLOOKUP(B20,customers!$A$2:$A$195,customers!$B$2:$B$195,,0)</f>
        <v>East</v>
      </c>
      <c r="F20">
        <v>1005</v>
      </c>
      <c r="G20" s="9">
        <f>_xlfn.XLOOKUP(B20,customers!$A$1:$A$195,customers!$C$1:$C$195)</f>
        <v>45151</v>
      </c>
      <c r="H20" s="13">
        <v>45839</v>
      </c>
      <c r="I20">
        <v>1</v>
      </c>
      <c r="J20">
        <v>19.06</v>
      </c>
      <c r="K20">
        <v>11.97</v>
      </c>
      <c r="L20">
        <f>_xlfn.XLOOKUP(F20,Products!$A$2:$A$51,Products!$D$2:$D$51,0)</f>
        <v>19.06</v>
      </c>
      <c r="M20">
        <f t="shared" si="0"/>
        <v>7.09</v>
      </c>
    </row>
    <row r="21" spans="1:13">
      <c r="A21" t="s">
        <v>266</v>
      </c>
      <c r="B21" t="s">
        <v>109</v>
      </c>
      <c r="C21" t="str">
        <f>_xlfn.XLOOKUP(F21,Products!$A$2:$A$51,Products!$C$2:$C$51,0)</f>
        <v>Consumables</v>
      </c>
      <c r="D21" t="str">
        <f>_xlfn.XLOOKUP(F21,Products!$A$2:$A$51,Products!$B$2:$B$51,0)</f>
        <v>Espresso Bean Sampler Pack</v>
      </c>
      <c r="E21" t="str">
        <f>_xlfn.XLOOKUP(B21,customers!$A$2:$A$195,customers!$B$2:$B$195,,0)</f>
        <v>North</v>
      </c>
      <c r="F21">
        <v>1005</v>
      </c>
      <c r="G21" s="9">
        <f>_xlfn.XLOOKUP(B21,customers!$A$1:$A$195,customers!$C$1:$C$195)</f>
        <v>45129</v>
      </c>
      <c r="H21" s="13">
        <v>45839</v>
      </c>
      <c r="I21">
        <v>3</v>
      </c>
      <c r="J21">
        <v>57.18</v>
      </c>
      <c r="K21">
        <v>35.9</v>
      </c>
      <c r="L21">
        <f>_xlfn.XLOOKUP(F21,Products!$A$2:$A$51,Products!$D$2:$D$51,0)</f>
        <v>19.06</v>
      </c>
      <c r="M21">
        <f t="shared" si="0"/>
        <v>21.28</v>
      </c>
    </row>
    <row r="22" spans="1:13">
      <c r="A22" t="s">
        <v>267</v>
      </c>
      <c r="B22" t="s">
        <v>126</v>
      </c>
      <c r="C22" t="str">
        <f>_xlfn.XLOOKUP(F22,Products!$A$2:$A$51,Products!$C$2:$C$51,0)</f>
        <v>Accessories</v>
      </c>
      <c r="D22" t="str">
        <f>_xlfn.XLOOKUP(F22,Products!$A$2:$A$51,Products!$B$2:$B$51,0)</f>
        <v>Airtight Storage Container</v>
      </c>
      <c r="E22" t="str">
        <f>_xlfn.XLOOKUP(B22,customers!$A$2:$A$195,customers!$B$2:$B$195,,0)</f>
        <v>North</v>
      </c>
      <c r="F22">
        <v>1038</v>
      </c>
      <c r="G22" s="9">
        <f>_xlfn.XLOOKUP(B22,customers!$A$1:$A$195,customers!$C$1:$C$195)</f>
        <v>45192</v>
      </c>
      <c r="H22" s="13">
        <v>45839</v>
      </c>
      <c r="I22">
        <v>2</v>
      </c>
      <c r="J22">
        <v>122.08</v>
      </c>
      <c r="K22">
        <v>51.41</v>
      </c>
      <c r="L22">
        <f>_xlfn.XLOOKUP(F22,Products!$A$2:$A$51,Products!$D$2:$D$51,0)</f>
        <v>61.04</v>
      </c>
      <c r="M22">
        <f t="shared" si="0"/>
        <v>70.67</v>
      </c>
    </row>
    <row r="23" spans="1:13">
      <c r="A23" t="s">
        <v>268</v>
      </c>
      <c r="B23" t="s">
        <v>138</v>
      </c>
      <c r="C23" t="str">
        <f>_xlfn.XLOOKUP(F23,Products!$A$2:$A$51,Products!$C$2:$C$51,0)</f>
        <v>Merchandise</v>
      </c>
      <c r="D23" t="str">
        <f>_xlfn.XLOOKUP(F23,Products!$A$2:$A$51,Products!$B$2:$B$51,0)</f>
        <v>Logo Hoodie (Black)</v>
      </c>
      <c r="E23" t="str">
        <f>_xlfn.XLOOKUP(B23,customers!$A$2:$A$195,customers!$B$2:$B$195,,0)</f>
        <v>East</v>
      </c>
      <c r="F23">
        <v>1017</v>
      </c>
      <c r="G23" s="9">
        <f>_xlfn.XLOOKUP(B23,customers!$A$1:$A$195,customers!$C$1:$C$195)</f>
        <v>44976</v>
      </c>
      <c r="H23" s="13">
        <v>45839</v>
      </c>
      <c r="I23">
        <v>4</v>
      </c>
      <c r="J23">
        <v>60.92</v>
      </c>
      <c r="K23">
        <v>53.59</v>
      </c>
      <c r="L23">
        <f>_xlfn.XLOOKUP(F23,Products!$A$2:$A$51,Products!$D$2:$D$51,0)</f>
        <v>15.23</v>
      </c>
      <c r="M23">
        <f t="shared" si="0"/>
        <v>7.33</v>
      </c>
    </row>
    <row r="24" spans="1:13">
      <c r="A24" t="s">
        <v>269</v>
      </c>
      <c r="B24" t="s">
        <v>169</v>
      </c>
      <c r="C24" t="str">
        <f>_xlfn.XLOOKUP(F24,Products!$A$2:$A$51,Products!$C$2:$C$51,0)</f>
        <v>Merchandise</v>
      </c>
      <c r="D24" t="str">
        <f>_xlfn.XLOOKUP(F24,Products!$A$2:$A$51,Products!$B$2:$B$51,0)</f>
        <v>Daily Grind T-Shirt</v>
      </c>
      <c r="E24" t="str">
        <f>_xlfn.XLOOKUP(B24,customers!$A$2:$A$195,customers!$B$2:$B$195,,0)</f>
        <v>West</v>
      </c>
      <c r="F24">
        <v>1044</v>
      </c>
      <c r="G24" s="9">
        <f>_xlfn.XLOOKUP(B24,customers!$A$1:$A$195,customers!$C$1:$C$195)</f>
        <v>44979</v>
      </c>
      <c r="H24" s="13">
        <v>45839</v>
      </c>
      <c r="I24">
        <v>4</v>
      </c>
      <c r="J24">
        <v>85.48</v>
      </c>
      <c r="K24">
        <v>33.04</v>
      </c>
      <c r="L24">
        <f>_xlfn.XLOOKUP(F24,Products!$A$2:$A$51,Products!$D$2:$D$51,0)</f>
        <v>21.37</v>
      </c>
      <c r="M24">
        <f t="shared" si="0"/>
        <v>52.44</v>
      </c>
    </row>
    <row r="25" spans="1:13">
      <c r="A25" t="s">
        <v>270</v>
      </c>
      <c r="B25" t="s">
        <v>173</v>
      </c>
      <c r="C25" t="str">
        <f>_xlfn.XLOOKUP(F25,Products!$A$2:$A$51,Products!$C$2:$C$51,0)</f>
        <v>Consumables</v>
      </c>
      <c r="D25" t="str">
        <f>_xlfn.XLOOKUP(F25,Products!$A$2:$A$51,Products!$B$2:$B$51,0)</f>
        <v>Espresso Bean Sampler Pack</v>
      </c>
      <c r="E25" t="str">
        <f>_xlfn.XLOOKUP(B25,customers!$A$2:$A$195,customers!$B$2:$B$195,,0)</f>
        <v>West</v>
      </c>
      <c r="F25">
        <v>1030</v>
      </c>
      <c r="G25" s="9">
        <f>_xlfn.XLOOKUP(B25,customers!$A$1:$A$195,customers!$C$1:$C$195)</f>
        <v>45084</v>
      </c>
      <c r="H25" s="13">
        <v>45839</v>
      </c>
      <c r="I25">
        <v>1</v>
      </c>
      <c r="J25">
        <v>19.06</v>
      </c>
      <c r="K25">
        <v>11.97</v>
      </c>
      <c r="L25">
        <f>_xlfn.XLOOKUP(F25,Products!$A$2:$A$51,Products!$D$2:$D$51,0)</f>
        <v>19.06</v>
      </c>
      <c r="M25">
        <f t="shared" si="0"/>
        <v>7.09</v>
      </c>
    </row>
    <row r="26" spans="1:13">
      <c r="A26" t="s">
        <v>271</v>
      </c>
      <c r="B26" t="s">
        <v>137</v>
      </c>
      <c r="C26" t="str">
        <f>_xlfn.XLOOKUP(F26,Products!$A$2:$A$51,Products!$C$2:$C$51,0)</f>
        <v>Merchandise</v>
      </c>
      <c r="D26" t="str">
        <f>_xlfn.XLOOKUP(F26,Products!$A$2:$A$51,Products!$B$2:$B$51,0)</f>
        <v>Daily Grind T-Shirt</v>
      </c>
      <c r="E26" t="str">
        <f>_xlfn.XLOOKUP(B26,customers!$A$2:$A$195,customers!$B$2:$B$195,,0)</f>
        <v>West</v>
      </c>
      <c r="F26">
        <v>1044</v>
      </c>
      <c r="G26" s="9">
        <f>_xlfn.XLOOKUP(B26,customers!$A$1:$A$195,customers!$C$1:$C$195)</f>
        <v>45166</v>
      </c>
      <c r="H26" s="13">
        <v>45870</v>
      </c>
      <c r="I26">
        <v>1</v>
      </c>
      <c r="J26">
        <v>21.37</v>
      </c>
      <c r="K26">
        <v>8.26</v>
      </c>
      <c r="L26">
        <f>_xlfn.XLOOKUP(F26,Products!$A$2:$A$51,Products!$D$2:$D$51,0)</f>
        <v>21.37</v>
      </c>
      <c r="M26">
        <f t="shared" si="0"/>
        <v>13.11</v>
      </c>
    </row>
    <row r="27" spans="1:13">
      <c r="A27" t="s">
        <v>272</v>
      </c>
      <c r="B27" t="s">
        <v>187</v>
      </c>
      <c r="C27" t="str">
        <f>_xlfn.XLOOKUP(F27,Products!$A$2:$A$51,Products!$C$2:$C$51,0)</f>
        <v>Consumables</v>
      </c>
      <c r="D27" t="str">
        <f>_xlfn.XLOOKUP(F27,Products!$A$2:$A$51,Products!$B$2:$B$51,0)</f>
        <v>Decaf Blend (1kg)</v>
      </c>
      <c r="E27" t="str">
        <f>_xlfn.XLOOKUP(B27,customers!$A$2:$A$195,customers!$B$2:$B$195,,0)</f>
        <v>West</v>
      </c>
      <c r="F27">
        <v>1003</v>
      </c>
      <c r="G27" s="9">
        <f>_xlfn.XLOOKUP(B27,customers!$A$1:$A$195,customers!$C$1:$C$195)</f>
        <v>45282</v>
      </c>
      <c r="H27" s="13">
        <v>45870</v>
      </c>
      <c r="I27">
        <v>4</v>
      </c>
      <c r="J27">
        <v>161.4</v>
      </c>
      <c r="K27">
        <v>51.44</v>
      </c>
      <c r="L27">
        <f>_xlfn.XLOOKUP(F27,Products!$A$2:$A$51,Products!$D$2:$D$51,0)</f>
        <v>40.35</v>
      </c>
      <c r="M27">
        <f t="shared" si="0"/>
        <v>109.96</v>
      </c>
    </row>
    <row r="28" spans="1:13">
      <c r="A28" t="s">
        <v>273</v>
      </c>
      <c r="B28" t="s">
        <v>77</v>
      </c>
      <c r="C28" t="str">
        <f>_xlfn.XLOOKUP(F28,Products!$A$2:$A$51,Products!$C$2:$C$51,0)</f>
        <v>Accessories</v>
      </c>
      <c r="D28" t="str">
        <f>_xlfn.XLOOKUP(F28,Products!$A$2:$A$51,Products!$B$2:$B$51,0)</f>
        <v>Refillable Coffee Pods</v>
      </c>
      <c r="E28" t="str">
        <f>_xlfn.XLOOKUP(B28,customers!$A$2:$A$195,customers!$B$2:$B$195,,0)</f>
        <v>West</v>
      </c>
      <c r="F28">
        <v>1040</v>
      </c>
      <c r="G28" s="9">
        <f>_xlfn.XLOOKUP(B28,customers!$A$1:$A$195,customers!$C$1:$C$195)</f>
        <v>44964</v>
      </c>
      <c r="H28" s="13">
        <v>45901</v>
      </c>
      <c r="I28">
        <v>2</v>
      </c>
      <c r="J28">
        <v>48.26</v>
      </c>
      <c r="K28">
        <v>18.59</v>
      </c>
      <c r="L28">
        <f>_xlfn.XLOOKUP(F28,Products!$A$2:$A$51,Products!$D$2:$D$51,0)</f>
        <v>24.13</v>
      </c>
      <c r="M28">
        <f t="shared" si="0"/>
        <v>29.67</v>
      </c>
    </row>
    <row r="29" spans="1:13">
      <c r="A29" t="s">
        <v>274</v>
      </c>
      <c r="B29" t="s">
        <v>128</v>
      </c>
      <c r="C29" t="str">
        <f>_xlfn.XLOOKUP(F29,Products!$A$2:$A$51,Products!$C$2:$C$51,0)</f>
        <v>Merchandise</v>
      </c>
      <c r="D29" t="str">
        <f>_xlfn.XLOOKUP(F29,Products!$A$2:$A$51,Products!$B$2:$B$51,0)</f>
        <v>Insulated Travel Tumbler</v>
      </c>
      <c r="E29" t="str">
        <f>_xlfn.XLOOKUP(B29,customers!$A$2:$A$195,customers!$B$2:$B$195,,0)</f>
        <v>West</v>
      </c>
      <c r="F29">
        <v>1043</v>
      </c>
      <c r="G29" s="9">
        <f>_xlfn.XLOOKUP(B29,customers!$A$1:$A$195,customers!$C$1:$C$195)</f>
        <v>45161</v>
      </c>
      <c r="H29" s="13">
        <v>45901</v>
      </c>
      <c r="I29">
        <v>3</v>
      </c>
      <c r="J29">
        <v>129.84</v>
      </c>
      <c r="K29">
        <v>62.47</v>
      </c>
      <c r="L29">
        <f>_xlfn.XLOOKUP(F29,Products!$A$2:$A$51,Products!$D$2:$D$51,0)</f>
        <v>43.28</v>
      </c>
      <c r="M29">
        <f t="shared" si="0"/>
        <v>67.37</v>
      </c>
    </row>
    <row r="30" spans="1:13">
      <c r="A30" t="s">
        <v>275</v>
      </c>
      <c r="B30" t="s">
        <v>146</v>
      </c>
      <c r="C30" t="str">
        <f>_xlfn.XLOOKUP(F30,Products!$A$2:$A$51,Products!$C$2:$C$51,0)</f>
        <v>Subscriptions</v>
      </c>
      <c r="D30" t="str">
        <f>_xlfn.XLOOKUP(F30,Products!$A$2:$A$51,Products!$B$2:$B$51,0)</f>
        <v>Bi-Weekly Sampler Box</v>
      </c>
      <c r="E30" t="str">
        <f>_xlfn.XLOOKUP(B30,customers!$A$2:$A$195,customers!$B$2:$B$195,,0)</f>
        <v>East</v>
      </c>
      <c r="F30">
        <v>1022</v>
      </c>
      <c r="G30" s="9">
        <f>_xlfn.XLOOKUP(B30,customers!$A$1:$A$195,customers!$C$1:$C$195)</f>
        <v>44981</v>
      </c>
      <c r="H30" s="13">
        <v>45901</v>
      </c>
      <c r="I30">
        <v>2</v>
      </c>
      <c r="J30">
        <v>177.54</v>
      </c>
      <c r="K30">
        <v>47.72</v>
      </c>
      <c r="L30">
        <f>_xlfn.XLOOKUP(F30,Products!$A$2:$A$51,Products!$D$2:$D$51,0)</f>
        <v>88.77</v>
      </c>
      <c r="M30">
        <f t="shared" si="0"/>
        <v>129.82</v>
      </c>
    </row>
    <row r="31" spans="1:13">
      <c r="A31" t="s">
        <v>276</v>
      </c>
      <c r="B31" t="s">
        <v>28</v>
      </c>
      <c r="C31" t="str">
        <f>_xlfn.XLOOKUP(F31,Products!$A$2:$A$51,Products!$C$2:$C$51,0)</f>
        <v>Merchandise</v>
      </c>
      <c r="D31" t="str">
        <f>_xlfn.XLOOKUP(F31,Products!$A$2:$A$51,Products!$B$2:$B$51,0)</f>
        <v>Branded Ceramic Mug (Large)</v>
      </c>
      <c r="E31" t="str">
        <f>_xlfn.XLOOKUP(B31,customers!$A$2:$A$195,customers!$B$2:$B$195,,0)</f>
        <v>East</v>
      </c>
      <c r="F31">
        <v>1016</v>
      </c>
      <c r="G31" s="9">
        <f>_xlfn.XLOOKUP(B31,customers!$A$1:$A$195,customers!$C$1:$C$195)</f>
        <v>45273</v>
      </c>
      <c r="H31" s="13">
        <v>45931</v>
      </c>
      <c r="I31">
        <v>2</v>
      </c>
      <c r="J31">
        <v>86.4</v>
      </c>
      <c r="K31">
        <v>62.22</v>
      </c>
      <c r="L31">
        <f>_xlfn.XLOOKUP(F31,Products!$A$2:$A$51,Products!$D$2:$D$51,0)</f>
        <v>43.2</v>
      </c>
      <c r="M31">
        <f t="shared" si="0"/>
        <v>24.18</v>
      </c>
    </row>
    <row r="32" spans="1:13">
      <c r="A32" t="s">
        <v>277</v>
      </c>
      <c r="B32" t="s">
        <v>35</v>
      </c>
      <c r="C32" t="str">
        <f>_xlfn.XLOOKUP(F32,Products!$A$2:$A$51,Products!$C$2:$C$51,0)</f>
        <v>Consumables</v>
      </c>
      <c r="D32" t="str">
        <f>_xlfn.XLOOKUP(F32,Products!$A$2:$A$51,Products!$B$2:$B$51,0)</f>
        <v>Cold Brew Concentrate</v>
      </c>
      <c r="E32" t="str">
        <f>_xlfn.XLOOKUP(B32,customers!$A$2:$A$195,customers!$B$2:$B$195,,0)</f>
        <v>East</v>
      </c>
      <c r="F32">
        <v>1029</v>
      </c>
      <c r="G32" s="9">
        <f>_xlfn.XLOOKUP(B32,customers!$A$1:$A$195,customers!$C$1:$C$195)</f>
        <v>45161</v>
      </c>
      <c r="H32" s="13">
        <v>45931</v>
      </c>
      <c r="I32">
        <v>3</v>
      </c>
      <c r="J32">
        <v>70.47</v>
      </c>
      <c r="K32">
        <v>30.26</v>
      </c>
      <c r="L32">
        <f>_xlfn.XLOOKUP(F32,Products!$A$2:$A$51,Products!$D$2:$D$51,0)</f>
        <v>23.49</v>
      </c>
      <c r="M32">
        <f t="shared" si="0"/>
        <v>40.21</v>
      </c>
    </row>
    <row r="33" spans="1:13">
      <c r="A33" t="s">
        <v>278</v>
      </c>
      <c r="B33" t="s">
        <v>113</v>
      </c>
      <c r="C33" t="str">
        <f>_xlfn.XLOOKUP(F33,Products!$A$2:$A$51,Products!$C$2:$C$51,0)</f>
        <v>Accessories</v>
      </c>
      <c r="D33" t="str">
        <f>_xlfn.XLOOKUP(F33,Products!$A$2:$A$51,Products!$B$2:$B$51,0)</f>
        <v>Refillable Coffee Pods</v>
      </c>
      <c r="E33" t="str">
        <f>_xlfn.XLOOKUP(B33,customers!$A$2:$A$195,customers!$B$2:$B$195,,0)</f>
        <v>North</v>
      </c>
      <c r="F33">
        <v>1015</v>
      </c>
      <c r="G33" s="9">
        <f>_xlfn.XLOOKUP(B33,customers!$A$1:$A$195,customers!$C$1:$C$195)</f>
        <v>45206</v>
      </c>
      <c r="H33" s="13">
        <v>45931</v>
      </c>
      <c r="I33">
        <v>4</v>
      </c>
      <c r="J33">
        <v>96.52</v>
      </c>
      <c r="K33">
        <v>37.18</v>
      </c>
      <c r="L33">
        <f>_xlfn.XLOOKUP(F33,Products!$A$2:$A$51,Products!$D$2:$D$51,0)</f>
        <v>24.13</v>
      </c>
      <c r="M33">
        <f t="shared" si="0"/>
        <v>59.34</v>
      </c>
    </row>
    <row r="34" spans="1:13">
      <c r="A34" t="s">
        <v>279</v>
      </c>
      <c r="B34" t="s">
        <v>186</v>
      </c>
      <c r="C34" t="str">
        <f>_xlfn.XLOOKUP(F34,Products!$A$2:$A$51,Products!$C$2:$C$51,0)</f>
        <v>Consumables</v>
      </c>
      <c r="D34" t="str">
        <f>_xlfn.XLOOKUP(F34,Products!$A$2:$A$51,Products!$B$2:$B$51,0)</f>
        <v>Seasonal Blend Light Roast</v>
      </c>
      <c r="E34" t="str">
        <f>_xlfn.XLOOKUP(B34,customers!$A$2:$A$195,customers!$B$2:$B$195,,0)</f>
        <v>West</v>
      </c>
      <c r="F34">
        <v>1002</v>
      </c>
      <c r="G34" s="9">
        <f>_xlfn.XLOOKUP(B34,customers!$A$1:$A$195,customers!$C$1:$C$195)</f>
        <v>45283</v>
      </c>
      <c r="H34" s="13">
        <v>45931</v>
      </c>
      <c r="I34">
        <v>4</v>
      </c>
      <c r="J34">
        <v>142.12</v>
      </c>
      <c r="K34">
        <v>23.72</v>
      </c>
      <c r="L34">
        <f>_xlfn.XLOOKUP(F34,Products!$A$2:$A$51,Products!$D$2:$D$51,0)</f>
        <v>35.53</v>
      </c>
      <c r="M34">
        <f t="shared" si="0"/>
        <v>118.4</v>
      </c>
    </row>
    <row r="35" spans="1:13">
      <c r="A35" t="s">
        <v>280</v>
      </c>
      <c r="B35" t="s">
        <v>198</v>
      </c>
      <c r="C35" t="str">
        <f>_xlfn.XLOOKUP(F35,Products!$A$2:$A$51,Products!$C$2:$C$51,0)</f>
        <v>Subscriptions</v>
      </c>
      <c r="D35" t="str">
        <f>_xlfn.XLOOKUP(F35,Products!$A$2:$A$51,Products!$B$2:$B$51,0)</f>
        <v>Espresso Lovers Quarterly Pack</v>
      </c>
      <c r="E35" t="str">
        <f>_xlfn.XLOOKUP(B35,customers!$A$2:$A$195,customers!$B$2:$B$195,,0)</f>
        <v>East</v>
      </c>
      <c r="F35">
        <v>1049</v>
      </c>
      <c r="G35" s="9">
        <f>_xlfn.XLOOKUP(B35,customers!$A$1:$A$195,customers!$C$1:$C$195)</f>
        <v>45115</v>
      </c>
      <c r="H35" s="13">
        <v>45931</v>
      </c>
      <c r="I35">
        <v>3</v>
      </c>
      <c r="J35">
        <v>224.61</v>
      </c>
      <c r="K35">
        <v>57.58</v>
      </c>
      <c r="L35">
        <f>_xlfn.XLOOKUP(F35,Products!$A$2:$A$51,Products!$D$2:$D$51,0)</f>
        <v>74.87</v>
      </c>
      <c r="M35">
        <f t="shared" si="0"/>
        <v>167.03</v>
      </c>
    </row>
    <row r="36" spans="1:13">
      <c r="A36" t="s">
        <v>281</v>
      </c>
      <c r="B36" t="s">
        <v>116</v>
      </c>
      <c r="C36" t="str">
        <f>_xlfn.XLOOKUP(F36,Products!$A$2:$A$51,Products!$C$2:$C$51,0)</f>
        <v>Accessories</v>
      </c>
      <c r="D36" t="str">
        <f>_xlfn.XLOOKUP(F36,Products!$A$2:$A$51,Products!$B$2:$B$51,0)</f>
        <v>Digital Coffee Scale</v>
      </c>
      <c r="E36" t="str">
        <f>_xlfn.XLOOKUP(B36,customers!$A$2:$A$195,customers!$B$2:$B$195,,0)</f>
        <v>West</v>
      </c>
      <c r="F36">
        <v>1036</v>
      </c>
      <c r="G36" s="9">
        <f>_xlfn.XLOOKUP(B36,customers!$A$1:$A$195,customers!$C$1:$C$195)</f>
        <v>45037</v>
      </c>
      <c r="H36" s="13" t="s">
        <v>282</v>
      </c>
      <c r="I36">
        <v>3</v>
      </c>
      <c r="J36">
        <v>80.49</v>
      </c>
      <c r="K36">
        <v>43.96</v>
      </c>
      <c r="L36">
        <f>_xlfn.XLOOKUP(F36,Products!$A$2:$A$51,Products!$D$2:$D$51,0)</f>
        <v>26.83</v>
      </c>
      <c r="M36">
        <f t="shared" si="0"/>
        <v>36.53</v>
      </c>
    </row>
    <row r="37" spans="1:13">
      <c r="A37" t="s">
        <v>283</v>
      </c>
      <c r="B37" t="s">
        <v>127</v>
      </c>
      <c r="C37" t="str">
        <f>_xlfn.XLOOKUP(F37,Products!$A$2:$A$51,Products!$C$2:$C$51,0)</f>
        <v>Consumables</v>
      </c>
      <c r="D37" t="str">
        <f>_xlfn.XLOOKUP(F37,Products!$A$2:$A$51,Products!$B$2:$B$51,0)</f>
        <v>Seasonal Blend Light Roast</v>
      </c>
      <c r="E37" t="str">
        <f>_xlfn.XLOOKUP(B37,customers!$A$2:$A$195,customers!$B$2:$B$195,,0)</f>
        <v>North</v>
      </c>
      <c r="F37">
        <v>1027</v>
      </c>
      <c r="G37" s="9">
        <f>_xlfn.XLOOKUP(B37,customers!$A$1:$A$195,customers!$C$1:$C$195)</f>
        <v>45070</v>
      </c>
      <c r="H37" s="13" t="s">
        <v>282</v>
      </c>
      <c r="I37">
        <v>1</v>
      </c>
      <c r="J37">
        <v>35.53</v>
      </c>
      <c r="K37">
        <v>5.93</v>
      </c>
      <c r="L37">
        <f>_xlfn.XLOOKUP(F37,Products!$A$2:$A$51,Products!$D$2:$D$51,0)</f>
        <v>35.53</v>
      </c>
      <c r="M37">
        <f t="shared" si="0"/>
        <v>29.6</v>
      </c>
    </row>
    <row r="38" spans="1:13">
      <c r="A38" t="s">
        <v>284</v>
      </c>
      <c r="B38" t="s">
        <v>162</v>
      </c>
      <c r="C38" t="str">
        <f>_xlfn.XLOOKUP(F38,Products!$A$2:$A$51,Products!$C$2:$C$51,0)</f>
        <v>Merchandise</v>
      </c>
      <c r="D38" t="str">
        <f>_xlfn.XLOOKUP(F38,Products!$A$2:$A$51,Products!$B$2:$B$51,0)</f>
        <v>Daily Grind T-Shirt</v>
      </c>
      <c r="E38" t="str">
        <f>_xlfn.XLOOKUP(B38,customers!$A$2:$A$195,customers!$B$2:$B$195,,0)</f>
        <v>East</v>
      </c>
      <c r="F38">
        <v>1044</v>
      </c>
      <c r="G38" s="9">
        <f>_xlfn.XLOOKUP(B38,customers!$A$1:$A$195,customers!$C$1:$C$195)</f>
        <v>45262</v>
      </c>
      <c r="H38" s="13" t="s">
        <v>282</v>
      </c>
      <c r="I38">
        <v>4</v>
      </c>
      <c r="J38">
        <v>85.48</v>
      </c>
      <c r="K38">
        <v>33.04</v>
      </c>
      <c r="L38">
        <f>_xlfn.XLOOKUP(F38,Products!$A$2:$A$51,Products!$D$2:$D$51,0)</f>
        <v>21.37</v>
      </c>
      <c r="M38">
        <f t="shared" si="0"/>
        <v>52.44</v>
      </c>
    </row>
    <row r="39" spans="1:13">
      <c r="A39" t="s">
        <v>285</v>
      </c>
      <c r="B39" t="s">
        <v>173</v>
      </c>
      <c r="C39" t="str">
        <f>_xlfn.XLOOKUP(F39,Products!$A$2:$A$51,Products!$C$2:$C$51,0)</f>
        <v>Consumables</v>
      </c>
      <c r="D39" t="str">
        <f>_xlfn.XLOOKUP(F39,Products!$A$2:$A$51,Products!$B$2:$B$51,0)</f>
        <v>Decaf Blend (1kg)</v>
      </c>
      <c r="E39" t="str">
        <f>_xlfn.XLOOKUP(B39,customers!$A$2:$A$195,customers!$B$2:$B$195,,0)</f>
        <v>West</v>
      </c>
      <c r="F39">
        <v>1028</v>
      </c>
      <c r="G39" s="9">
        <f>_xlfn.XLOOKUP(B39,customers!$A$1:$A$195,customers!$C$1:$C$195)</f>
        <v>45084</v>
      </c>
      <c r="H39" s="13" t="s">
        <v>282</v>
      </c>
      <c r="I39">
        <v>4</v>
      </c>
      <c r="J39">
        <v>161.4</v>
      </c>
      <c r="K39">
        <v>51.44</v>
      </c>
      <c r="L39">
        <f>_xlfn.XLOOKUP(F39,Products!$A$2:$A$51,Products!$D$2:$D$51,0)</f>
        <v>40.35</v>
      </c>
      <c r="M39">
        <f t="shared" si="0"/>
        <v>109.96</v>
      </c>
    </row>
    <row r="40" spans="1:13">
      <c r="A40" t="s">
        <v>286</v>
      </c>
      <c r="B40" t="s">
        <v>30</v>
      </c>
      <c r="C40" t="str">
        <f>_xlfn.XLOOKUP(F40,Products!$A$2:$A$51,Products!$C$2:$C$51,0)</f>
        <v>Merchandise</v>
      </c>
      <c r="D40" t="str">
        <f>_xlfn.XLOOKUP(F40,Products!$A$2:$A$51,Products!$B$2:$B$51,0)</f>
        <v>Logo Hoodie (Black)</v>
      </c>
      <c r="E40" t="str">
        <f>_xlfn.XLOOKUP(B40,customers!$A$2:$A$195,customers!$B$2:$B$195,,0)</f>
        <v>East</v>
      </c>
      <c r="F40">
        <v>1042</v>
      </c>
      <c r="G40" s="9">
        <f>_xlfn.XLOOKUP(B40,customers!$A$1:$A$195,customers!$C$1:$C$195)</f>
        <v>45276</v>
      </c>
      <c r="H40" s="13" t="s">
        <v>287</v>
      </c>
      <c r="I40">
        <v>4</v>
      </c>
      <c r="J40">
        <v>60.92</v>
      </c>
      <c r="K40">
        <v>53.59</v>
      </c>
      <c r="L40">
        <f>_xlfn.XLOOKUP(F40,Products!$A$2:$A$51,Products!$D$2:$D$51,0)</f>
        <v>15.23</v>
      </c>
      <c r="M40">
        <f t="shared" si="0"/>
        <v>7.33</v>
      </c>
    </row>
    <row r="41" spans="1:13">
      <c r="A41" t="s">
        <v>288</v>
      </c>
      <c r="B41" t="s">
        <v>56</v>
      </c>
      <c r="C41" t="str">
        <f>_xlfn.XLOOKUP(F41,Products!$A$2:$A$51,Products!$C$2:$C$51,0)</f>
        <v>Grinders &amp; Brewers</v>
      </c>
      <c r="D41" t="str">
        <f>_xlfn.XLOOKUP(F41,Products!$A$2:$A$51,Products!$B$2:$B$51,0)</f>
        <v>Pour-Over Starter Kit</v>
      </c>
      <c r="E41" t="str">
        <f>_xlfn.XLOOKUP(B41,customers!$A$2:$A$195,customers!$B$2:$B$195,,0)</f>
        <v>East</v>
      </c>
      <c r="F41">
        <v>1035</v>
      </c>
      <c r="G41" s="9">
        <f>_xlfn.XLOOKUP(B41,customers!$A$1:$A$195,customers!$C$1:$C$195)</f>
        <v>45074</v>
      </c>
      <c r="H41" s="13" t="s">
        <v>287</v>
      </c>
      <c r="I41">
        <v>2</v>
      </c>
      <c r="J41">
        <v>210.46</v>
      </c>
      <c r="K41">
        <v>149.49</v>
      </c>
      <c r="L41">
        <f>_xlfn.XLOOKUP(F41,Products!$A$2:$A$51,Products!$D$2:$D$51,0)</f>
        <v>105.23</v>
      </c>
      <c r="M41">
        <f t="shared" si="0"/>
        <v>60.97</v>
      </c>
    </row>
    <row r="42" spans="1:13">
      <c r="A42" t="s">
        <v>289</v>
      </c>
      <c r="B42" t="s">
        <v>81</v>
      </c>
      <c r="C42" t="str">
        <f>_xlfn.XLOOKUP(F42,Products!$A$2:$A$51,Products!$C$2:$C$51,0)</f>
        <v>Subscriptions</v>
      </c>
      <c r="D42" t="str">
        <f>_xlfn.XLOOKUP(F42,Products!$A$2:$A$51,Products!$B$2:$B$51,0)</f>
        <v>Espresso Lovers Quarterly Pack</v>
      </c>
      <c r="E42" t="str">
        <f>_xlfn.XLOOKUP(B42,customers!$A$2:$A$195,customers!$B$2:$B$195,,0)</f>
        <v>West</v>
      </c>
      <c r="F42">
        <v>1049</v>
      </c>
      <c r="G42" s="9">
        <f>_xlfn.XLOOKUP(B42,customers!$A$1:$A$195,customers!$C$1:$C$195)</f>
        <v>45041</v>
      </c>
      <c r="H42" s="13" t="s">
        <v>287</v>
      </c>
      <c r="I42">
        <v>1</v>
      </c>
      <c r="J42">
        <v>74.87</v>
      </c>
      <c r="K42">
        <v>19.2</v>
      </c>
      <c r="L42">
        <f>_xlfn.XLOOKUP(F42,Products!$A$2:$A$51,Products!$D$2:$D$51,0)</f>
        <v>74.87</v>
      </c>
      <c r="M42">
        <f t="shared" si="0"/>
        <v>55.67</v>
      </c>
    </row>
    <row r="43" spans="1:13">
      <c r="A43" t="s">
        <v>290</v>
      </c>
      <c r="B43" t="s">
        <v>137</v>
      </c>
      <c r="C43" t="str">
        <f>_xlfn.XLOOKUP(F43,Products!$A$2:$A$51,Products!$C$2:$C$51,0)</f>
        <v>Merchandise</v>
      </c>
      <c r="D43" t="str">
        <f>_xlfn.XLOOKUP(F43,Products!$A$2:$A$51,Products!$B$2:$B$51,0)</f>
        <v>Minimalist Keychain</v>
      </c>
      <c r="E43" t="str">
        <f>_xlfn.XLOOKUP(B43,customers!$A$2:$A$195,customers!$B$2:$B$195,,0)</f>
        <v>West</v>
      </c>
      <c r="F43">
        <v>1020</v>
      </c>
      <c r="G43" s="9">
        <f>_xlfn.XLOOKUP(B43,customers!$A$1:$A$195,customers!$C$1:$C$195)</f>
        <v>45166</v>
      </c>
      <c r="H43" s="13" t="s">
        <v>287</v>
      </c>
      <c r="I43">
        <v>3</v>
      </c>
      <c r="J43">
        <v>82.11</v>
      </c>
      <c r="K43">
        <v>72.27</v>
      </c>
      <c r="L43">
        <f>_xlfn.XLOOKUP(F43,Products!$A$2:$A$51,Products!$D$2:$D$51,0)</f>
        <v>27.37</v>
      </c>
      <c r="M43">
        <f t="shared" si="0"/>
        <v>9.84</v>
      </c>
    </row>
    <row r="44" spans="1:13">
      <c r="A44" t="s">
        <v>291</v>
      </c>
      <c r="B44" t="s">
        <v>44</v>
      </c>
      <c r="C44" t="str">
        <f>_xlfn.XLOOKUP(F44,Products!$A$2:$A$51,Products!$C$2:$C$51,0)</f>
        <v>Consumables</v>
      </c>
      <c r="D44" t="str">
        <f>_xlfn.XLOOKUP(F44,Products!$A$2:$A$51,Products!$B$2:$B$51,0)</f>
        <v>Cold Brew Concentrate</v>
      </c>
      <c r="E44" t="str">
        <f>_xlfn.XLOOKUP(B44,customers!$A$2:$A$195,customers!$B$2:$B$195,,0)</f>
        <v>East</v>
      </c>
      <c r="F44">
        <v>1004</v>
      </c>
      <c r="G44" s="9">
        <f>_xlfn.XLOOKUP(B44,customers!$A$1:$A$195,customers!$C$1:$C$195)</f>
        <v>45171</v>
      </c>
      <c r="H44" s="13" t="s">
        <v>292</v>
      </c>
      <c r="I44">
        <v>4</v>
      </c>
      <c r="J44">
        <v>93.96</v>
      </c>
      <c r="K44">
        <v>40.35</v>
      </c>
      <c r="L44">
        <f>_xlfn.XLOOKUP(F44,Products!$A$2:$A$51,Products!$D$2:$D$51,0)</f>
        <v>23.49</v>
      </c>
      <c r="M44">
        <f t="shared" si="0"/>
        <v>53.61</v>
      </c>
    </row>
    <row r="45" spans="1:13">
      <c r="A45" t="s">
        <v>293</v>
      </c>
      <c r="B45" t="s">
        <v>107</v>
      </c>
      <c r="C45" t="str">
        <f>_xlfn.XLOOKUP(F45,Products!$A$2:$A$51,Products!$C$2:$C$51,0)</f>
        <v>Merchandise</v>
      </c>
      <c r="D45" t="str">
        <f>_xlfn.XLOOKUP(F45,Products!$A$2:$A$51,Products!$B$2:$B$51,0)</f>
        <v>Minimalist Keychain</v>
      </c>
      <c r="E45" t="str">
        <f>_xlfn.XLOOKUP(B45,customers!$A$2:$A$195,customers!$B$2:$B$195,,0)</f>
        <v>North</v>
      </c>
      <c r="F45">
        <v>1045</v>
      </c>
      <c r="G45" s="9">
        <f>_xlfn.XLOOKUP(B45,customers!$A$1:$A$195,customers!$C$1:$C$195)</f>
        <v>45039</v>
      </c>
      <c r="H45" s="13" t="s">
        <v>292</v>
      </c>
      <c r="I45">
        <v>3</v>
      </c>
      <c r="J45">
        <v>82.11</v>
      </c>
      <c r="K45">
        <v>72.27</v>
      </c>
      <c r="L45">
        <f>_xlfn.XLOOKUP(F45,Products!$A$2:$A$51,Products!$D$2:$D$51,0)</f>
        <v>27.37</v>
      </c>
      <c r="M45">
        <f t="shared" si="0"/>
        <v>9.84</v>
      </c>
    </row>
    <row r="46" spans="1:13">
      <c r="A46" t="s">
        <v>294</v>
      </c>
      <c r="B46" t="s">
        <v>127</v>
      </c>
      <c r="C46" t="str">
        <f>_xlfn.XLOOKUP(F46,Products!$A$2:$A$51,Products!$C$2:$C$51,0)</f>
        <v>Subscriptions</v>
      </c>
      <c r="D46" t="str">
        <f>_xlfn.XLOOKUP(F46,Products!$A$2:$A$51,Products!$B$2:$B$51,0)</f>
        <v>Subscription Renewal Service</v>
      </c>
      <c r="E46" t="str">
        <f>_xlfn.XLOOKUP(B46,customers!$A$2:$A$195,customers!$B$2:$B$195,,0)</f>
        <v>North</v>
      </c>
      <c r="F46">
        <v>1050</v>
      </c>
      <c r="G46" s="9">
        <f>_xlfn.XLOOKUP(B46,customers!$A$1:$A$195,customers!$C$1:$C$195)</f>
        <v>45070</v>
      </c>
      <c r="H46" s="13" t="s">
        <v>295</v>
      </c>
      <c r="I46">
        <v>3</v>
      </c>
      <c r="J46">
        <v>220.23</v>
      </c>
      <c r="K46">
        <v>81.87</v>
      </c>
      <c r="L46">
        <f>_xlfn.XLOOKUP(F46,Products!$A$2:$A$51,Products!$D$2:$D$51,0)</f>
        <v>73.41</v>
      </c>
      <c r="M46">
        <f t="shared" si="0"/>
        <v>138.36</v>
      </c>
    </row>
    <row r="47" spans="1:13">
      <c r="A47" t="s">
        <v>296</v>
      </c>
      <c r="B47" t="s">
        <v>67</v>
      </c>
      <c r="C47" t="str">
        <f>_xlfn.XLOOKUP(F47,Products!$A$2:$A$51,Products!$C$2:$C$51,0)</f>
        <v>Consumables</v>
      </c>
      <c r="D47" t="str">
        <f>_xlfn.XLOOKUP(F47,Products!$A$2:$A$51,Products!$B$2:$B$51,0)</f>
        <v>Single-Origin Ethiopian (250g)</v>
      </c>
      <c r="E47" t="str">
        <f>_xlfn.XLOOKUP(B47,customers!$A$2:$A$195,customers!$B$2:$B$195,,0)</f>
        <v>East</v>
      </c>
      <c r="F47">
        <v>1001</v>
      </c>
      <c r="G47" s="9">
        <f>_xlfn.XLOOKUP(B47,customers!$A$1:$A$195,customers!$C$1:$C$195)</f>
        <v>45272</v>
      </c>
      <c r="H47" s="13" t="s">
        <v>297</v>
      </c>
      <c r="I47">
        <v>1</v>
      </c>
      <c r="J47">
        <v>19.49</v>
      </c>
      <c r="K47">
        <v>12.71</v>
      </c>
      <c r="L47">
        <f>_xlfn.XLOOKUP(F47,Products!$A$2:$A$51,Products!$D$2:$D$51,0)</f>
        <v>19.49</v>
      </c>
      <c r="M47">
        <f t="shared" si="0"/>
        <v>6.78</v>
      </c>
    </row>
    <row r="48" spans="1:13">
      <c r="A48" t="s">
        <v>298</v>
      </c>
      <c r="B48" t="s">
        <v>114</v>
      </c>
      <c r="C48" t="str">
        <f>_xlfn.XLOOKUP(F48,Products!$A$2:$A$51,Products!$C$2:$C$51,0)</f>
        <v>Grinders &amp; Brewers</v>
      </c>
      <c r="D48" t="str">
        <f>_xlfn.XLOOKUP(F48,Products!$A$2:$A$51,Products!$B$2:$B$51,0)</f>
        <v>High-Capacity French Press</v>
      </c>
      <c r="E48" t="str">
        <f>_xlfn.XLOOKUP(B48,customers!$A$2:$A$195,customers!$B$2:$B$195,,0)</f>
        <v>South</v>
      </c>
      <c r="F48">
        <v>1009</v>
      </c>
      <c r="G48" s="9">
        <f>_xlfn.XLOOKUP(B48,customers!$A$1:$A$195,customers!$C$1:$C$195)</f>
        <v>45211</v>
      </c>
      <c r="H48" s="13" t="s">
        <v>297</v>
      </c>
      <c r="I48">
        <v>2</v>
      </c>
      <c r="J48">
        <v>676.72</v>
      </c>
      <c r="K48">
        <v>296.34</v>
      </c>
      <c r="L48">
        <f>_xlfn.XLOOKUP(F48,Products!$A$2:$A$51,Products!$D$2:$D$51,0)</f>
        <v>338.36</v>
      </c>
      <c r="M48">
        <f t="shared" si="0"/>
        <v>380.38</v>
      </c>
    </row>
    <row r="49" spans="1:13">
      <c r="A49" t="s">
        <v>299</v>
      </c>
      <c r="B49" t="s">
        <v>116</v>
      </c>
      <c r="C49" t="str">
        <f>_xlfn.XLOOKUP(F49,Products!$A$2:$A$51,Products!$C$2:$C$51,0)</f>
        <v>Grinders &amp; Brewers</v>
      </c>
      <c r="D49" t="str">
        <f>_xlfn.XLOOKUP(F49,Products!$A$2:$A$51,Products!$B$2:$B$51,0)</f>
        <v>Automated Drip Brewer</v>
      </c>
      <c r="E49" t="str">
        <f>_xlfn.XLOOKUP(B49,customers!$A$2:$A$195,customers!$B$2:$B$195,,0)</f>
        <v>West</v>
      </c>
      <c r="F49">
        <v>1008</v>
      </c>
      <c r="G49" s="9">
        <f>_xlfn.XLOOKUP(B49,customers!$A$1:$A$195,customers!$C$1:$C$195)</f>
        <v>45037</v>
      </c>
      <c r="H49" s="13" t="s">
        <v>297</v>
      </c>
      <c r="I49">
        <v>2</v>
      </c>
      <c r="J49">
        <v>471.52</v>
      </c>
      <c r="K49">
        <v>264.97</v>
      </c>
      <c r="L49">
        <f>_xlfn.XLOOKUP(F49,Products!$A$2:$A$51,Products!$D$2:$D$51,0)</f>
        <v>235.76</v>
      </c>
      <c r="M49">
        <f t="shared" si="0"/>
        <v>206.55</v>
      </c>
    </row>
    <row r="50" spans="1:13">
      <c r="A50" t="s">
        <v>300</v>
      </c>
      <c r="B50" t="s">
        <v>134</v>
      </c>
      <c r="C50" t="str">
        <f>_xlfn.XLOOKUP(F50,Products!$A$2:$A$51,Products!$C$2:$C$51,0)</f>
        <v>Grinders &amp; Brewers</v>
      </c>
      <c r="D50" t="str">
        <f>_xlfn.XLOOKUP(F50,Products!$A$2:$A$51,Products!$B$2:$B$51,0)</f>
        <v>Precision Electric Grinder</v>
      </c>
      <c r="E50" t="str">
        <f>_xlfn.XLOOKUP(B50,customers!$A$2:$A$195,customers!$B$2:$B$195,,0)</f>
        <v>West</v>
      </c>
      <c r="F50">
        <v>1006</v>
      </c>
      <c r="G50" s="9">
        <f>_xlfn.XLOOKUP(B50,customers!$A$1:$A$195,customers!$C$1:$C$195)</f>
        <v>45241</v>
      </c>
      <c r="H50" s="13" t="s">
        <v>297</v>
      </c>
      <c r="I50">
        <v>4</v>
      </c>
      <c r="J50">
        <v>928.8</v>
      </c>
      <c r="K50">
        <v>313.54</v>
      </c>
      <c r="L50">
        <f>_xlfn.XLOOKUP(F50,Products!$A$2:$A$51,Products!$D$2:$D$51,0)</f>
        <v>232.2</v>
      </c>
      <c r="M50">
        <f t="shared" si="0"/>
        <v>615.26</v>
      </c>
    </row>
    <row r="51" spans="1:13">
      <c r="A51" t="s">
        <v>301</v>
      </c>
      <c r="B51" t="s">
        <v>139</v>
      </c>
      <c r="C51" t="str">
        <f>_xlfn.XLOOKUP(F51,Products!$A$2:$A$51,Products!$C$2:$C$51,0)</f>
        <v>Consumables</v>
      </c>
      <c r="D51" t="str">
        <f>_xlfn.XLOOKUP(F51,Products!$A$2:$A$51,Products!$B$2:$B$51,0)</f>
        <v>Seasonal Blend Light Roast</v>
      </c>
      <c r="E51" t="str">
        <f>_xlfn.XLOOKUP(B51,customers!$A$2:$A$195,customers!$B$2:$B$195,,0)</f>
        <v>East</v>
      </c>
      <c r="F51">
        <v>1002</v>
      </c>
      <c r="G51" s="9">
        <f>_xlfn.XLOOKUP(B51,customers!$A$1:$A$195,customers!$C$1:$C$195)</f>
        <v>45205</v>
      </c>
      <c r="H51" s="13" t="s">
        <v>297</v>
      </c>
      <c r="I51">
        <v>2</v>
      </c>
      <c r="J51">
        <v>71.06</v>
      </c>
      <c r="K51">
        <v>11.86</v>
      </c>
      <c r="L51">
        <f>_xlfn.XLOOKUP(F51,Products!$A$2:$A$51,Products!$D$2:$D$51,0)</f>
        <v>35.53</v>
      </c>
      <c r="M51">
        <f t="shared" si="0"/>
        <v>59.2</v>
      </c>
    </row>
    <row r="52" spans="1:13">
      <c r="A52" t="s">
        <v>302</v>
      </c>
      <c r="B52" t="s">
        <v>144</v>
      </c>
      <c r="C52" t="str">
        <f>_xlfn.XLOOKUP(F52,Products!$A$2:$A$51,Products!$C$2:$C$51,0)</f>
        <v>Merchandise</v>
      </c>
      <c r="D52" t="str">
        <f>_xlfn.XLOOKUP(F52,Products!$A$2:$A$51,Products!$B$2:$B$51,0)</f>
        <v>Insulated Travel Tumbler</v>
      </c>
      <c r="E52" t="str">
        <f>_xlfn.XLOOKUP(B52,customers!$A$2:$A$195,customers!$B$2:$B$195,,0)</f>
        <v>South</v>
      </c>
      <c r="F52">
        <v>1043</v>
      </c>
      <c r="G52" s="9">
        <f>_xlfn.XLOOKUP(B52,customers!$A$1:$A$195,customers!$C$1:$C$195)</f>
        <v>45085</v>
      </c>
      <c r="H52" s="13" t="s">
        <v>297</v>
      </c>
      <c r="I52">
        <v>4</v>
      </c>
      <c r="J52">
        <v>173.12</v>
      </c>
      <c r="K52">
        <v>83.29</v>
      </c>
      <c r="L52">
        <f>_xlfn.XLOOKUP(F52,Products!$A$2:$A$51,Products!$D$2:$D$51,0)</f>
        <v>43.28</v>
      </c>
      <c r="M52">
        <f t="shared" si="0"/>
        <v>89.83</v>
      </c>
    </row>
    <row r="53" spans="1:13">
      <c r="A53" t="s">
        <v>303</v>
      </c>
      <c r="B53" t="s">
        <v>144</v>
      </c>
      <c r="C53" t="str">
        <f>_xlfn.XLOOKUP(F53,Products!$A$2:$A$51,Products!$C$2:$C$51,0)</f>
        <v>Subscriptions</v>
      </c>
      <c r="D53" t="str">
        <f>_xlfn.XLOOKUP(F53,Products!$A$2:$A$51,Products!$B$2:$B$51,0)</f>
        <v>Three-Month Gift Subscription</v>
      </c>
      <c r="E53" t="str">
        <f>_xlfn.XLOOKUP(B53,customers!$A$2:$A$195,customers!$B$2:$B$195,,0)</f>
        <v>South</v>
      </c>
      <c r="F53">
        <v>1023</v>
      </c>
      <c r="G53" s="9">
        <f>_xlfn.XLOOKUP(B53,customers!$A$1:$A$195,customers!$C$1:$C$195)</f>
        <v>45085</v>
      </c>
      <c r="H53" s="13" t="s">
        <v>297</v>
      </c>
      <c r="I53">
        <v>2</v>
      </c>
      <c r="J53">
        <v>130.42</v>
      </c>
      <c r="K53">
        <v>55.22</v>
      </c>
      <c r="L53">
        <f>_xlfn.XLOOKUP(F53,Products!$A$2:$A$51,Products!$D$2:$D$51,0)</f>
        <v>65.21</v>
      </c>
      <c r="M53">
        <f t="shared" si="0"/>
        <v>75.2</v>
      </c>
    </row>
    <row r="54" spans="1:13">
      <c r="A54" t="s">
        <v>304</v>
      </c>
      <c r="B54" t="s">
        <v>166</v>
      </c>
      <c r="C54" t="str">
        <f>_xlfn.XLOOKUP(F54,Products!$A$2:$A$51,Products!$C$2:$C$51,0)</f>
        <v>Grinders &amp; Brewers</v>
      </c>
      <c r="D54" t="str">
        <f>_xlfn.XLOOKUP(F54,Products!$A$2:$A$51,Products!$B$2:$B$51,0)</f>
        <v>Hand Grinder (Travel Size)</v>
      </c>
      <c r="E54" t="str">
        <f>_xlfn.XLOOKUP(B54,customers!$A$2:$A$195,customers!$B$2:$B$195,,0)</f>
        <v>North</v>
      </c>
      <c r="F54">
        <v>1007</v>
      </c>
      <c r="G54" s="9">
        <f>_xlfn.XLOOKUP(B54,customers!$A$1:$A$195,customers!$C$1:$C$195)</f>
        <v>45164</v>
      </c>
      <c r="H54" s="13" t="s">
        <v>297</v>
      </c>
      <c r="I54">
        <v>2</v>
      </c>
      <c r="J54">
        <v>509.44</v>
      </c>
      <c r="K54">
        <v>260.57</v>
      </c>
      <c r="L54">
        <f>_xlfn.XLOOKUP(F54,Products!$A$2:$A$51,Products!$D$2:$D$51,0)</f>
        <v>254.72</v>
      </c>
      <c r="M54">
        <f t="shared" si="0"/>
        <v>248.87</v>
      </c>
    </row>
    <row r="55" spans="1:13">
      <c r="A55" t="s">
        <v>305</v>
      </c>
      <c r="B55" t="s">
        <v>183</v>
      </c>
      <c r="C55" t="str">
        <f>_xlfn.XLOOKUP(F55,Products!$A$2:$A$51,Products!$C$2:$C$51,0)</f>
        <v>Accessories</v>
      </c>
      <c r="D55" t="str">
        <f>_xlfn.XLOOKUP(F55,Products!$A$2:$A$51,Products!$B$2:$B$51,0)</f>
        <v>Refillable Coffee Pods</v>
      </c>
      <c r="E55" t="str">
        <f>_xlfn.XLOOKUP(B55,customers!$A$2:$A$195,customers!$B$2:$B$195,,0)</f>
        <v>West</v>
      </c>
      <c r="F55">
        <v>1015</v>
      </c>
      <c r="G55" s="9">
        <f>_xlfn.XLOOKUP(B55,customers!$A$1:$A$195,customers!$C$1:$C$195)</f>
        <v>45237</v>
      </c>
      <c r="H55" s="13" t="s">
        <v>297</v>
      </c>
      <c r="I55">
        <v>2</v>
      </c>
      <c r="J55">
        <v>48.26</v>
      </c>
      <c r="K55">
        <v>18.59</v>
      </c>
      <c r="L55">
        <f>_xlfn.XLOOKUP(F55,Products!$A$2:$A$51,Products!$D$2:$D$51,0)</f>
        <v>24.13</v>
      </c>
      <c r="M55">
        <f t="shared" si="0"/>
        <v>29.67</v>
      </c>
    </row>
    <row r="56" spans="1:13">
      <c r="A56" t="s">
        <v>306</v>
      </c>
      <c r="B56" t="s">
        <v>195</v>
      </c>
      <c r="C56" t="str">
        <f>_xlfn.XLOOKUP(F56,Products!$A$2:$A$51,Products!$C$2:$C$51,0)</f>
        <v>Consumables</v>
      </c>
      <c r="D56" t="str">
        <f>_xlfn.XLOOKUP(F56,Products!$A$2:$A$51,Products!$B$2:$B$51,0)</f>
        <v>Single-Origin Ethiopian (250g)</v>
      </c>
      <c r="E56" t="str">
        <f>_xlfn.XLOOKUP(B56,customers!$A$2:$A$195,customers!$B$2:$B$195,,0)</f>
        <v>West</v>
      </c>
      <c r="F56">
        <v>1001</v>
      </c>
      <c r="G56" s="9">
        <f>_xlfn.XLOOKUP(B56,customers!$A$1:$A$195,customers!$C$1:$C$195)</f>
        <v>44997</v>
      </c>
      <c r="H56" s="13" t="s">
        <v>307</v>
      </c>
      <c r="I56">
        <v>4</v>
      </c>
      <c r="J56">
        <v>77.96</v>
      </c>
      <c r="K56">
        <v>50.82</v>
      </c>
      <c r="L56">
        <f>_xlfn.XLOOKUP(F56,Products!$A$2:$A$51,Products!$D$2:$D$51,0)</f>
        <v>19.49</v>
      </c>
      <c r="M56">
        <f t="shared" si="0"/>
        <v>27.14</v>
      </c>
    </row>
    <row r="57" spans="1:13">
      <c r="A57" t="s">
        <v>308</v>
      </c>
      <c r="B57" t="s">
        <v>47</v>
      </c>
      <c r="C57" t="str">
        <f>_xlfn.XLOOKUP(F57,Products!$A$2:$A$51,Products!$C$2:$C$51,0)</f>
        <v>Subscriptions</v>
      </c>
      <c r="D57" t="str">
        <f>_xlfn.XLOOKUP(F57,Products!$A$2:$A$51,Products!$B$2:$B$51,0)</f>
        <v>Espresso Lovers Quarterly Pack</v>
      </c>
      <c r="E57" t="str">
        <f>_xlfn.XLOOKUP(B57,customers!$A$2:$A$195,customers!$B$2:$B$195,,0)</f>
        <v>West</v>
      </c>
      <c r="F57">
        <v>1024</v>
      </c>
      <c r="G57" s="9">
        <f>_xlfn.XLOOKUP(B57,customers!$A$1:$A$195,customers!$C$1:$C$195)</f>
        <v>44967</v>
      </c>
      <c r="H57" s="13" t="s">
        <v>309</v>
      </c>
      <c r="I57">
        <v>2</v>
      </c>
      <c r="J57">
        <v>149.74</v>
      </c>
      <c r="K57">
        <v>38.39</v>
      </c>
      <c r="L57">
        <f>_xlfn.XLOOKUP(F57,Products!$A$2:$A$51,Products!$D$2:$D$51,0)</f>
        <v>74.87</v>
      </c>
      <c r="M57">
        <f t="shared" si="0"/>
        <v>111.35</v>
      </c>
    </row>
    <row r="58" spans="1:13">
      <c r="A58" t="s">
        <v>310</v>
      </c>
      <c r="B58" t="s">
        <v>129</v>
      </c>
      <c r="C58" t="str">
        <f>_xlfn.XLOOKUP(F58,Products!$A$2:$A$51,Products!$C$2:$C$51,0)</f>
        <v>Merchandise</v>
      </c>
      <c r="D58" t="str">
        <f>_xlfn.XLOOKUP(F58,Products!$A$2:$A$51,Products!$B$2:$B$51,0)</f>
        <v>Minimalist Keychain</v>
      </c>
      <c r="E58" t="str">
        <f>_xlfn.XLOOKUP(B58,customers!$A$2:$A$195,customers!$B$2:$B$195,,0)</f>
        <v>East</v>
      </c>
      <c r="F58">
        <v>1045</v>
      </c>
      <c r="G58" s="9">
        <f>_xlfn.XLOOKUP(B58,customers!$A$1:$A$195,customers!$C$1:$C$195)</f>
        <v>45151</v>
      </c>
      <c r="H58" s="13" t="s">
        <v>309</v>
      </c>
      <c r="I58">
        <v>4</v>
      </c>
      <c r="J58">
        <v>109.48</v>
      </c>
      <c r="K58">
        <v>96.36</v>
      </c>
      <c r="L58">
        <f>_xlfn.XLOOKUP(F58,Products!$A$2:$A$51,Products!$D$2:$D$51,0)</f>
        <v>27.37</v>
      </c>
      <c r="M58">
        <f t="shared" si="0"/>
        <v>13.12</v>
      </c>
    </row>
    <row r="59" spans="1:13">
      <c r="A59" t="s">
        <v>311</v>
      </c>
      <c r="B59" t="s">
        <v>141</v>
      </c>
      <c r="C59" t="str">
        <f>_xlfn.XLOOKUP(F59,Products!$A$2:$A$51,Products!$C$2:$C$51,0)</f>
        <v>Grinders &amp; Brewers</v>
      </c>
      <c r="D59" t="str">
        <f>_xlfn.XLOOKUP(F59,Products!$A$2:$A$51,Products!$B$2:$B$51,0)</f>
        <v>Pour-Over Starter Kit</v>
      </c>
      <c r="E59" t="str">
        <f>_xlfn.XLOOKUP(B59,customers!$A$2:$A$195,customers!$B$2:$B$195,,0)</f>
        <v>East</v>
      </c>
      <c r="F59">
        <v>1010</v>
      </c>
      <c r="G59" s="9">
        <f>_xlfn.XLOOKUP(B59,customers!$A$1:$A$195,customers!$C$1:$C$195)</f>
        <v>45035</v>
      </c>
      <c r="H59" s="13" t="s">
        <v>309</v>
      </c>
      <c r="I59">
        <v>1</v>
      </c>
      <c r="J59">
        <v>105.23</v>
      </c>
      <c r="K59">
        <v>74.74</v>
      </c>
      <c r="L59">
        <f>_xlfn.XLOOKUP(F59,Products!$A$2:$A$51,Products!$D$2:$D$51,0)</f>
        <v>105.23</v>
      </c>
      <c r="M59">
        <f t="shared" si="0"/>
        <v>30.49</v>
      </c>
    </row>
    <row r="60" spans="1:13">
      <c r="A60" t="s">
        <v>312</v>
      </c>
      <c r="B60" t="s">
        <v>8</v>
      </c>
      <c r="C60" t="str">
        <f>_xlfn.XLOOKUP(F60,Products!$A$2:$A$51,Products!$C$2:$C$51,0)</f>
        <v>Consumables</v>
      </c>
      <c r="D60" t="str">
        <f>_xlfn.XLOOKUP(F60,Products!$A$2:$A$51,Products!$B$2:$B$51,0)</f>
        <v>Espresso Bean Sampler Pack</v>
      </c>
      <c r="E60" t="str">
        <f>_xlfn.XLOOKUP(B60,customers!$A$2:$A$195,customers!$B$2:$B$195,,0)</f>
        <v>West</v>
      </c>
      <c r="F60">
        <v>1005</v>
      </c>
      <c r="G60" s="9">
        <f>_xlfn.XLOOKUP(B60,customers!$A$1:$A$195,customers!$C$1:$C$195)</f>
        <v>45033</v>
      </c>
      <c r="H60" s="13" t="s">
        <v>313</v>
      </c>
      <c r="I60">
        <v>4</v>
      </c>
      <c r="J60">
        <v>76.24</v>
      </c>
      <c r="K60">
        <v>47.87</v>
      </c>
      <c r="L60">
        <f>_xlfn.XLOOKUP(F60,Products!$A$2:$A$51,Products!$D$2:$D$51,0)</f>
        <v>19.06</v>
      </c>
      <c r="M60">
        <f t="shared" si="0"/>
        <v>28.37</v>
      </c>
    </row>
    <row r="61" spans="1:13">
      <c r="A61" t="s">
        <v>314</v>
      </c>
      <c r="B61" t="s">
        <v>130</v>
      </c>
      <c r="C61" t="str">
        <f>_xlfn.XLOOKUP(F61,Products!$A$2:$A$51,Products!$C$2:$C$51,0)</f>
        <v>Merchandise</v>
      </c>
      <c r="D61" t="str">
        <f>_xlfn.XLOOKUP(F61,Products!$A$2:$A$51,Products!$B$2:$B$51,0)</f>
        <v>Insulated Travel Tumbler</v>
      </c>
      <c r="E61" t="str">
        <f>_xlfn.XLOOKUP(B61,customers!$A$2:$A$195,customers!$B$2:$B$195,,0)</f>
        <v>East</v>
      </c>
      <c r="F61">
        <v>1043</v>
      </c>
      <c r="G61" s="9">
        <f>_xlfn.XLOOKUP(B61,customers!$A$1:$A$195,customers!$C$1:$C$195)</f>
        <v>45241</v>
      </c>
      <c r="H61" s="13" t="s">
        <v>313</v>
      </c>
      <c r="I61">
        <v>1</v>
      </c>
      <c r="J61">
        <v>43.28</v>
      </c>
      <c r="K61">
        <v>20.82</v>
      </c>
      <c r="L61">
        <f>_xlfn.XLOOKUP(F61,Products!$A$2:$A$51,Products!$D$2:$D$51,0)</f>
        <v>43.28</v>
      </c>
      <c r="M61">
        <f t="shared" si="0"/>
        <v>22.46</v>
      </c>
    </row>
    <row r="62" spans="1:13">
      <c r="A62" t="s">
        <v>315</v>
      </c>
      <c r="B62" t="s">
        <v>138</v>
      </c>
      <c r="C62" t="str">
        <f>_xlfn.XLOOKUP(F62,Products!$A$2:$A$51,Products!$C$2:$C$51,0)</f>
        <v>Accessories</v>
      </c>
      <c r="D62" t="str">
        <f>_xlfn.XLOOKUP(F62,Products!$A$2:$A$51,Products!$B$2:$B$51,0)</f>
        <v>Digital Coffee Scale</v>
      </c>
      <c r="E62" t="str">
        <f>_xlfn.XLOOKUP(B62,customers!$A$2:$A$195,customers!$B$2:$B$195,,0)</f>
        <v>East</v>
      </c>
      <c r="F62">
        <v>1011</v>
      </c>
      <c r="G62" s="9">
        <f>_xlfn.XLOOKUP(B62,customers!$A$1:$A$195,customers!$C$1:$C$195)</f>
        <v>44976</v>
      </c>
      <c r="H62" s="13" t="s">
        <v>313</v>
      </c>
      <c r="I62">
        <v>3</v>
      </c>
      <c r="J62">
        <v>80.49</v>
      </c>
      <c r="K62">
        <v>43.96</v>
      </c>
      <c r="L62">
        <f>_xlfn.XLOOKUP(F62,Products!$A$2:$A$51,Products!$D$2:$D$51,0)</f>
        <v>26.83</v>
      </c>
      <c r="M62">
        <f t="shared" si="0"/>
        <v>36.53</v>
      </c>
    </row>
    <row r="63" spans="1:13">
      <c r="A63" t="s">
        <v>316</v>
      </c>
      <c r="B63" t="s">
        <v>102</v>
      </c>
      <c r="C63" t="str">
        <f>_xlfn.XLOOKUP(F63,Products!$A$2:$A$51,Products!$C$2:$C$51,0)</f>
        <v>Merchandise</v>
      </c>
      <c r="D63" t="str">
        <f>_xlfn.XLOOKUP(F63,Products!$A$2:$A$51,Products!$B$2:$B$51,0)</f>
        <v>Minimalist Keychain</v>
      </c>
      <c r="E63" t="str">
        <f>_xlfn.XLOOKUP(B63,customers!$A$2:$A$195,customers!$B$2:$B$195,,0)</f>
        <v>East</v>
      </c>
      <c r="F63">
        <v>1020</v>
      </c>
      <c r="G63" s="9">
        <f>_xlfn.XLOOKUP(B63,customers!$A$1:$A$195,customers!$C$1:$C$195)</f>
        <v>45149</v>
      </c>
      <c r="H63" s="13" t="s">
        <v>317</v>
      </c>
      <c r="I63">
        <v>1</v>
      </c>
      <c r="J63">
        <v>27.37</v>
      </c>
      <c r="K63">
        <v>24.09</v>
      </c>
      <c r="L63">
        <f>_xlfn.XLOOKUP(F63,Products!$A$2:$A$51,Products!$D$2:$D$51,0)</f>
        <v>27.37</v>
      </c>
      <c r="M63">
        <f t="shared" si="0"/>
        <v>3.28</v>
      </c>
    </row>
    <row r="64" spans="1:13">
      <c r="A64" t="s">
        <v>318</v>
      </c>
      <c r="B64" t="s">
        <v>16</v>
      </c>
      <c r="C64" t="str">
        <f>_xlfn.XLOOKUP(F64,Products!$A$2:$A$51,Products!$C$2:$C$51,0)</f>
        <v>Accessories</v>
      </c>
      <c r="D64" t="str">
        <f>_xlfn.XLOOKUP(F64,Products!$A$2:$A$51,Products!$B$2:$B$51,0)</f>
        <v>Gooseneck Electric Kettle</v>
      </c>
      <c r="E64" t="str">
        <f>_xlfn.XLOOKUP(B64,customers!$A$2:$A$195,customers!$B$2:$B$195,,0)</f>
        <v>East</v>
      </c>
      <c r="F64">
        <v>1012</v>
      </c>
      <c r="G64" s="9">
        <f>_xlfn.XLOOKUP(B64,customers!$A$1:$A$195,customers!$C$1:$C$195)</f>
        <v>45182</v>
      </c>
      <c r="H64" s="13" t="s">
        <v>319</v>
      </c>
      <c r="I64">
        <v>4</v>
      </c>
      <c r="J64">
        <v>139.48</v>
      </c>
      <c r="K64">
        <v>103.88</v>
      </c>
      <c r="L64">
        <f>_xlfn.XLOOKUP(F64,Products!$A$2:$A$51,Products!$D$2:$D$51,0)</f>
        <v>34.87</v>
      </c>
      <c r="M64">
        <f t="shared" si="0"/>
        <v>35.6</v>
      </c>
    </row>
    <row r="65" spans="1:13">
      <c r="A65" t="s">
        <v>320</v>
      </c>
      <c r="B65" t="s">
        <v>40</v>
      </c>
      <c r="C65" t="str">
        <f>_xlfn.XLOOKUP(F65,Products!$A$2:$A$51,Products!$C$2:$C$51,0)</f>
        <v>Grinders &amp; Brewers</v>
      </c>
      <c r="D65" t="str">
        <f>_xlfn.XLOOKUP(F65,Products!$A$2:$A$51,Products!$B$2:$B$51,0)</f>
        <v>High-Capacity French Press</v>
      </c>
      <c r="E65" t="str">
        <f>_xlfn.XLOOKUP(B65,customers!$A$2:$A$195,customers!$B$2:$B$195,,0)</f>
        <v>North</v>
      </c>
      <c r="F65">
        <v>1009</v>
      </c>
      <c r="G65" s="9">
        <f>_xlfn.XLOOKUP(B65,customers!$A$1:$A$195,customers!$C$1:$C$195)</f>
        <v>45068</v>
      </c>
      <c r="H65" s="13" t="s">
        <v>319</v>
      </c>
      <c r="I65">
        <v>1</v>
      </c>
      <c r="J65">
        <v>338.36</v>
      </c>
      <c r="K65">
        <v>148.17</v>
      </c>
      <c r="L65">
        <f>_xlfn.XLOOKUP(F65,Products!$A$2:$A$51,Products!$D$2:$D$51,0)</f>
        <v>338.36</v>
      </c>
      <c r="M65">
        <f t="shared" si="0"/>
        <v>190.19</v>
      </c>
    </row>
    <row r="66" spans="1:13">
      <c r="A66" t="s">
        <v>321</v>
      </c>
      <c r="B66" t="s">
        <v>86</v>
      </c>
      <c r="C66" t="str">
        <f>_xlfn.XLOOKUP(F66,Products!$A$2:$A$51,Products!$C$2:$C$51,0)</f>
        <v>Grinders &amp; Brewers</v>
      </c>
      <c r="D66" t="str">
        <f>_xlfn.XLOOKUP(F66,Products!$A$2:$A$51,Products!$B$2:$B$51,0)</f>
        <v>Precision Electric Grinder</v>
      </c>
      <c r="E66" t="str">
        <f>_xlfn.XLOOKUP(B66,customers!$A$2:$A$195,customers!$B$2:$B$195,,0)</f>
        <v>North</v>
      </c>
      <c r="F66">
        <v>1031</v>
      </c>
      <c r="G66" s="9">
        <f>_xlfn.XLOOKUP(B66,customers!$A$1:$A$195,customers!$C$1:$C$195)</f>
        <v>45227</v>
      </c>
      <c r="H66" s="13" t="s">
        <v>319</v>
      </c>
      <c r="I66">
        <v>3</v>
      </c>
      <c r="J66">
        <v>696.6</v>
      </c>
      <c r="K66">
        <v>235.16</v>
      </c>
      <c r="L66">
        <f>_xlfn.XLOOKUP(F66,Products!$A$2:$A$51,Products!$D$2:$D$51,0)</f>
        <v>232.2</v>
      </c>
      <c r="M66">
        <f t="shared" si="0"/>
        <v>461.44</v>
      </c>
    </row>
    <row r="67" spans="1:13">
      <c r="A67" t="s">
        <v>322</v>
      </c>
      <c r="B67" t="s">
        <v>186</v>
      </c>
      <c r="C67" t="str">
        <f>_xlfn.XLOOKUP(F67,Products!$A$2:$A$51,Products!$C$2:$C$51,0)</f>
        <v>Merchandise</v>
      </c>
      <c r="D67" t="str">
        <f>_xlfn.XLOOKUP(F67,Products!$A$2:$A$51,Products!$B$2:$B$51,0)</f>
        <v>Branded Ceramic Mug (Large)</v>
      </c>
      <c r="E67" t="str">
        <f>_xlfn.XLOOKUP(B67,customers!$A$2:$A$195,customers!$B$2:$B$195,,0)</f>
        <v>West</v>
      </c>
      <c r="F67">
        <v>1041</v>
      </c>
      <c r="G67" s="9">
        <f>_xlfn.XLOOKUP(B67,customers!$A$1:$A$195,customers!$C$1:$C$195)</f>
        <v>45283</v>
      </c>
      <c r="H67" s="13" t="s">
        <v>319</v>
      </c>
      <c r="I67">
        <v>1</v>
      </c>
      <c r="J67">
        <v>43.2</v>
      </c>
      <c r="K67">
        <v>31.11</v>
      </c>
      <c r="L67">
        <f>_xlfn.XLOOKUP(F67,Products!$A$2:$A$51,Products!$D$2:$D$51,0)</f>
        <v>43.2</v>
      </c>
      <c r="M67">
        <f t="shared" ref="M67:M130" si="1">J67-K67</f>
        <v>12.09</v>
      </c>
    </row>
    <row r="68" spans="1:13">
      <c r="A68" t="s">
        <v>323</v>
      </c>
      <c r="B68" t="s">
        <v>30</v>
      </c>
      <c r="C68" t="str">
        <f>_xlfn.XLOOKUP(F68,Products!$A$2:$A$51,Products!$C$2:$C$51,0)</f>
        <v>Grinders &amp; Brewers</v>
      </c>
      <c r="D68" t="str">
        <f>_xlfn.XLOOKUP(F68,Products!$A$2:$A$51,Products!$B$2:$B$51,0)</f>
        <v>Pour-Over Starter Kit</v>
      </c>
      <c r="E68" t="str">
        <f>_xlfn.XLOOKUP(B68,customers!$A$2:$A$195,customers!$B$2:$B$195,,0)</f>
        <v>East</v>
      </c>
      <c r="F68">
        <v>1010</v>
      </c>
      <c r="G68" s="9">
        <f>_xlfn.XLOOKUP(B68,customers!$A$1:$A$195,customers!$C$1:$C$195)</f>
        <v>45276</v>
      </c>
      <c r="H68" s="13" t="s">
        <v>324</v>
      </c>
      <c r="I68">
        <v>2</v>
      </c>
      <c r="J68">
        <v>210.46</v>
      </c>
      <c r="K68">
        <v>149.49</v>
      </c>
      <c r="L68">
        <f>_xlfn.XLOOKUP(F68,Products!$A$2:$A$51,Products!$D$2:$D$51,0)</f>
        <v>105.23</v>
      </c>
      <c r="M68">
        <f t="shared" si="1"/>
        <v>60.97</v>
      </c>
    </row>
    <row r="69" spans="1:13">
      <c r="A69" t="s">
        <v>325</v>
      </c>
      <c r="B69" t="s">
        <v>91</v>
      </c>
      <c r="C69" t="str">
        <f>_xlfn.XLOOKUP(F69,Products!$A$2:$A$51,Products!$C$2:$C$51,0)</f>
        <v>Accessories</v>
      </c>
      <c r="D69" t="str">
        <f>_xlfn.XLOOKUP(F69,Products!$A$2:$A$51,Products!$B$2:$B$51,0)</f>
        <v>Chemex Filters (100 pack)</v>
      </c>
      <c r="E69" t="str">
        <f>_xlfn.XLOOKUP(B69,customers!$A$2:$A$195,customers!$B$2:$B$195,,0)</f>
        <v>South</v>
      </c>
      <c r="F69">
        <v>1014</v>
      </c>
      <c r="G69" s="9">
        <f>_xlfn.XLOOKUP(B69,customers!$A$1:$A$195,customers!$C$1:$C$195)</f>
        <v>45026</v>
      </c>
      <c r="H69" s="13" t="s">
        <v>324</v>
      </c>
      <c r="I69">
        <v>1</v>
      </c>
      <c r="J69">
        <v>24.1</v>
      </c>
      <c r="K69">
        <v>21.21</v>
      </c>
      <c r="L69">
        <f>_xlfn.XLOOKUP(F69,Products!$A$2:$A$51,Products!$D$2:$D$51,0)</f>
        <v>24.1</v>
      </c>
      <c r="M69">
        <f t="shared" si="1"/>
        <v>2.89</v>
      </c>
    </row>
    <row r="70" spans="1:13">
      <c r="A70" t="s">
        <v>326</v>
      </c>
      <c r="B70" t="s">
        <v>95</v>
      </c>
      <c r="C70" t="str">
        <f>_xlfn.XLOOKUP(F70,Products!$A$2:$A$51,Products!$C$2:$C$51,0)</f>
        <v>Grinders &amp; Brewers</v>
      </c>
      <c r="D70" t="str">
        <f>_xlfn.XLOOKUP(F70,Products!$A$2:$A$51,Products!$B$2:$B$51,0)</f>
        <v>High-Capacity French Press</v>
      </c>
      <c r="E70" t="str">
        <f>_xlfn.XLOOKUP(B70,customers!$A$2:$A$195,customers!$B$2:$B$195,,0)</f>
        <v>West</v>
      </c>
      <c r="F70">
        <v>1034</v>
      </c>
      <c r="G70" s="9">
        <f>_xlfn.XLOOKUP(B70,customers!$A$1:$A$195,customers!$C$1:$C$195)</f>
        <v>44941</v>
      </c>
      <c r="H70" s="13" t="s">
        <v>324</v>
      </c>
      <c r="I70">
        <v>4</v>
      </c>
      <c r="J70">
        <v>1353.44</v>
      </c>
      <c r="K70">
        <v>592.68</v>
      </c>
      <c r="L70">
        <f>_xlfn.XLOOKUP(F70,Products!$A$2:$A$51,Products!$D$2:$D$51,0)</f>
        <v>338.36</v>
      </c>
      <c r="M70">
        <f t="shared" si="1"/>
        <v>760.76</v>
      </c>
    </row>
    <row r="71" spans="1:13">
      <c r="A71" t="s">
        <v>327</v>
      </c>
      <c r="B71" t="s">
        <v>102</v>
      </c>
      <c r="C71" t="str">
        <f>_xlfn.XLOOKUP(F71,Products!$A$2:$A$51,Products!$C$2:$C$51,0)</f>
        <v>Merchandise</v>
      </c>
      <c r="D71" t="str">
        <f>_xlfn.XLOOKUP(F71,Products!$A$2:$A$51,Products!$B$2:$B$51,0)</f>
        <v>Insulated Travel Tumbler</v>
      </c>
      <c r="E71" t="str">
        <f>_xlfn.XLOOKUP(B71,customers!$A$2:$A$195,customers!$B$2:$B$195,,0)</f>
        <v>East</v>
      </c>
      <c r="F71">
        <v>1043</v>
      </c>
      <c r="G71" s="9">
        <f>_xlfn.XLOOKUP(B71,customers!$A$1:$A$195,customers!$C$1:$C$195)</f>
        <v>45149</v>
      </c>
      <c r="H71" s="13" t="s">
        <v>324</v>
      </c>
      <c r="I71">
        <v>1</v>
      </c>
      <c r="J71">
        <v>43.28</v>
      </c>
      <c r="K71">
        <v>20.82</v>
      </c>
      <c r="L71">
        <f>_xlfn.XLOOKUP(F71,Products!$A$2:$A$51,Products!$D$2:$D$51,0)</f>
        <v>43.28</v>
      </c>
      <c r="M71">
        <f t="shared" si="1"/>
        <v>22.46</v>
      </c>
    </row>
    <row r="72" spans="1:13">
      <c r="A72" t="s">
        <v>328</v>
      </c>
      <c r="B72" t="s">
        <v>196</v>
      </c>
      <c r="C72" t="str">
        <f>_xlfn.XLOOKUP(F72,Products!$A$2:$A$51,Products!$C$2:$C$51,0)</f>
        <v>Accessories</v>
      </c>
      <c r="D72" t="str">
        <f>_xlfn.XLOOKUP(F72,Products!$A$2:$A$51,Products!$B$2:$B$51,0)</f>
        <v>Airtight Storage Container</v>
      </c>
      <c r="E72" t="str">
        <f>_xlfn.XLOOKUP(B72,customers!$A$2:$A$195,customers!$B$2:$B$195,,0)</f>
        <v>West</v>
      </c>
      <c r="F72">
        <v>1013</v>
      </c>
      <c r="G72" s="9">
        <f>_xlfn.XLOOKUP(B72,customers!$A$1:$A$195,customers!$C$1:$C$195)</f>
        <v>45186</v>
      </c>
      <c r="H72" s="13" t="s">
        <v>324</v>
      </c>
      <c r="I72">
        <v>2</v>
      </c>
      <c r="J72">
        <v>122.08</v>
      </c>
      <c r="K72">
        <v>51.41</v>
      </c>
      <c r="L72">
        <f>_xlfn.XLOOKUP(F72,Products!$A$2:$A$51,Products!$D$2:$D$51,0)</f>
        <v>61.04</v>
      </c>
      <c r="M72">
        <f t="shared" si="1"/>
        <v>70.67</v>
      </c>
    </row>
    <row r="73" spans="1:13">
      <c r="A73" t="s">
        <v>329</v>
      </c>
      <c r="B73" t="s">
        <v>116</v>
      </c>
      <c r="C73" t="str">
        <f>_xlfn.XLOOKUP(F73,Products!$A$2:$A$51,Products!$C$2:$C$51,0)</f>
        <v>Merchandise</v>
      </c>
      <c r="D73" t="str">
        <f>_xlfn.XLOOKUP(F73,Products!$A$2:$A$51,Products!$B$2:$B$51,0)</f>
        <v>Daily Grind T-Shirt</v>
      </c>
      <c r="E73" t="str">
        <f>_xlfn.XLOOKUP(B73,customers!$A$2:$A$195,customers!$B$2:$B$195,,0)</f>
        <v>West</v>
      </c>
      <c r="F73">
        <v>1044</v>
      </c>
      <c r="G73" s="9">
        <f>_xlfn.XLOOKUP(B73,customers!$A$1:$A$195,customers!$C$1:$C$195)</f>
        <v>45037</v>
      </c>
      <c r="H73" s="13" t="s">
        <v>330</v>
      </c>
      <c r="I73">
        <v>2</v>
      </c>
      <c r="J73">
        <v>42.74</v>
      </c>
      <c r="K73">
        <v>16.52</v>
      </c>
      <c r="L73">
        <f>_xlfn.XLOOKUP(F73,Products!$A$2:$A$51,Products!$D$2:$D$51,0)</f>
        <v>21.37</v>
      </c>
      <c r="M73">
        <f t="shared" si="1"/>
        <v>26.22</v>
      </c>
    </row>
    <row r="74" spans="1:13">
      <c r="A74" t="s">
        <v>331</v>
      </c>
      <c r="B74" t="s">
        <v>158</v>
      </c>
      <c r="C74" t="str">
        <f>_xlfn.XLOOKUP(F74,Products!$A$2:$A$51,Products!$C$2:$C$51,0)</f>
        <v>Subscriptions</v>
      </c>
      <c r="D74" t="str">
        <f>_xlfn.XLOOKUP(F74,Products!$A$2:$A$51,Products!$B$2:$B$51,0)</f>
        <v>Subscription Renewal Service</v>
      </c>
      <c r="E74" t="str">
        <f>_xlfn.XLOOKUP(B74,customers!$A$2:$A$195,customers!$B$2:$B$195,,0)</f>
        <v>West</v>
      </c>
      <c r="F74">
        <v>1050</v>
      </c>
      <c r="G74" s="9">
        <f>_xlfn.XLOOKUP(B74,customers!$A$1:$A$195,customers!$C$1:$C$195)</f>
        <v>45061</v>
      </c>
      <c r="H74" s="13" t="s">
        <v>330</v>
      </c>
      <c r="I74">
        <v>1</v>
      </c>
      <c r="J74">
        <v>73.41</v>
      </c>
      <c r="K74">
        <v>27.29</v>
      </c>
      <c r="L74">
        <f>_xlfn.XLOOKUP(F74,Products!$A$2:$A$51,Products!$D$2:$D$51,0)</f>
        <v>73.41</v>
      </c>
      <c r="M74">
        <f t="shared" si="1"/>
        <v>46.12</v>
      </c>
    </row>
    <row r="75" spans="1:13">
      <c r="A75" t="s">
        <v>332</v>
      </c>
      <c r="B75" t="s">
        <v>160</v>
      </c>
      <c r="C75" t="str">
        <f>_xlfn.XLOOKUP(F75,Products!$A$2:$A$51,Products!$C$2:$C$51,0)</f>
        <v>Grinders &amp; Brewers</v>
      </c>
      <c r="D75" t="str">
        <f>_xlfn.XLOOKUP(F75,Products!$A$2:$A$51,Products!$B$2:$B$51,0)</f>
        <v>High-Capacity French Press</v>
      </c>
      <c r="E75" t="str">
        <f>_xlfn.XLOOKUP(B75,customers!$A$2:$A$195,customers!$B$2:$B$195,,0)</f>
        <v>East</v>
      </c>
      <c r="F75">
        <v>1034</v>
      </c>
      <c r="G75" s="9">
        <f>_xlfn.XLOOKUP(B75,customers!$A$1:$A$195,customers!$C$1:$C$195)</f>
        <v>45087</v>
      </c>
      <c r="H75" s="13" t="s">
        <v>330</v>
      </c>
      <c r="I75">
        <v>1</v>
      </c>
      <c r="J75">
        <v>338.36</v>
      </c>
      <c r="K75">
        <v>148.17</v>
      </c>
      <c r="L75">
        <f>_xlfn.XLOOKUP(F75,Products!$A$2:$A$51,Products!$D$2:$D$51,0)</f>
        <v>338.36</v>
      </c>
      <c r="M75">
        <f t="shared" si="1"/>
        <v>190.19</v>
      </c>
    </row>
    <row r="76" spans="1:13">
      <c r="A76" t="s">
        <v>333</v>
      </c>
      <c r="B76" t="s">
        <v>34</v>
      </c>
      <c r="C76" t="str">
        <f>_xlfn.XLOOKUP(F76,Products!$A$2:$A$51,Products!$C$2:$C$51,0)</f>
        <v>Consumables</v>
      </c>
      <c r="D76" t="str">
        <f>_xlfn.XLOOKUP(F76,Products!$A$2:$A$51,Products!$B$2:$B$51,0)</f>
        <v>Espresso Bean Sampler Pack</v>
      </c>
      <c r="E76" t="str">
        <f>_xlfn.XLOOKUP(B76,customers!$A$2:$A$195,customers!$B$2:$B$195,,0)</f>
        <v>West</v>
      </c>
      <c r="F76">
        <v>1005</v>
      </c>
      <c r="G76" s="9">
        <f>_xlfn.XLOOKUP(B76,customers!$A$1:$A$195,customers!$C$1:$C$195)</f>
        <v>45028</v>
      </c>
      <c r="H76" s="13" t="s">
        <v>334</v>
      </c>
      <c r="I76">
        <v>3</v>
      </c>
      <c r="J76">
        <v>57.18</v>
      </c>
      <c r="K76">
        <v>35.9</v>
      </c>
      <c r="L76">
        <f>_xlfn.XLOOKUP(F76,Products!$A$2:$A$51,Products!$D$2:$D$51,0)</f>
        <v>19.06</v>
      </c>
      <c r="M76">
        <f t="shared" si="1"/>
        <v>21.28</v>
      </c>
    </row>
    <row r="77" spans="1:13">
      <c r="A77" t="s">
        <v>335</v>
      </c>
      <c r="B77" t="s">
        <v>152</v>
      </c>
      <c r="C77" t="str">
        <f>_xlfn.XLOOKUP(F77,Products!$A$2:$A$51,Products!$C$2:$C$51,0)</f>
        <v>Grinders &amp; Brewers</v>
      </c>
      <c r="D77" t="str">
        <f>_xlfn.XLOOKUP(F77,Products!$A$2:$A$51,Products!$B$2:$B$51,0)</f>
        <v>High-Capacity French Press</v>
      </c>
      <c r="E77" t="str">
        <f>_xlfn.XLOOKUP(B77,customers!$A$2:$A$195,customers!$B$2:$B$195,,0)</f>
        <v>East</v>
      </c>
      <c r="F77">
        <v>1009</v>
      </c>
      <c r="G77" s="9">
        <f>_xlfn.XLOOKUP(B77,customers!$A$1:$A$195,customers!$C$1:$C$195)</f>
        <v>44949</v>
      </c>
      <c r="H77" s="13" t="s">
        <v>334</v>
      </c>
      <c r="I77">
        <v>1</v>
      </c>
      <c r="J77">
        <v>338.36</v>
      </c>
      <c r="K77">
        <v>148.17</v>
      </c>
      <c r="L77">
        <f>_xlfn.XLOOKUP(F77,Products!$A$2:$A$51,Products!$D$2:$D$51,0)</f>
        <v>338.36</v>
      </c>
      <c r="M77">
        <f t="shared" si="1"/>
        <v>190.19</v>
      </c>
    </row>
    <row r="78" spans="1:13">
      <c r="A78" t="s">
        <v>336</v>
      </c>
      <c r="B78" t="s">
        <v>168</v>
      </c>
      <c r="C78" t="str">
        <f>_xlfn.XLOOKUP(F78,Products!$A$2:$A$51,Products!$C$2:$C$51,0)</f>
        <v>Accessories</v>
      </c>
      <c r="D78" t="str">
        <f>_xlfn.XLOOKUP(F78,Products!$A$2:$A$51,Products!$B$2:$B$51,0)</f>
        <v>Digital Coffee Scale</v>
      </c>
      <c r="E78" t="str">
        <f>_xlfn.XLOOKUP(B78,customers!$A$2:$A$195,customers!$B$2:$B$195,,0)</f>
        <v>West</v>
      </c>
      <c r="F78">
        <v>1011</v>
      </c>
      <c r="G78" s="9">
        <f>_xlfn.XLOOKUP(B78,customers!$A$1:$A$195,customers!$C$1:$C$195)</f>
        <v>45128</v>
      </c>
      <c r="H78" s="13" t="s">
        <v>334</v>
      </c>
      <c r="I78">
        <v>4</v>
      </c>
      <c r="J78">
        <v>107.32</v>
      </c>
      <c r="K78">
        <v>58.61</v>
      </c>
      <c r="L78">
        <f>_xlfn.XLOOKUP(F78,Products!$A$2:$A$51,Products!$D$2:$D$51,0)</f>
        <v>26.83</v>
      </c>
      <c r="M78">
        <f t="shared" si="1"/>
        <v>48.71</v>
      </c>
    </row>
    <row r="79" spans="1:13">
      <c r="A79" t="s">
        <v>337</v>
      </c>
      <c r="B79" t="s">
        <v>193</v>
      </c>
      <c r="C79" t="str">
        <f>_xlfn.XLOOKUP(F79,Products!$A$2:$A$51,Products!$C$2:$C$51,0)</f>
        <v>Subscriptions</v>
      </c>
      <c r="D79" t="str">
        <f>_xlfn.XLOOKUP(F79,Products!$A$2:$A$51,Products!$B$2:$B$51,0)</f>
        <v>Three-Month Gift Subscription</v>
      </c>
      <c r="E79" t="str">
        <f>_xlfn.XLOOKUP(B79,customers!$A$2:$A$195,customers!$B$2:$B$195,,0)</f>
        <v>East</v>
      </c>
      <c r="F79">
        <v>1023</v>
      </c>
      <c r="G79" s="9">
        <f>_xlfn.XLOOKUP(B79,customers!$A$1:$A$195,customers!$C$1:$C$195)</f>
        <v>45255</v>
      </c>
      <c r="H79" s="13" t="s">
        <v>334</v>
      </c>
      <c r="I79">
        <v>2</v>
      </c>
      <c r="J79">
        <v>130.42</v>
      </c>
      <c r="K79">
        <v>55.22</v>
      </c>
      <c r="L79">
        <f>_xlfn.XLOOKUP(F79,Products!$A$2:$A$51,Products!$D$2:$D$51,0)</f>
        <v>65.21</v>
      </c>
      <c r="M79">
        <f t="shared" si="1"/>
        <v>75.2</v>
      </c>
    </row>
    <row r="80" spans="1:13">
      <c r="A80" t="s">
        <v>338</v>
      </c>
      <c r="B80" t="s">
        <v>14</v>
      </c>
      <c r="C80" t="str">
        <f>_xlfn.XLOOKUP(F80,Products!$A$2:$A$51,Products!$C$2:$C$51,0)</f>
        <v>Consumables</v>
      </c>
      <c r="D80" t="str">
        <f>_xlfn.XLOOKUP(F80,Products!$A$2:$A$51,Products!$B$2:$B$51,0)</f>
        <v>Cold Brew Concentrate</v>
      </c>
      <c r="E80" t="str">
        <f>_xlfn.XLOOKUP(B80,customers!$A$2:$A$195,customers!$B$2:$B$195,,0)</f>
        <v>West</v>
      </c>
      <c r="F80">
        <v>1004</v>
      </c>
      <c r="G80" s="9">
        <f>_xlfn.XLOOKUP(B80,customers!$A$1:$A$195,customers!$C$1:$C$195)</f>
        <v>45134</v>
      </c>
      <c r="H80" s="13" t="s">
        <v>339</v>
      </c>
      <c r="I80">
        <v>1</v>
      </c>
      <c r="J80">
        <v>23.49</v>
      </c>
      <c r="K80">
        <v>10.09</v>
      </c>
      <c r="L80">
        <f>_xlfn.XLOOKUP(F80,Products!$A$2:$A$51,Products!$D$2:$D$51,0)</f>
        <v>23.49</v>
      </c>
      <c r="M80">
        <f t="shared" si="1"/>
        <v>13.4</v>
      </c>
    </row>
    <row r="81" spans="1:13">
      <c r="A81" t="s">
        <v>340</v>
      </c>
      <c r="B81" t="s">
        <v>46</v>
      </c>
      <c r="C81" t="str">
        <f>_xlfn.XLOOKUP(F81,Products!$A$2:$A$51,Products!$C$2:$C$51,0)</f>
        <v>Consumables</v>
      </c>
      <c r="D81" t="str">
        <f>_xlfn.XLOOKUP(F81,Products!$A$2:$A$51,Products!$B$2:$B$51,0)</f>
        <v>Seasonal Blend Light Roast</v>
      </c>
      <c r="E81" t="str">
        <f>_xlfn.XLOOKUP(B81,customers!$A$2:$A$195,customers!$B$2:$B$195,,0)</f>
        <v>West</v>
      </c>
      <c r="F81">
        <v>1027</v>
      </c>
      <c r="G81" s="9">
        <f>_xlfn.XLOOKUP(B81,customers!$A$1:$A$195,customers!$C$1:$C$195)</f>
        <v>45069</v>
      </c>
      <c r="H81" s="13" t="s">
        <v>339</v>
      </c>
      <c r="I81">
        <v>1</v>
      </c>
      <c r="J81">
        <v>35.53</v>
      </c>
      <c r="K81">
        <v>5.93</v>
      </c>
      <c r="L81">
        <f>_xlfn.XLOOKUP(F81,Products!$A$2:$A$51,Products!$D$2:$D$51,0)</f>
        <v>35.53</v>
      </c>
      <c r="M81">
        <f t="shared" si="1"/>
        <v>29.6</v>
      </c>
    </row>
    <row r="82" spans="1:13">
      <c r="A82" t="s">
        <v>341</v>
      </c>
      <c r="B82" t="s">
        <v>67</v>
      </c>
      <c r="C82" t="str">
        <f>_xlfn.XLOOKUP(F82,Products!$A$2:$A$51,Products!$C$2:$C$51,0)</f>
        <v>Merchandise</v>
      </c>
      <c r="D82" t="str">
        <f>_xlfn.XLOOKUP(F82,Products!$A$2:$A$51,Products!$B$2:$B$51,0)</f>
        <v>Insulated Travel Tumbler</v>
      </c>
      <c r="E82" t="str">
        <f>_xlfn.XLOOKUP(B82,customers!$A$2:$A$195,customers!$B$2:$B$195,,0)</f>
        <v>East</v>
      </c>
      <c r="F82">
        <v>1043</v>
      </c>
      <c r="G82" s="9">
        <f>_xlfn.XLOOKUP(B82,customers!$A$1:$A$195,customers!$C$1:$C$195)</f>
        <v>45272</v>
      </c>
      <c r="H82" s="13" t="s">
        <v>339</v>
      </c>
      <c r="I82">
        <v>1</v>
      </c>
      <c r="J82">
        <v>43.28</v>
      </c>
      <c r="K82">
        <v>20.82</v>
      </c>
      <c r="L82">
        <f>_xlfn.XLOOKUP(F82,Products!$A$2:$A$51,Products!$D$2:$D$51,0)</f>
        <v>43.28</v>
      </c>
      <c r="M82">
        <f t="shared" si="1"/>
        <v>22.46</v>
      </c>
    </row>
    <row r="83" spans="1:13">
      <c r="A83" t="s">
        <v>342</v>
      </c>
      <c r="B83" t="s">
        <v>84</v>
      </c>
      <c r="C83" t="str">
        <f>_xlfn.XLOOKUP(F83,Products!$A$2:$A$51,Products!$C$2:$C$51,0)</f>
        <v>Merchandise</v>
      </c>
      <c r="D83" t="str">
        <f>_xlfn.XLOOKUP(F83,Products!$A$2:$A$51,Products!$B$2:$B$51,0)</f>
        <v>Branded Ceramic Mug (Large)</v>
      </c>
      <c r="E83" t="str">
        <f>_xlfn.XLOOKUP(B83,customers!$A$2:$A$195,customers!$B$2:$B$195,,0)</f>
        <v>South</v>
      </c>
      <c r="F83">
        <v>1041</v>
      </c>
      <c r="G83" s="9">
        <f>_xlfn.XLOOKUP(B83,customers!$A$1:$A$195,customers!$C$1:$C$195)</f>
        <v>45174</v>
      </c>
      <c r="H83" s="13" t="s">
        <v>339</v>
      </c>
      <c r="I83">
        <v>4</v>
      </c>
      <c r="J83">
        <v>172.8</v>
      </c>
      <c r="K83">
        <v>124.43</v>
      </c>
      <c r="L83">
        <f>_xlfn.XLOOKUP(F83,Products!$A$2:$A$51,Products!$D$2:$D$51,0)</f>
        <v>43.2</v>
      </c>
      <c r="M83">
        <f t="shared" si="1"/>
        <v>48.37</v>
      </c>
    </row>
    <row r="84" spans="1:13">
      <c r="A84" t="s">
        <v>343</v>
      </c>
      <c r="B84" t="s">
        <v>143</v>
      </c>
      <c r="C84" t="str">
        <f>_xlfn.XLOOKUP(F84,Products!$A$2:$A$51,Products!$C$2:$C$51,0)</f>
        <v>Merchandise</v>
      </c>
      <c r="D84" t="str">
        <f>_xlfn.XLOOKUP(F84,Products!$A$2:$A$51,Products!$B$2:$B$51,0)</f>
        <v>Daily Grind T-Shirt</v>
      </c>
      <c r="E84" t="str">
        <f>_xlfn.XLOOKUP(B84,customers!$A$2:$A$195,customers!$B$2:$B$195,,0)</f>
        <v>West</v>
      </c>
      <c r="F84">
        <v>1019</v>
      </c>
      <c r="G84" s="9">
        <f>_xlfn.XLOOKUP(B84,customers!$A$1:$A$195,customers!$C$1:$C$195)</f>
        <v>45193</v>
      </c>
      <c r="H84" s="13" t="s">
        <v>339</v>
      </c>
      <c r="I84">
        <v>2</v>
      </c>
      <c r="J84">
        <v>42.74</v>
      </c>
      <c r="K84">
        <v>16.52</v>
      </c>
      <c r="L84">
        <f>_xlfn.XLOOKUP(F84,Products!$A$2:$A$51,Products!$D$2:$D$51,0)</f>
        <v>21.37</v>
      </c>
      <c r="M84">
        <f t="shared" si="1"/>
        <v>26.22</v>
      </c>
    </row>
    <row r="85" spans="1:13">
      <c r="A85" t="s">
        <v>344</v>
      </c>
      <c r="B85" t="s">
        <v>184</v>
      </c>
      <c r="C85" t="str">
        <f>_xlfn.XLOOKUP(F85,Products!$A$2:$A$51,Products!$C$2:$C$51,0)</f>
        <v>Subscriptions</v>
      </c>
      <c r="D85" t="str">
        <f>_xlfn.XLOOKUP(F85,Products!$A$2:$A$51,Products!$B$2:$B$51,0)</f>
        <v>Three-Month Gift Subscription</v>
      </c>
      <c r="E85" t="str">
        <f>_xlfn.XLOOKUP(B85,customers!$A$2:$A$195,customers!$B$2:$B$195,,0)</f>
        <v>East</v>
      </c>
      <c r="F85">
        <v>1023</v>
      </c>
      <c r="G85" s="9">
        <f>_xlfn.XLOOKUP(B85,customers!$A$1:$A$195,customers!$C$1:$C$195)</f>
        <v>45239</v>
      </c>
      <c r="H85" s="13" t="s">
        <v>339</v>
      </c>
      <c r="I85">
        <v>1</v>
      </c>
      <c r="J85">
        <v>65.21</v>
      </c>
      <c r="K85">
        <v>27.61</v>
      </c>
      <c r="L85">
        <f>_xlfn.XLOOKUP(F85,Products!$A$2:$A$51,Products!$D$2:$D$51,0)</f>
        <v>65.21</v>
      </c>
      <c r="M85">
        <f t="shared" si="1"/>
        <v>37.6</v>
      </c>
    </row>
    <row r="86" spans="1:13">
      <c r="A86" t="s">
        <v>345</v>
      </c>
      <c r="B86" t="s">
        <v>158</v>
      </c>
      <c r="C86" t="str">
        <f>_xlfn.XLOOKUP(F86,Products!$A$2:$A$51,Products!$C$2:$C$51,0)</f>
        <v>Consumables</v>
      </c>
      <c r="D86" t="str">
        <f>_xlfn.XLOOKUP(F86,Products!$A$2:$A$51,Products!$B$2:$B$51,0)</f>
        <v>Cold Brew Concentrate</v>
      </c>
      <c r="E86" t="str">
        <f>_xlfn.XLOOKUP(B86,customers!$A$2:$A$195,customers!$B$2:$B$195,,0)</f>
        <v>West</v>
      </c>
      <c r="F86">
        <v>1029</v>
      </c>
      <c r="G86" s="9">
        <f>_xlfn.XLOOKUP(B86,customers!$A$1:$A$195,customers!$C$1:$C$195)</f>
        <v>45061</v>
      </c>
      <c r="H86" s="13" t="s">
        <v>346</v>
      </c>
      <c r="I86">
        <v>2</v>
      </c>
      <c r="J86">
        <v>46.98</v>
      </c>
      <c r="K86">
        <v>20.17</v>
      </c>
      <c r="L86">
        <f>_xlfn.XLOOKUP(F86,Products!$A$2:$A$51,Products!$D$2:$D$51,0)</f>
        <v>23.49</v>
      </c>
      <c r="M86">
        <f t="shared" si="1"/>
        <v>26.81</v>
      </c>
    </row>
    <row r="87" spans="1:13">
      <c r="A87" t="s">
        <v>347</v>
      </c>
      <c r="B87" t="s">
        <v>183</v>
      </c>
      <c r="C87" t="str">
        <f>_xlfn.XLOOKUP(F87,Products!$A$2:$A$51,Products!$C$2:$C$51,0)</f>
        <v>Accessories</v>
      </c>
      <c r="D87" t="str">
        <f>_xlfn.XLOOKUP(F87,Products!$A$2:$A$51,Products!$B$2:$B$51,0)</f>
        <v>Airtight Storage Container</v>
      </c>
      <c r="E87" t="str">
        <f>_xlfn.XLOOKUP(B87,customers!$A$2:$A$195,customers!$B$2:$B$195,,0)</f>
        <v>West</v>
      </c>
      <c r="F87">
        <v>1038</v>
      </c>
      <c r="G87" s="9">
        <f>_xlfn.XLOOKUP(B87,customers!$A$1:$A$195,customers!$C$1:$C$195)</f>
        <v>45237</v>
      </c>
      <c r="H87" s="13" t="s">
        <v>346</v>
      </c>
      <c r="I87">
        <v>4</v>
      </c>
      <c r="J87">
        <v>244.16</v>
      </c>
      <c r="K87">
        <v>102.83</v>
      </c>
      <c r="L87">
        <f>_xlfn.XLOOKUP(F87,Products!$A$2:$A$51,Products!$D$2:$D$51,0)</f>
        <v>61.04</v>
      </c>
      <c r="M87">
        <f t="shared" si="1"/>
        <v>141.33</v>
      </c>
    </row>
    <row r="88" spans="1:13">
      <c r="A88" t="s">
        <v>348</v>
      </c>
      <c r="B88" t="s">
        <v>72</v>
      </c>
      <c r="C88" t="str">
        <f>_xlfn.XLOOKUP(F88,Products!$A$2:$A$51,Products!$C$2:$C$51,0)</f>
        <v>Grinders &amp; Brewers</v>
      </c>
      <c r="D88" t="str">
        <f>_xlfn.XLOOKUP(F88,Products!$A$2:$A$51,Products!$B$2:$B$51,0)</f>
        <v>Hand Grinder (Travel Size)</v>
      </c>
      <c r="E88" t="str">
        <f>_xlfn.XLOOKUP(B88,customers!$A$2:$A$195,customers!$B$2:$B$195,,0)</f>
        <v>South</v>
      </c>
      <c r="F88">
        <v>1032</v>
      </c>
      <c r="G88" s="9">
        <f>_xlfn.XLOOKUP(B88,customers!$A$1:$A$195,customers!$C$1:$C$195)</f>
        <v>45136</v>
      </c>
      <c r="H88" s="13">
        <v>45659</v>
      </c>
      <c r="I88">
        <v>2</v>
      </c>
      <c r="J88">
        <v>509.44</v>
      </c>
      <c r="K88">
        <v>260.57</v>
      </c>
      <c r="L88">
        <f>_xlfn.XLOOKUP(F88,Products!$A$2:$A$51,Products!$D$2:$D$51,0)</f>
        <v>254.72</v>
      </c>
      <c r="M88">
        <f t="shared" si="1"/>
        <v>248.87</v>
      </c>
    </row>
    <row r="89" spans="1:13">
      <c r="A89" t="s">
        <v>349</v>
      </c>
      <c r="B89" t="s">
        <v>150</v>
      </c>
      <c r="C89" t="str">
        <f>_xlfn.XLOOKUP(F89,Products!$A$2:$A$51,Products!$C$2:$C$51,0)</f>
        <v>Subscriptions</v>
      </c>
      <c r="D89" t="str">
        <f>_xlfn.XLOOKUP(F89,Products!$A$2:$A$51,Products!$B$2:$B$51,0)</f>
        <v>Monthly Dark Roast Subscription</v>
      </c>
      <c r="E89" t="str">
        <f>_xlfn.XLOOKUP(B89,customers!$A$2:$A$195,customers!$B$2:$B$195,,0)</f>
        <v>East</v>
      </c>
      <c r="F89">
        <v>1021</v>
      </c>
      <c r="G89" s="9">
        <f>_xlfn.XLOOKUP(B89,customers!$A$1:$A$195,customers!$C$1:$C$195)</f>
        <v>45253</v>
      </c>
      <c r="H89" s="13">
        <v>45690</v>
      </c>
      <c r="I89">
        <v>4</v>
      </c>
      <c r="J89">
        <v>245.04</v>
      </c>
      <c r="K89">
        <v>140.58</v>
      </c>
      <c r="L89">
        <f>_xlfn.XLOOKUP(F89,Products!$A$2:$A$51,Products!$D$2:$D$51,0)</f>
        <v>61.26</v>
      </c>
      <c r="M89">
        <f t="shared" si="1"/>
        <v>104.46</v>
      </c>
    </row>
    <row r="90" spans="1:13">
      <c r="A90" t="s">
        <v>350</v>
      </c>
      <c r="B90" t="s">
        <v>3</v>
      </c>
      <c r="C90" t="str">
        <f>_xlfn.XLOOKUP(F90,Products!$A$2:$A$51,Products!$C$2:$C$51,0)</f>
        <v>Consumables</v>
      </c>
      <c r="D90" t="str">
        <f>_xlfn.XLOOKUP(F90,Products!$A$2:$A$51,Products!$B$2:$B$51,0)</f>
        <v>Single-Origin Ethiopian (250g)</v>
      </c>
      <c r="E90" t="str">
        <f>_xlfn.XLOOKUP(B90,customers!$A$2:$A$195,customers!$B$2:$B$195,,0)</f>
        <v>East</v>
      </c>
      <c r="F90">
        <v>1026</v>
      </c>
      <c r="G90" s="9">
        <f>_xlfn.XLOOKUP(B90,customers!$A$1:$A$195,customers!$C$1:$C$195)</f>
        <v>45141</v>
      </c>
      <c r="H90" s="13">
        <v>45718</v>
      </c>
      <c r="I90">
        <v>1</v>
      </c>
      <c r="J90">
        <v>19.49</v>
      </c>
      <c r="K90">
        <v>12.71</v>
      </c>
      <c r="L90">
        <f>_xlfn.XLOOKUP(F90,Products!$A$2:$A$51,Products!$D$2:$D$51,0)</f>
        <v>19.49</v>
      </c>
      <c r="M90">
        <f t="shared" si="1"/>
        <v>6.78</v>
      </c>
    </row>
    <row r="91" spans="1:13">
      <c r="A91" t="s">
        <v>351</v>
      </c>
      <c r="B91" t="s">
        <v>106</v>
      </c>
      <c r="C91" t="str">
        <f>_xlfn.XLOOKUP(F91,Products!$A$2:$A$51,Products!$C$2:$C$51,0)</f>
        <v>Consumables</v>
      </c>
      <c r="D91" t="str">
        <f>_xlfn.XLOOKUP(F91,Products!$A$2:$A$51,Products!$B$2:$B$51,0)</f>
        <v>Single-Origin Ethiopian (250g)</v>
      </c>
      <c r="E91" t="str">
        <f>_xlfn.XLOOKUP(B91,customers!$A$2:$A$195,customers!$B$2:$B$195,,0)</f>
        <v>East</v>
      </c>
      <c r="F91">
        <v>1001</v>
      </c>
      <c r="G91" s="9">
        <f>_xlfn.XLOOKUP(B91,customers!$A$1:$A$195,customers!$C$1:$C$195)</f>
        <v>45055</v>
      </c>
      <c r="H91" s="13">
        <v>45718</v>
      </c>
      <c r="I91">
        <v>2</v>
      </c>
      <c r="J91">
        <v>38.98</v>
      </c>
      <c r="K91">
        <v>25.41</v>
      </c>
      <c r="L91">
        <f>_xlfn.XLOOKUP(F91,Products!$A$2:$A$51,Products!$D$2:$D$51,0)</f>
        <v>19.49</v>
      </c>
      <c r="M91">
        <f t="shared" si="1"/>
        <v>13.57</v>
      </c>
    </row>
    <row r="92" spans="1:13">
      <c r="A92" t="s">
        <v>352</v>
      </c>
      <c r="B92" t="s">
        <v>120</v>
      </c>
      <c r="C92" t="str">
        <f>_xlfn.XLOOKUP(F92,Products!$A$2:$A$51,Products!$C$2:$C$51,0)</f>
        <v>Merchandise</v>
      </c>
      <c r="D92" t="str">
        <f>_xlfn.XLOOKUP(F92,Products!$A$2:$A$51,Products!$B$2:$B$51,0)</f>
        <v>Branded Ceramic Mug (Large)</v>
      </c>
      <c r="E92" t="str">
        <f>_xlfn.XLOOKUP(B92,customers!$A$2:$A$195,customers!$B$2:$B$195,,0)</f>
        <v>South</v>
      </c>
      <c r="F92">
        <v>1041</v>
      </c>
      <c r="G92" s="9">
        <f>_xlfn.XLOOKUP(B92,customers!$A$1:$A$195,customers!$C$1:$C$195)</f>
        <v>45204</v>
      </c>
      <c r="H92" s="13">
        <v>45718</v>
      </c>
      <c r="I92">
        <v>1</v>
      </c>
      <c r="J92">
        <v>43.2</v>
      </c>
      <c r="K92">
        <v>31.11</v>
      </c>
      <c r="L92">
        <f>_xlfn.XLOOKUP(F92,Products!$A$2:$A$51,Products!$D$2:$D$51,0)</f>
        <v>43.2</v>
      </c>
      <c r="M92">
        <f t="shared" si="1"/>
        <v>12.09</v>
      </c>
    </row>
    <row r="93" spans="1:13">
      <c r="A93" t="s">
        <v>353</v>
      </c>
      <c r="B93" t="s">
        <v>122</v>
      </c>
      <c r="C93" t="str">
        <f>_xlfn.XLOOKUP(F93,Products!$A$2:$A$51,Products!$C$2:$C$51,0)</f>
        <v>Grinders &amp; Brewers</v>
      </c>
      <c r="D93" t="str">
        <f>_xlfn.XLOOKUP(F93,Products!$A$2:$A$51,Products!$B$2:$B$51,0)</f>
        <v>High-Capacity French Press</v>
      </c>
      <c r="E93" t="str">
        <f>_xlfn.XLOOKUP(B93,customers!$A$2:$A$195,customers!$B$2:$B$195,,0)</f>
        <v>North</v>
      </c>
      <c r="F93">
        <v>1034</v>
      </c>
      <c r="G93" s="9">
        <f>_xlfn.XLOOKUP(B93,customers!$A$1:$A$195,customers!$C$1:$C$195)</f>
        <v>45015</v>
      </c>
      <c r="H93" s="13">
        <v>45718</v>
      </c>
      <c r="I93">
        <v>1</v>
      </c>
      <c r="J93">
        <v>338.36</v>
      </c>
      <c r="K93">
        <v>148.17</v>
      </c>
      <c r="L93">
        <f>_xlfn.XLOOKUP(F93,Products!$A$2:$A$51,Products!$D$2:$D$51,0)</f>
        <v>338.36</v>
      </c>
      <c r="M93">
        <f t="shared" si="1"/>
        <v>190.19</v>
      </c>
    </row>
    <row r="94" spans="1:13">
      <c r="A94" t="s">
        <v>354</v>
      </c>
      <c r="B94" t="s">
        <v>127</v>
      </c>
      <c r="C94" t="str">
        <f>_xlfn.XLOOKUP(F94,Products!$A$2:$A$51,Products!$C$2:$C$51,0)</f>
        <v>Grinders &amp; Brewers</v>
      </c>
      <c r="D94" t="str">
        <f>_xlfn.XLOOKUP(F94,Products!$A$2:$A$51,Products!$B$2:$B$51,0)</f>
        <v>Precision Electric Grinder</v>
      </c>
      <c r="E94" t="str">
        <f>_xlfn.XLOOKUP(B94,customers!$A$2:$A$195,customers!$B$2:$B$195,,0)</f>
        <v>North</v>
      </c>
      <c r="F94">
        <v>1031</v>
      </c>
      <c r="G94" s="9">
        <f>_xlfn.XLOOKUP(B94,customers!$A$1:$A$195,customers!$C$1:$C$195)</f>
        <v>45070</v>
      </c>
      <c r="H94" s="13">
        <v>45718</v>
      </c>
      <c r="I94">
        <v>1</v>
      </c>
      <c r="J94">
        <v>232.2</v>
      </c>
      <c r="K94">
        <v>78.39</v>
      </c>
      <c r="L94">
        <f>_xlfn.XLOOKUP(F94,Products!$A$2:$A$51,Products!$D$2:$D$51,0)</f>
        <v>232.2</v>
      </c>
      <c r="M94">
        <f t="shared" si="1"/>
        <v>153.81</v>
      </c>
    </row>
    <row r="95" spans="1:13">
      <c r="A95" t="s">
        <v>355</v>
      </c>
      <c r="B95" t="s">
        <v>9</v>
      </c>
      <c r="C95" t="str">
        <f>_xlfn.XLOOKUP(F95,Products!$A$2:$A$51,Products!$C$2:$C$51,0)</f>
        <v>Merchandise</v>
      </c>
      <c r="D95" t="str">
        <f>_xlfn.XLOOKUP(F95,Products!$A$2:$A$51,Products!$B$2:$B$51,0)</f>
        <v>Branded Ceramic Mug (Large)</v>
      </c>
      <c r="E95" t="str">
        <f>_xlfn.XLOOKUP(B95,customers!$A$2:$A$195,customers!$B$2:$B$195,,0)</f>
        <v>West</v>
      </c>
      <c r="F95">
        <v>1016</v>
      </c>
      <c r="G95" s="9">
        <f>_xlfn.XLOOKUP(B95,customers!$A$1:$A$195,customers!$C$1:$C$195)</f>
        <v>44949</v>
      </c>
      <c r="H95" s="13">
        <v>45749</v>
      </c>
      <c r="I95">
        <v>4</v>
      </c>
      <c r="J95">
        <v>172.8</v>
      </c>
      <c r="K95">
        <v>124.43</v>
      </c>
      <c r="L95">
        <f>_xlfn.XLOOKUP(F95,Products!$A$2:$A$51,Products!$D$2:$D$51,0)</f>
        <v>43.2</v>
      </c>
      <c r="M95">
        <f t="shared" si="1"/>
        <v>48.37</v>
      </c>
    </row>
    <row r="96" spans="1:13">
      <c r="A96" t="s">
        <v>356</v>
      </c>
      <c r="B96" t="s">
        <v>20</v>
      </c>
      <c r="C96" t="str">
        <f>_xlfn.XLOOKUP(F96,Products!$A$2:$A$51,Products!$C$2:$C$51,0)</f>
        <v>Grinders &amp; Brewers</v>
      </c>
      <c r="D96" t="str">
        <f>_xlfn.XLOOKUP(F96,Products!$A$2:$A$51,Products!$B$2:$B$51,0)</f>
        <v>Automated Drip Brewer</v>
      </c>
      <c r="E96" t="str">
        <f>_xlfn.XLOOKUP(B96,customers!$A$2:$A$195,customers!$B$2:$B$195,,0)</f>
        <v>West</v>
      </c>
      <c r="F96">
        <v>1008</v>
      </c>
      <c r="G96" s="9">
        <f>_xlfn.XLOOKUP(B96,customers!$A$1:$A$195,customers!$C$1:$C$195)</f>
        <v>44982</v>
      </c>
      <c r="H96" s="13">
        <v>45749</v>
      </c>
      <c r="I96">
        <v>2</v>
      </c>
      <c r="J96">
        <v>471.52</v>
      </c>
      <c r="K96">
        <v>264.97</v>
      </c>
      <c r="L96">
        <f>_xlfn.XLOOKUP(F96,Products!$A$2:$A$51,Products!$D$2:$D$51,0)</f>
        <v>235.76</v>
      </c>
      <c r="M96">
        <f t="shared" si="1"/>
        <v>206.55</v>
      </c>
    </row>
    <row r="97" spans="1:13">
      <c r="A97" t="s">
        <v>357</v>
      </c>
      <c r="B97" t="s">
        <v>96</v>
      </c>
      <c r="C97" t="str">
        <f>_xlfn.XLOOKUP(F97,Products!$A$2:$A$51,Products!$C$2:$C$51,0)</f>
        <v>Merchandise</v>
      </c>
      <c r="D97" t="str">
        <f>_xlfn.XLOOKUP(F97,Products!$A$2:$A$51,Products!$B$2:$B$51,0)</f>
        <v>Minimalist Keychain</v>
      </c>
      <c r="E97" t="str">
        <f>_xlfn.XLOOKUP(B97,customers!$A$2:$A$195,customers!$B$2:$B$195,,0)</f>
        <v>East</v>
      </c>
      <c r="F97">
        <v>1045</v>
      </c>
      <c r="G97" s="9">
        <f>_xlfn.XLOOKUP(B97,customers!$A$1:$A$195,customers!$C$1:$C$195)</f>
        <v>45143</v>
      </c>
      <c r="H97" s="13">
        <v>45749</v>
      </c>
      <c r="I97">
        <v>2</v>
      </c>
      <c r="J97">
        <v>54.74</v>
      </c>
      <c r="K97">
        <v>48.18</v>
      </c>
      <c r="L97">
        <f>_xlfn.XLOOKUP(F97,Products!$A$2:$A$51,Products!$D$2:$D$51,0)</f>
        <v>27.37</v>
      </c>
      <c r="M97">
        <f t="shared" si="1"/>
        <v>6.56</v>
      </c>
    </row>
    <row r="98" spans="1:13">
      <c r="A98" t="s">
        <v>358</v>
      </c>
      <c r="B98" t="s">
        <v>103</v>
      </c>
      <c r="C98" t="str">
        <f>_xlfn.XLOOKUP(F98,Products!$A$2:$A$51,Products!$C$2:$C$51,0)</f>
        <v>Consumables</v>
      </c>
      <c r="D98" t="str">
        <f>_xlfn.XLOOKUP(F98,Products!$A$2:$A$51,Products!$B$2:$B$51,0)</f>
        <v>Decaf Blend (1kg)</v>
      </c>
      <c r="E98" t="str">
        <f>_xlfn.XLOOKUP(B98,customers!$A$2:$A$195,customers!$B$2:$B$195,,0)</f>
        <v>West</v>
      </c>
      <c r="F98">
        <v>1003</v>
      </c>
      <c r="G98" s="9">
        <f>_xlfn.XLOOKUP(B98,customers!$A$1:$A$195,customers!$C$1:$C$195)</f>
        <v>45132</v>
      </c>
      <c r="H98" s="13">
        <v>45749</v>
      </c>
      <c r="I98">
        <v>3</v>
      </c>
      <c r="J98">
        <v>121.05</v>
      </c>
      <c r="K98">
        <v>38.58</v>
      </c>
      <c r="L98">
        <f>_xlfn.XLOOKUP(F98,Products!$A$2:$A$51,Products!$D$2:$D$51,0)</f>
        <v>40.35</v>
      </c>
      <c r="M98">
        <f t="shared" si="1"/>
        <v>82.47</v>
      </c>
    </row>
    <row r="99" spans="1:13">
      <c r="A99" t="s">
        <v>359</v>
      </c>
      <c r="B99" t="s">
        <v>157</v>
      </c>
      <c r="C99" t="str">
        <f>_xlfn.XLOOKUP(F99,Products!$A$2:$A$51,Products!$C$2:$C$51,0)</f>
        <v>Accessories</v>
      </c>
      <c r="D99" t="str">
        <f>_xlfn.XLOOKUP(F99,Products!$A$2:$A$51,Products!$B$2:$B$51,0)</f>
        <v>Chemex Filters (100 pack)</v>
      </c>
      <c r="E99" t="str">
        <f>_xlfn.XLOOKUP(B99,customers!$A$2:$A$195,customers!$B$2:$B$195,,0)</f>
        <v>West</v>
      </c>
      <c r="F99">
        <v>1014</v>
      </c>
      <c r="G99" s="9">
        <f>_xlfn.XLOOKUP(B99,customers!$A$1:$A$195,customers!$C$1:$C$195)</f>
        <v>45216</v>
      </c>
      <c r="H99" s="13">
        <v>45749</v>
      </c>
      <c r="I99">
        <v>4</v>
      </c>
      <c r="J99">
        <v>96.4</v>
      </c>
      <c r="K99">
        <v>84.83</v>
      </c>
      <c r="L99">
        <f>_xlfn.XLOOKUP(F99,Products!$A$2:$A$51,Products!$D$2:$D$51,0)</f>
        <v>24.1</v>
      </c>
      <c r="M99">
        <f t="shared" si="1"/>
        <v>11.57</v>
      </c>
    </row>
    <row r="100" spans="1:13">
      <c r="A100" t="s">
        <v>360</v>
      </c>
      <c r="B100" t="s">
        <v>81</v>
      </c>
      <c r="C100" t="str">
        <f>_xlfn.XLOOKUP(F100,Products!$A$2:$A$51,Products!$C$2:$C$51,0)</f>
        <v>Merchandise</v>
      </c>
      <c r="D100" t="str">
        <f>_xlfn.XLOOKUP(F100,Products!$A$2:$A$51,Products!$B$2:$B$51,0)</f>
        <v>Insulated Travel Tumbler</v>
      </c>
      <c r="E100" t="str">
        <f>_xlfn.XLOOKUP(B100,customers!$A$2:$A$195,customers!$B$2:$B$195,,0)</f>
        <v>West</v>
      </c>
      <c r="F100">
        <v>1018</v>
      </c>
      <c r="G100" s="9">
        <f>_xlfn.XLOOKUP(B100,customers!$A$1:$A$195,customers!$C$1:$C$195)</f>
        <v>45041</v>
      </c>
      <c r="H100" s="13">
        <v>45779</v>
      </c>
      <c r="I100">
        <v>1</v>
      </c>
      <c r="J100">
        <v>43.28</v>
      </c>
      <c r="K100">
        <v>20.82</v>
      </c>
      <c r="L100">
        <f>_xlfn.XLOOKUP(F100,Products!$A$2:$A$51,Products!$D$2:$D$51,0)</f>
        <v>43.28</v>
      </c>
      <c r="M100">
        <f t="shared" si="1"/>
        <v>22.46</v>
      </c>
    </row>
    <row r="101" spans="1:13">
      <c r="A101" t="s">
        <v>361</v>
      </c>
      <c r="B101" t="s">
        <v>147</v>
      </c>
      <c r="C101" t="str">
        <f>_xlfn.XLOOKUP(F101,Products!$A$2:$A$51,Products!$C$2:$C$51,0)</f>
        <v>Merchandise</v>
      </c>
      <c r="D101" t="str">
        <f>_xlfn.XLOOKUP(F101,Products!$A$2:$A$51,Products!$B$2:$B$51,0)</f>
        <v>Logo Hoodie (Black)</v>
      </c>
      <c r="E101" t="str">
        <f>_xlfn.XLOOKUP(B101,customers!$A$2:$A$195,customers!$B$2:$B$195,,0)</f>
        <v>West</v>
      </c>
      <c r="F101">
        <v>1017</v>
      </c>
      <c r="G101" s="9">
        <f>_xlfn.XLOOKUP(B101,customers!$A$1:$A$195,customers!$C$1:$C$195)</f>
        <v>45228</v>
      </c>
      <c r="H101" s="13">
        <v>45779</v>
      </c>
      <c r="I101">
        <v>3</v>
      </c>
      <c r="J101">
        <v>45.69</v>
      </c>
      <c r="K101">
        <v>40.19</v>
      </c>
      <c r="L101">
        <f>_xlfn.XLOOKUP(F101,Products!$A$2:$A$51,Products!$D$2:$D$51,0)</f>
        <v>15.23</v>
      </c>
      <c r="M101">
        <f t="shared" si="1"/>
        <v>5.5</v>
      </c>
    </row>
    <row r="102" spans="1:13">
      <c r="A102" t="s">
        <v>362</v>
      </c>
      <c r="B102" t="s">
        <v>157</v>
      </c>
      <c r="C102" t="str">
        <f>_xlfn.XLOOKUP(F102,Products!$A$2:$A$51,Products!$C$2:$C$51,0)</f>
        <v>Merchandise</v>
      </c>
      <c r="D102" t="str">
        <f>_xlfn.XLOOKUP(F102,Products!$A$2:$A$51,Products!$B$2:$B$51,0)</f>
        <v>Minimalist Keychain</v>
      </c>
      <c r="E102" t="str">
        <f>_xlfn.XLOOKUP(B102,customers!$A$2:$A$195,customers!$B$2:$B$195,,0)</f>
        <v>West</v>
      </c>
      <c r="F102">
        <v>1020</v>
      </c>
      <c r="G102" s="9">
        <f>_xlfn.XLOOKUP(B102,customers!$A$1:$A$195,customers!$C$1:$C$195)</f>
        <v>45216</v>
      </c>
      <c r="H102" s="13">
        <v>45779</v>
      </c>
      <c r="I102">
        <v>1</v>
      </c>
      <c r="J102">
        <v>27.37</v>
      </c>
      <c r="K102">
        <v>24.09</v>
      </c>
      <c r="L102">
        <f>_xlfn.XLOOKUP(F102,Products!$A$2:$A$51,Products!$D$2:$D$51,0)</f>
        <v>27.37</v>
      </c>
      <c r="M102">
        <f t="shared" si="1"/>
        <v>3.28</v>
      </c>
    </row>
    <row r="103" spans="1:13">
      <c r="A103" t="s">
        <v>363</v>
      </c>
      <c r="B103" t="s">
        <v>196</v>
      </c>
      <c r="C103" t="str">
        <f>_xlfn.XLOOKUP(F103,Products!$A$2:$A$51,Products!$C$2:$C$51,0)</f>
        <v>Consumables</v>
      </c>
      <c r="D103" t="str">
        <f>_xlfn.XLOOKUP(F103,Products!$A$2:$A$51,Products!$B$2:$B$51,0)</f>
        <v>Espresso Bean Sampler Pack</v>
      </c>
      <c r="E103" t="str">
        <f>_xlfn.XLOOKUP(B103,customers!$A$2:$A$195,customers!$B$2:$B$195,,0)</f>
        <v>West</v>
      </c>
      <c r="F103">
        <v>1005</v>
      </c>
      <c r="G103" s="9">
        <f>_xlfn.XLOOKUP(B103,customers!$A$1:$A$195,customers!$C$1:$C$195)</f>
        <v>45186</v>
      </c>
      <c r="H103" s="13">
        <v>45779</v>
      </c>
      <c r="I103">
        <v>1</v>
      </c>
      <c r="J103">
        <v>19.06</v>
      </c>
      <c r="K103">
        <v>11.97</v>
      </c>
      <c r="L103">
        <f>_xlfn.XLOOKUP(F103,Products!$A$2:$A$51,Products!$D$2:$D$51,0)</f>
        <v>19.06</v>
      </c>
      <c r="M103">
        <f t="shared" si="1"/>
        <v>7.09</v>
      </c>
    </row>
    <row r="104" spans="1:13">
      <c r="A104" t="s">
        <v>364</v>
      </c>
      <c r="B104" t="s">
        <v>21</v>
      </c>
      <c r="C104" t="str">
        <f>_xlfn.XLOOKUP(F104,Products!$A$2:$A$51,Products!$C$2:$C$51,0)</f>
        <v>Grinders &amp; Brewers</v>
      </c>
      <c r="D104" t="str">
        <f>_xlfn.XLOOKUP(F104,Products!$A$2:$A$51,Products!$B$2:$B$51,0)</f>
        <v>Pour-Over Starter Kit</v>
      </c>
      <c r="E104" t="str">
        <f>_xlfn.XLOOKUP(B104,customers!$A$2:$A$195,customers!$B$2:$B$195,,0)</f>
        <v>East</v>
      </c>
      <c r="F104">
        <v>1010</v>
      </c>
      <c r="G104" s="9">
        <f>_xlfn.XLOOKUP(B104,customers!$A$1:$A$195,customers!$C$1:$C$195)</f>
        <v>45046</v>
      </c>
      <c r="H104" s="13">
        <v>45810</v>
      </c>
      <c r="I104">
        <v>1</v>
      </c>
      <c r="J104">
        <v>105.23</v>
      </c>
      <c r="K104">
        <v>74.74</v>
      </c>
      <c r="L104">
        <f>_xlfn.XLOOKUP(F104,Products!$A$2:$A$51,Products!$D$2:$D$51,0)</f>
        <v>105.23</v>
      </c>
      <c r="M104">
        <f t="shared" si="1"/>
        <v>30.49</v>
      </c>
    </row>
    <row r="105" spans="1:13">
      <c r="A105" t="s">
        <v>365</v>
      </c>
      <c r="B105" t="s">
        <v>176</v>
      </c>
      <c r="C105" t="str">
        <f>_xlfn.XLOOKUP(F105,Products!$A$2:$A$51,Products!$C$2:$C$51,0)</f>
        <v>Grinders &amp; Brewers</v>
      </c>
      <c r="D105" t="str">
        <f>_xlfn.XLOOKUP(F105,Products!$A$2:$A$51,Products!$B$2:$B$51,0)</f>
        <v>Precision Electric Grinder</v>
      </c>
      <c r="E105" t="str">
        <f>_xlfn.XLOOKUP(B105,customers!$A$2:$A$195,customers!$B$2:$B$195,,0)</f>
        <v>West</v>
      </c>
      <c r="F105">
        <v>1031</v>
      </c>
      <c r="G105" s="9">
        <f>_xlfn.XLOOKUP(B105,customers!$A$1:$A$195,customers!$C$1:$C$195)</f>
        <v>45206</v>
      </c>
      <c r="H105" s="13">
        <v>45810</v>
      </c>
      <c r="I105">
        <v>4</v>
      </c>
      <c r="J105">
        <v>928.8</v>
      </c>
      <c r="K105">
        <v>313.54</v>
      </c>
      <c r="L105">
        <f>_xlfn.XLOOKUP(F105,Products!$A$2:$A$51,Products!$D$2:$D$51,0)</f>
        <v>232.2</v>
      </c>
      <c r="M105">
        <f t="shared" si="1"/>
        <v>615.26</v>
      </c>
    </row>
    <row r="106" spans="1:13">
      <c r="A106" t="s">
        <v>366</v>
      </c>
      <c r="B106" t="s">
        <v>18</v>
      </c>
      <c r="C106" t="str">
        <f>_xlfn.XLOOKUP(F106,Products!$A$2:$A$51,Products!$C$2:$C$51,0)</f>
        <v>Grinders &amp; Brewers</v>
      </c>
      <c r="D106" t="str">
        <f>_xlfn.XLOOKUP(F106,Products!$A$2:$A$51,Products!$B$2:$B$51,0)</f>
        <v>Pour-Over Starter Kit</v>
      </c>
      <c r="E106" t="str">
        <f>_xlfn.XLOOKUP(B106,customers!$A$2:$A$195,customers!$B$2:$B$195,,0)</f>
        <v>East</v>
      </c>
      <c r="F106">
        <v>1035</v>
      </c>
      <c r="G106" s="9">
        <f>_xlfn.XLOOKUP(B106,customers!$A$1:$A$195,customers!$C$1:$C$195)</f>
        <v>45159</v>
      </c>
      <c r="H106" s="13">
        <v>45840</v>
      </c>
      <c r="I106">
        <v>2</v>
      </c>
      <c r="J106">
        <v>210.46</v>
      </c>
      <c r="K106">
        <v>149.49</v>
      </c>
      <c r="L106">
        <f>_xlfn.XLOOKUP(F106,Products!$A$2:$A$51,Products!$D$2:$D$51,0)</f>
        <v>105.23</v>
      </c>
      <c r="M106">
        <f t="shared" si="1"/>
        <v>60.97</v>
      </c>
    </row>
    <row r="107" spans="1:13">
      <c r="A107" t="s">
        <v>367</v>
      </c>
      <c r="B107" t="s">
        <v>22</v>
      </c>
      <c r="C107" t="str">
        <f>_xlfn.XLOOKUP(F107,Products!$A$2:$A$51,Products!$C$2:$C$51,0)</f>
        <v>Subscriptions</v>
      </c>
      <c r="D107" t="str">
        <f>_xlfn.XLOOKUP(F107,Products!$A$2:$A$51,Products!$B$2:$B$51,0)</f>
        <v>Subscription Renewal Service</v>
      </c>
      <c r="E107" t="str">
        <f>_xlfn.XLOOKUP(B107,customers!$A$2:$A$195,customers!$B$2:$B$195,,0)</f>
        <v>West</v>
      </c>
      <c r="F107">
        <v>1050</v>
      </c>
      <c r="G107" s="9">
        <f>_xlfn.XLOOKUP(B107,customers!$A$1:$A$195,customers!$C$1:$C$195)</f>
        <v>45010</v>
      </c>
      <c r="H107" s="13">
        <v>45840</v>
      </c>
      <c r="I107">
        <v>3</v>
      </c>
      <c r="J107">
        <v>220.23</v>
      </c>
      <c r="K107">
        <v>81.87</v>
      </c>
      <c r="L107">
        <f>_xlfn.XLOOKUP(F107,Products!$A$2:$A$51,Products!$D$2:$D$51,0)</f>
        <v>73.41</v>
      </c>
      <c r="M107">
        <f t="shared" si="1"/>
        <v>138.36</v>
      </c>
    </row>
    <row r="108" spans="1:13">
      <c r="A108" t="s">
        <v>368</v>
      </c>
      <c r="B108" t="s">
        <v>32</v>
      </c>
      <c r="C108" t="str">
        <f>_xlfn.XLOOKUP(F108,Products!$A$2:$A$51,Products!$C$2:$C$51,0)</f>
        <v>Consumables</v>
      </c>
      <c r="D108" t="str">
        <f>_xlfn.XLOOKUP(F108,Products!$A$2:$A$51,Products!$B$2:$B$51,0)</f>
        <v>Espresso Bean Sampler Pack</v>
      </c>
      <c r="E108" t="str">
        <f>_xlfn.XLOOKUP(B108,customers!$A$2:$A$195,customers!$B$2:$B$195,,0)</f>
        <v>East</v>
      </c>
      <c r="F108">
        <v>1030</v>
      </c>
      <c r="G108" s="9">
        <f>_xlfn.XLOOKUP(B108,customers!$A$1:$A$195,customers!$C$1:$C$195)</f>
        <v>45037</v>
      </c>
      <c r="H108" s="13">
        <v>45840</v>
      </c>
      <c r="I108">
        <v>1</v>
      </c>
      <c r="J108">
        <v>19.06</v>
      </c>
      <c r="K108">
        <v>11.97</v>
      </c>
      <c r="L108">
        <f>_xlfn.XLOOKUP(F108,Products!$A$2:$A$51,Products!$D$2:$D$51,0)</f>
        <v>19.06</v>
      </c>
      <c r="M108">
        <f t="shared" si="1"/>
        <v>7.09</v>
      </c>
    </row>
    <row r="109" spans="1:13">
      <c r="A109" t="s">
        <v>369</v>
      </c>
      <c r="B109" t="s">
        <v>80</v>
      </c>
      <c r="C109" t="str">
        <f>_xlfn.XLOOKUP(F109,Products!$A$2:$A$51,Products!$C$2:$C$51,0)</f>
        <v>Subscriptions</v>
      </c>
      <c r="D109" t="str">
        <f>_xlfn.XLOOKUP(F109,Products!$A$2:$A$51,Products!$B$2:$B$51,0)</f>
        <v>Three-Month Gift Subscription</v>
      </c>
      <c r="E109" t="str">
        <f>_xlfn.XLOOKUP(B109,customers!$A$2:$A$195,customers!$B$2:$B$195,,0)</f>
        <v>West</v>
      </c>
      <c r="F109">
        <v>1023</v>
      </c>
      <c r="G109" s="9">
        <f>_xlfn.XLOOKUP(B109,customers!$A$1:$A$195,customers!$C$1:$C$195)</f>
        <v>45200</v>
      </c>
      <c r="H109" s="13">
        <v>45840</v>
      </c>
      <c r="I109">
        <v>4</v>
      </c>
      <c r="J109">
        <v>260.84</v>
      </c>
      <c r="K109">
        <v>110.44</v>
      </c>
      <c r="L109">
        <f>_xlfn.XLOOKUP(F109,Products!$A$2:$A$51,Products!$D$2:$D$51,0)</f>
        <v>65.21</v>
      </c>
      <c r="M109">
        <f t="shared" si="1"/>
        <v>150.4</v>
      </c>
    </row>
    <row r="110" spans="1:13">
      <c r="A110" t="s">
        <v>370</v>
      </c>
      <c r="B110" t="s">
        <v>81</v>
      </c>
      <c r="C110" t="str">
        <f>_xlfn.XLOOKUP(F110,Products!$A$2:$A$51,Products!$C$2:$C$51,0)</f>
        <v>Consumables</v>
      </c>
      <c r="D110" t="str">
        <f>_xlfn.XLOOKUP(F110,Products!$A$2:$A$51,Products!$B$2:$B$51,0)</f>
        <v>Single-Origin Ethiopian (250g)</v>
      </c>
      <c r="E110" t="str">
        <f>_xlfn.XLOOKUP(B110,customers!$A$2:$A$195,customers!$B$2:$B$195,,0)</f>
        <v>West</v>
      </c>
      <c r="F110">
        <v>1026</v>
      </c>
      <c r="G110" s="9">
        <f>_xlfn.XLOOKUP(B110,customers!$A$1:$A$195,customers!$C$1:$C$195)</f>
        <v>45041</v>
      </c>
      <c r="H110" s="13">
        <v>45840</v>
      </c>
      <c r="I110">
        <v>3</v>
      </c>
      <c r="J110">
        <v>58.47</v>
      </c>
      <c r="K110">
        <v>38.12</v>
      </c>
      <c r="L110">
        <f>_xlfn.XLOOKUP(F110,Products!$A$2:$A$51,Products!$D$2:$D$51,0)</f>
        <v>19.49</v>
      </c>
      <c r="M110">
        <f t="shared" si="1"/>
        <v>20.35</v>
      </c>
    </row>
    <row r="111" spans="1:13">
      <c r="A111" t="s">
        <v>371</v>
      </c>
      <c r="B111" t="s">
        <v>91</v>
      </c>
      <c r="C111" t="str">
        <f>_xlfn.XLOOKUP(F111,Products!$A$2:$A$51,Products!$C$2:$C$51,0)</f>
        <v>Merchandise</v>
      </c>
      <c r="D111" t="str">
        <f>_xlfn.XLOOKUP(F111,Products!$A$2:$A$51,Products!$B$2:$B$51,0)</f>
        <v>Insulated Travel Tumbler</v>
      </c>
      <c r="E111" t="str">
        <f>_xlfn.XLOOKUP(B111,customers!$A$2:$A$195,customers!$B$2:$B$195,,0)</f>
        <v>South</v>
      </c>
      <c r="F111">
        <v>1043</v>
      </c>
      <c r="G111" s="9">
        <f>_xlfn.XLOOKUP(B111,customers!$A$1:$A$195,customers!$C$1:$C$195)</f>
        <v>45026</v>
      </c>
      <c r="H111" s="13">
        <v>45840</v>
      </c>
      <c r="I111">
        <v>3</v>
      </c>
      <c r="J111">
        <v>129.84</v>
      </c>
      <c r="K111">
        <v>62.47</v>
      </c>
      <c r="L111">
        <f>_xlfn.XLOOKUP(F111,Products!$A$2:$A$51,Products!$D$2:$D$51,0)</f>
        <v>43.28</v>
      </c>
      <c r="M111">
        <f t="shared" si="1"/>
        <v>67.37</v>
      </c>
    </row>
    <row r="112" spans="1:13">
      <c r="A112" t="s">
        <v>372</v>
      </c>
      <c r="B112" t="s">
        <v>130</v>
      </c>
      <c r="C112" t="str">
        <f>_xlfn.XLOOKUP(F112,Products!$A$2:$A$51,Products!$C$2:$C$51,0)</f>
        <v>Grinders &amp; Brewers</v>
      </c>
      <c r="D112" t="str">
        <f>_xlfn.XLOOKUP(F112,Products!$A$2:$A$51,Products!$B$2:$B$51,0)</f>
        <v>Precision Electric Grinder</v>
      </c>
      <c r="E112" t="str">
        <f>_xlfn.XLOOKUP(B112,customers!$A$2:$A$195,customers!$B$2:$B$195,,0)</f>
        <v>East</v>
      </c>
      <c r="F112">
        <v>1006</v>
      </c>
      <c r="G112" s="9">
        <f>_xlfn.XLOOKUP(B112,customers!$A$1:$A$195,customers!$C$1:$C$195)</f>
        <v>45241</v>
      </c>
      <c r="H112" s="13">
        <v>45840</v>
      </c>
      <c r="I112">
        <v>2</v>
      </c>
      <c r="J112">
        <v>464.4</v>
      </c>
      <c r="K112">
        <v>156.77</v>
      </c>
      <c r="L112">
        <f>_xlfn.XLOOKUP(F112,Products!$A$2:$A$51,Products!$D$2:$D$51,0)</f>
        <v>232.2</v>
      </c>
      <c r="M112">
        <f t="shared" si="1"/>
        <v>307.63</v>
      </c>
    </row>
    <row r="113" spans="1:13">
      <c r="A113" t="s">
        <v>373</v>
      </c>
      <c r="B113" t="s">
        <v>132</v>
      </c>
      <c r="C113" t="str">
        <f>_xlfn.XLOOKUP(F113,Products!$A$2:$A$51,Products!$C$2:$C$51,0)</f>
        <v>Consumables</v>
      </c>
      <c r="D113" t="str">
        <f>_xlfn.XLOOKUP(F113,Products!$A$2:$A$51,Products!$B$2:$B$51,0)</f>
        <v>Cold Brew Concentrate</v>
      </c>
      <c r="E113" t="str">
        <f>_xlfn.XLOOKUP(B113,customers!$A$2:$A$195,customers!$B$2:$B$195,,0)</f>
        <v>East</v>
      </c>
      <c r="F113">
        <v>1029</v>
      </c>
      <c r="G113" s="9">
        <f>_xlfn.XLOOKUP(B113,customers!$A$1:$A$195,customers!$C$1:$C$195)</f>
        <v>45062</v>
      </c>
      <c r="H113" s="13">
        <v>45840</v>
      </c>
      <c r="I113">
        <v>1</v>
      </c>
      <c r="J113">
        <v>23.49</v>
      </c>
      <c r="K113">
        <v>10.09</v>
      </c>
      <c r="L113">
        <f>_xlfn.XLOOKUP(F113,Products!$A$2:$A$51,Products!$D$2:$D$51,0)</f>
        <v>23.49</v>
      </c>
      <c r="M113">
        <f t="shared" si="1"/>
        <v>13.4</v>
      </c>
    </row>
    <row r="114" spans="1:13">
      <c r="A114" t="s">
        <v>374</v>
      </c>
      <c r="B114" t="s">
        <v>151</v>
      </c>
      <c r="C114" t="str">
        <f>_xlfn.XLOOKUP(F114,Products!$A$2:$A$51,Products!$C$2:$C$51,0)</f>
        <v>Subscriptions</v>
      </c>
      <c r="D114" t="str">
        <f>_xlfn.XLOOKUP(F114,Products!$A$2:$A$51,Products!$B$2:$B$51,0)</f>
        <v>Bi-Weekly Sampler Box</v>
      </c>
      <c r="E114" t="str">
        <f>_xlfn.XLOOKUP(B114,customers!$A$2:$A$195,customers!$B$2:$B$195,,0)</f>
        <v>West</v>
      </c>
      <c r="F114">
        <v>1047</v>
      </c>
      <c r="G114" s="9">
        <f>_xlfn.XLOOKUP(B114,customers!$A$1:$A$195,customers!$C$1:$C$195)</f>
        <v>45047</v>
      </c>
      <c r="H114" s="13">
        <v>45840</v>
      </c>
      <c r="I114">
        <v>3</v>
      </c>
      <c r="J114">
        <v>266.31</v>
      </c>
      <c r="K114">
        <v>71.58</v>
      </c>
      <c r="L114">
        <f>_xlfn.XLOOKUP(F114,Products!$A$2:$A$51,Products!$D$2:$D$51,0)</f>
        <v>88.77</v>
      </c>
      <c r="M114">
        <f t="shared" si="1"/>
        <v>194.73</v>
      </c>
    </row>
    <row r="115" spans="1:13">
      <c r="A115" t="s">
        <v>375</v>
      </c>
      <c r="B115" t="s">
        <v>53</v>
      </c>
      <c r="C115" t="str">
        <f>_xlfn.XLOOKUP(F115,Products!$A$2:$A$51,Products!$C$2:$C$51,0)</f>
        <v>Accessories</v>
      </c>
      <c r="D115" t="str">
        <f>_xlfn.XLOOKUP(F115,Products!$A$2:$A$51,Products!$B$2:$B$51,0)</f>
        <v>Chemex Filters (100 pack)</v>
      </c>
      <c r="E115" t="str">
        <f>_xlfn.XLOOKUP(B115,customers!$A$2:$A$195,customers!$B$2:$B$195,,0)</f>
        <v>East</v>
      </c>
      <c r="F115">
        <v>1039</v>
      </c>
      <c r="G115" s="9">
        <f>_xlfn.XLOOKUP(B115,customers!$A$1:$A$195,customers!$C$1:$C$195)</f>
        <v>45154</v>
      </c>
      <c r="H115" s="13">
        <v>45871</v>
      </c>
      <c r="I115">
        <v>4</v>
      </c>
      <c r="J115">
        <v>96.4</v>
      </c>
      <c r="K115">
        <v>84.83</v>
      </c>
      <c r="L115">
        <f>_xlfn.XLOOKUP(F115,Products!$A$2:$A$51,Products!$D$2:$D$51,0)</f>
        <v>24.1</v>
      </c>
      <c r="M115">
        <f t="shared" si="1"/>
        <v>11.57</v>
      </c>
    </row>
    <row r="116" spans="1:13">
      <c r="A116" t="s">
        <v>376</v>
      </c>
      <c r="B116" t="s">
        <v>99</v>
      </c>
      <c r="C116" t="str">
        <f>_xlfn.XLOOKUP(F116,Products!$A$2:$A$51,Products!$C$2:$C$51,0)</f>
        <v>Subscriptions</v>
      </c>
      <c r="D116" t="str">
        <f>_xlfn.XLOOKUP(F116,Products!$A$2:$A$51,Products!$B$2:$B$51,0)</f>
        <v>Subscription Renewal Service</v>
      </c>
      <c r="E116" t="str">
        <f>_xlfn.XLOOKUP(B116,customers!$A$2:$A$195,customers!$B$2:$B$195,,0)</f>
        <v>West</v>
      </c>
      <c r="F116">
        <v>1050</v>
      </c>
      <c r="G116" s="9">
        <f>_xlfn.XLOOKUP(B116,customers!$A$1:$A$195,customers!$C$1:$C$195)</f>
        <v>45052</v>
      </c>
      <c r="H116" s="13">
        <v>45932</v>
      </c>
      <c r="I116">
        <v>2</v>
      </c>
      <c r="J116">
        <v>146.82</v>
      </c>
      <c r="K116">
        <v>54.58</v>
      </c>
      <c r="L116">
        <f>_xlfn.XLOOKUP(F116,Products!$A$2:$A$51,Products!$D$2:$D$51,0)</f>
        <v>73.41</v>
      </c>
      <c r="M116">
        <f t="shared" si="1"/>
        <v>92.24</v>
      </c>
    </row>
    <row r="117" spans="1:13">
      <c r="A117" t="s">
        <v>377</v>
      </c>
      <c r="B117" t="s">
        <v>134</v>
      </c>
      <c r="C117" t="str">
        <f>_xlfn.XLOOKUP(F117,Products!$A$2:$A$51,Products!$C$2:$C$51,0)</f>
        <v>Subscriptions</v>
      </c>
      <c r="D117" t="str">
        <f>_xlfn.XLOOKUP(F117,Products!$A$2:$A$51,Products!$B$2:$B$51,0)</f>
        <v>Espresso Lovers Quarterly Pack</v>
      </c>
      <c r="E117" t="str">
        <f>_xlfn.XLOOKUP(B117,customers!$A$2:$A$195,customers!$B$2:$B$195,,0)</f>
        <v>West</v>
      </c>
      <c r="F117">
        <v>1049</v>
      </c>
      <c r="G117" s="9">
        <f>_xlfn.XLOOKUP(B117,customers!$A$1:$A$195,customers!$C$1:$C$195)</f>
        <v>45241</v>
      </c>
      <c r="H117" s="13">
        <v>45932</v>
      </c>
      <c r="I117">
        <v>1</v>
      </c>
      <c r="J117">
        <v>74.87</v>
      </c>
      <c r="K117">
        <v>19.2</v>
      </c>
      <c r="L117">
        <f>_xlfn.XLOOKUP(F117,Products!$A$2:$A$51,Products!$D$2:$D$51,0)</f>
        <v>74.87</v>
      </c>
      <c r="M117">
        <f t="shared" si="1"/>
        <v>55.67</v>
      </c>
    </row>
    <row r="118" spans="1:13">
      <c r="A118" t="s">
        <v>378</v>
      </c>
      <c r="B118" t="s">
        <v>139</v>
      </c>
      <c r="C118" t="str">
        <f>_xlfn.XLOOKUP(F118,Products!$A$2:$A$51,Products!$C$2:$C$51,0)</f>
        <v>Merchandise</v>
      </c>
      <c r="D118" t="str">
        <f>_xlfn.XLOOKUP(F118,Products!$A$2:$A$51,Products!$B$2:$B$51,0)</f>
        <v>Daily Grind T-Shirt</v>
      </c>
      <c r="E118" t="str">
        <f>_xlfn.XLOOKUP(B118,customers!$A$2:$A$195,customers!$B$2:$B$195,,0)</f>
        <v>East</v>
      </c>
      <c r="F118">
        <v>1019</v>
      </c>
      <c r="G118" s="9">
        <f>_xlfn.XLOOKUP(B118,customers!$A$1:$A$195,customers!$C$1:$C$195)</f>
        <v>45205</v>
      </c>
      <c r="H118" s="13">
        <v>45932</v>
      </c>
      <c r="I118">
        <v>3</v>
      </c>
      <c r="J118">
        <v>64.11</v>
      </c>
      <c r="K118">
        <v>24.78</v>
      </c>
      <c r="L118">
        <f>_xlfn.XLOOKUP(F118,Products!$A$2:$A$51,Products!$D$2:$D$51,0)</f>
        <v>21.37</v>
      </c>
      <c r="M118">
        <f t="shared" si="1"/>
        <v>39.33</v>
      </c>
    </row>
    <row r="119" spans="1:13">
      <c r="A119" t="s">
        <v>379</v>
      </c>
      <c r="B119" t="s">
        <v>143</v>
      </c>
      <c r="C119" t="str">
        <f>_xlfn.XLOOKUP(F119,Products!$A$2:$A$51,Products!$C$2:$C$51,0)</f>
        <v>Accessories</v>
      </c>
      <c r="D119" t="str">
        <f>_xlfn.XLOOKUP(F119,Products!$A$2:$A$51,Products!$B$2:$B$51,0)</f>
        <v>Refillable Coffee Pods</v>
      </c>
      <c r="E119" t="str">
        <f>_xlfn.XLOOKUP(B119,customers!$A$2:$A$195,customers!$B$2:$B$195,,0)</f>
        <v>West</v>
      </c>
      <c r="F119">
        <v>1040</v>
      </c>
      <c r="G119" s="9">
        <f>_xlfn.XLOOKUP(B119,customers!$A$1:$A$195,customers!$C$1:$C$195)</f>
        <v>45193</v>
      </c>
      <c r="H119" s="13">
        <v>45932</v>
      </c>
      <c r="I119">
        <v>2</v>
      </c>
      <c r="J119">
        <v>48.26</v>
      </c>
      <c r="K119">
        <v>18.59</v>
      </c>
      <c r="L119">
        <f>_xlfn.XLOOKUP(F119,Products!$A$2:$A$51,Products!$D$2:$D$51,0)</f>
        <v>24.13</v>
      </c>
      <c r="M119">
        <f t="shared" si="1"/>
        <v>29.67</v>
      </c>
    </row>
    <row r="120" spans="1:13">
      <c r="A120" t="s">
        <v>380</v>
      </c>
      <c r="B120" t="s">
        <v>165</v>
      </c>
      <c r="C120" t="str">
        <f>_xlfn.XLOOKUP(F120,Products!$A$2:$A$51,Products!$C$2:$C$51,0)</f>
        <v>Accessories</v>
      </c>
      <c r="D120" t="str">
        <f>_xlfn.XLOOKUP(F120,Products!$A$2:$A$51,Products!$B$2:$B$51,0)</f>
        <v>Gooseneck Electric Kettle</v>
      </c>
      <c r="E120" t="str">
        <f>_xlfn.XLOOKUP(B120,customers!$A$2:$A$195,customers!$B$2:$B$195,,0)</f>
        <v>West</v>
      </c>
      <c r="F120">
        <v>1012</v>
      </c>
      <c r="G120" s="9">
        <f>_xlfn.XLOOKUP(B120,customers!$A$1:$A$195,customers!$C$1:$C$195)</f>
        <v>45132</v>
      </c>
      <c r="H120" s="13">
        <v>45932</v>
      </c>
      <c r="I120">
        <v>4</v>
      </c>
      <c r="J120">
        <v>139.48</v>
      </c>
      <c r="K120">
        <v>103.88</v>
      </c>
      <c r="L120">
        <f>_xlfn.XLOOKUP(F120,Products!$A$2:$A$51,Products!$D$2:$D$51,0)</f>
        <v>34.87</v>
      </c>
      <c r="M120">
        <f t="shared" si="1"/>
        <v>35.6</v>
      </c>
    </row>
    <row r="121" spans="1:13">
      <c r="A121" t="s">
        <v>381</v>
      </c>
      <c r="B121" t="s">
        <v>41</v>
      </c>
      <c r="C121" t="str">
        <f>_xlfn.XLOOKUP(F121,Products!$A$2:$A$51,Products!$C$2:$C$51,0)</f>
        <v>Consumables</v>
      </c>
      <c r="D121" t="str">
        <f>_xlfn.XLOOKUP(F121,Products!$A$2:$A$51,Products!$B$2:$B$51,0)</f>
        <v>Single-Origin Ethiopian (250g)</v>
      </c>
      <c r="E121" t="str">
        <f>_xlfn.XLOOKUP(B121,customers!$A$2:$A$195,customers!$B$2:$B$195,,0)</f>
        <v>West</v>
      </c>
      <c r="F121">
        <v>1001</v>
      </c>
      <c r="G121" s="9">
        <f>_xlfn.XLOOKUP(B121,customers!$A$1:$A$195,customers!$C$1:$C$195)</f>
        <v>44960</v>
      </c>
      <c r="H121" s="13">
        <v>45963</v>
      </c>
      <c r="I121">
        <v>3</v>
      </c>
      <c r="J121">
        <v>58.47</v>
      </c>
      <c r="K121">
        <v>38.12</v>
      </c>
      <c r="L121">
        <f>_xlfn.XLOOKUP(F121,Products!$A$2:$A$51,Products!$D$2:$D$51,0)</f>
        <v>19.49</v>
      </c>
      <c r="M121">
        <f t="shared" si="1"/>
        <v>20.35</v>
      </c>
    </row>
    <row r="122" spans="1:13">
      <c r="A122" t="s">
        <v>382</v>
      </c>
      <c r="B122" t="s">
        <v>48</v>
      </c>
      <c r="C122" t="str">
        <f>_xlfn.XLOOKUP(F122,Products!$A$2:$A$51,Products!$C$2:$C$51,0)</f>
        <v>Accessories</v>
      </c>
      <c r="D122" t="str">
        <f>_xlfn.XLOOKUP(F122,Products!$A$2:$A$51,Products!$B$2:$B$51,0)</f>
        <v>Gooseneck Electric Kettle</v>
      </c>
      <c r="E122" t="str">
        <f>_xlfn.XLOOKUP(B122,customers!$A$2:$A$195,customers!$B$2:$B$195,,0)</f>
        <v>West</v>
      </c>
      <c r="F122">
        <v>1037</v>
      </c>
      <c r="G122" s="9">
        <f>_xlfn.XLOOKUP(B122,customers!$A$1:$A$195,customers!$C$1:$C$195)</f>
        <v>45161</v>
      </c>
      <c r="H122" s="13">
        <v>45963</v>
      </c>
      <c r="I122">
        <v>3</v>
      </c>
      <c r="J122">
        <v>104.61</v>
      </c>
      <c r="K122">
        <v>77.91</v>
      </c>
      <c r="L122">
        <f>_xlfn.XLOOKUP(F122,Products!$A$2:$A$51,Products!$D$2:$D$51,0)</f>
        <v>34.87</v>
      </c>
      <c r="M122">
        <f t="shared" si="1"/>
        <v>26.7</v>
      </c>
    </row>
    <row r="123" spans="1:13">
      <c r="A123" t="s">
        <v>383</v>
      </c>
      <c r="B123" t="s">
        <v>139</v>
      </c>
      <c r="C123" t="str">
        <f>_xlfn.XLOOKUP(F123,Products!$A$2:$A$51,Products!$C$2:$C$51,0)</f>
        <v>Merchandise</v>
      </c>
      <c r="D123" t="str">
        <f>_xlfn.XLOOKUP(F123,Products!$A$2:$A$51,Products!$B$2:$B$51,0)</f>
        <v>Daily Grind T-Shirt</v>
      </c>
      <c r="E123" t="str">
        <f>_xlfn.XLOOKUP(B123,customers!$A$2:$A$195,customers!$B$2:$B$195,,0)</f>
        <v>East</v>
      </c>
      <c r="F123">
        <v>1019</v>
      </c>
      <c r="G123" s="9">
        <f>_xlfn.XLOOKUP(B123,customers!$A$1:$A$195,customers!$C$1:$C$195)</f>
        <v>45205</v>
      </c>
      <c r="H123" s="13">
        <v>45963</v>
      </c>
      <c r="I123">
        <v>3</v>
      </c>
      <c r="J123">
        <v>64.11</v>
      </c>
      <c r="K123">
        <v>24.78</v>
      </c>
      <c r="L123">
        <f>_xlfn.XLOOKUP(F123,Products!$A$2:$A$51,Products!$D$2:$D$51,0)</f>
        <v>21.37</v>
      </c>
      <c r="M123">
        <f t="shared" si="1"/>
        <v>39.33</v>
      </c>
    </row>
    <row r="124" spans="1:13">
      <c r="A124" t="s">
        <v>384</v>
      </c>
      <c r="B124" t="s">
        <v>31</v>
      </c>
      <c r="C124" t="str">
        <f>_xlfn.XLOOKUP(F124,Products!$A$2:$A$51,Products!$C$2:$C$51,0)</f>
        <v>Subscriptions</v>
      </c>
      <c r="D124" t="str">
        <f>_xlfn.XLOOKUP(F124,Products!$A$2:$A$51,Products!$B$2:$B$51,0)</f>
        <v>Monthly Dark Roast Subscription</v>
      </c>
      <c r="E124" t="str">
        <f>_xlfn.XLOOKUP(B124,customers!$A$2:$A$195,customers!$B$2:$B$195,,0)</f>
        <v>West</v>
      </c>
      <c r="F124">
        <v>1046</v>
      </c>
      <c r="G124" s="9">
        <f>_xlfn.XLOOKUP(B124,customers!$A$1:$A$195,customers!$C$1:$C$195)</f>
        <v>44959</v>
      </c>
      <c r="H124" s="13">
        <v>45993</v>
      </c>
      <c r="I124">
        <v>2</v>
      </c>
      <c r="J124">
        <v>122.52</v>
      </c>
      <c r="K124">
        <v>70.29</v>
      </c>
      <c r="L124">
        <f>_xlfn.XLOOKUP(F124,Products!$A$2:$A$51,Products!$D$2:$D$51,0)</f>
        <v>61.26</v>
      </c>
      <c r="M124">
        <f t="shared" si="1"/>
        <v>52.23</v>
      </c>
    </row>
    <row r="125" spans="1:13">
      <c r="A125" t="s">
        <v>385</v>
      </c>
      <c r="B125" t="s">
        <v>72</v>
      </c>
      <c r="C125" t="str">
        <f>_xlfn.XLOOKUP(F125,Products!$A$2:$A$51,Products!$C$2:$C$51,0)</f>
        <v>Subscriptions</v>
      </c>
      <c r="D125" t="str">
        <f>_xlfn.XLOOKUP(F125,Products!$A$2:$A$51,Products!$B$2:$B$51,0)</f>
        <v>Three-Month Gift Subscription</v>
      </c>
      <c r="E125" t="str">
        <f>_xlfn.XLOOKUP(B125,customers!$A$2:$A$195,customers!$B$2:$B$195,,0)</f>
        <v>South</v>
      </c>
      <c r="F125">
        <v>1023</v>
      </c>
      <c r="G125" s="9">
        <f>_xlfn.XLOOKUP(B125,customers!$A$1:$A$195,customers!$C$1:$C$195)</f>
        <v>45136</v>
      </c>
      <c r="H125" s="13">
        <v>45993</v>
      </c>
      <c r="I125">
        <v>3</v>
      </c>
      <c r="J125">
        <v>195.63</v>
      </c>
      <c r="K125">
        <v>82.83</v>
      </c>
      <c r="L125">
        <f>_xlfn.XLOOKUP(F125,Products!$A$2:$A$51,Products!$D$2:$D$51,0)</f>
        <v>65.21</v>
      </c>
      <c r="M125">
        <f t="shared" si="1"/>
        <v>112.8</v>
      </c>
    </row>
    <row r="126" spans="1:13">
      <c r="A126" t="s">
        <v>386</v>
      </c>
      <c r="B126" t="s">
        <v>73</v>
      </c>
      <c r="C126" t="str">
        <f>_xlfn.XLOOKUP(F126,Products!$A$2:$A$51,Products!$C$2:$C$51,0)</f>
        <v>Accessories</v>
      </c>
      <c r="D126" t="str">
        <f>_xlfn.XLOOKUP(F126,Products!$A$2:$A$51,Products!$B$2:$B$51,0)</f>
        <v>Gooseneck Electric Kettle</v>
      </c>
      <c r="E126" t="str">
        <f>_xlfn.XLOOKUP(B126,customers!$A$2:$A$195,customers!$B$2:$B$195,,0)</f>
        <v>West</v>
      </c>
      <c r="F126">
        <v>1037</v>
      </c>
      <c r="G126" s="9">
        <f>_xlfn.XLOOKUP(B126,customers!$A$1:$A$195,customers!$C$1:$C$195)</f>
        <v>45053</v>
      </c>
      <c r="H126" s="13">
        <v>45993</v>
      </c>
      <c r="I126">
        <v>4</v>
      </c>
      <c r="J126">
        <v>139.48</v>
      </c>
      <c r="K126">
        <v>103.88</v>
      </c>
      <c r="L126">
        <f>_xlfn.XLOOKUP(F126,Products!$A$2:$A$51,Products!$D$2:$D$51,0)</f>
        <v>34.87</v>
      </c>
      <c r="M126">
        <f t="shared" si="1"/>
        <v>35.6</v>
      </c>
    </row>
    <row r="127" spans="1:13">
      <c r="A127" t="s">
        <v>387</v>
      </c>
      <c r="B127" t="s">
        <v>87</v>
      </c>
      <c r="C127" t="str">
        <f>_xlfn.XLOOKUP(F127,Products!$A$2:$A$51,Products!$C$2:$C$51,0)</f>
        <v>Merchandise</v>
      </c>
      <c r="D127" t="str">
        <f>_xlfn.XLOOKUP(F127,Products!$A$2:$A$51,Products!$B$2:$B$51,0)</f>
        <v>Minimalist Keychain</v>
      </c>
      <c r="E127" t="str">
        <f>_xlfn.XLOOKUP(B127,customers!$A$2:$A$195,customers!$B$2:$B$195,,0)</f>
        <v>South</v>
      </c>
      <c r="F127">
        <v>1020</v>
      </c>
      <c r="G127" s="9">
        <f>_xlfn.XLOOKUP(B127,customers!$A$1:$A$195,customers!$C$1:$C$195)</f>
        <v>45019</v>
      </c>
      <c r="H127" s="13">
        <v>45993</v>
      </c>
      <c r="I127">
        <v>4</v>
      </c>
      <c r="J127">
        <v>109.48</v>
      </c>
      <c r="K127">
        <v>96.36</v>
      </c>
      <c r="L127">
        <f>_xlfn.XLOOKUP(F127,Products!$A$2:$A$51,Products!$D$2:$D$51,0)</f>
        <v>27.37</v>
      </c>
      <c r="M127">
        <f t="shared" si="1"/>
        <v>13.12</v>
      </c>
    </row>
    <row r="128" spans="1:13">
      <c r="A128" t="s">
        <v>388</v>
      </c>
      <c r="B128" t="s">
        <v>121</v>
      </c>
      <c r="C128" t="str">
        <f>_xlfn.XLOOKUP(F128,Products!$A$2:$A$51,Products!$C$2:$C$51,0)</f>
        <v>Consumables</v>
      </c>
      <c r="D128" t="str">
        <f>_xlfn.XLOOKUP(F128,Products!$A$2:$A$51,Products!$B$2:$B$51,0)</f>
        <v>Decaf Blend (1kg)</v>
      </c>
      <c r="E128" t="str">
        <f>_xlfn.XLOOKUP(B128,customers!$A$2:$A$195,customers!$B$2:$B$195,,0)</f>
        <v>West</v>
      </c>
      <c r="F128">
        <v>1028</v>
      </c>
      <c r="G128" s="9">
        <f>_xlfn.XLOOKUP(B128,customers!$A$1:$A$195,customers!$C$1:$C$195)</f>
        <v>45164</v>
      </c>
      <c r="H128" s="13">
        <v>45993</v>
      </c>
      <c r="I128">
        <v>2</v>
      </c>
      <c r="J128">
        <v>80.7</v>
      </c>
      <c r="K128">
        <v>25.72</v>
      </c>
      <c r="L128">
        <f>_xlfn.XLOOKUP(F128,Products!$A$2:$A$51,Products!$D$2:$D$51,0)</f>
        <v>40.35</v>
      </c>
      <c r="M128">
        <f t="shared" si="1"/>
        <v>54.98</v>
      </c>
    </row>
    <row r="129" spans="1:13">
      <c r="A129" t="s">
        <v>389</v>
      </c>
      <c r="B129" t="s">
        <v>127</v>
      </c>
      <c r="C129" t="str">
        <f>_xlfn.XLOOKUP(F129,Products!$A$2:$A$51,Products!$C$2:$C$51,0)</f>
        <v>Merchandise</v>
      </c>
      <c r="D129" t="str">
        <f>_xlfn.XLOOKUP(F129,Products!$A$2:$A$51,Products!$B$2:$B$51,0)</f>
        <v>Branded Ceramic Mug (Large)</v>
      </c>
      <c r="E129" t="str">
        <f>_xlfn.XLOOKUP(B129,customers!$A$2:$A$195,customers!$B$2:$B$195,,0)</f>
        <v>North</v>
      </c>
      <c r="F129">
        <v>1016</v>
      </c>
      <c r="G129" s="9">
        <f>_xlfn.XLOOKUP(B129,customers!$A$1:$A$195,customers!$C$1:$C$195)</f>
        <v>45070</v>
      </c>
      <c r="H129" s="13">
        <v>45993</v>
      </c>
      <c r="I129">
        <v>1</v>
      </c>
      <c r="J129">
        <v>43.2</v>
      </c>
      <c r="K129">
        <v>31.11</v>
      </c>
      <c r="L129">
        <f>_xlfn.XLOOKUP(F129,Products!$A$2:$A$51,Products!$D$2:$D$51,0)</f>
        <v>43.2</v>
      </c>
      <c r="M129">
        <f t="shared" si="1"/>
        <v>12.09</v>
      </c>
    </row>
    <row r="130" spans="1:13">
      <c r="A130" t="s">
        <v>390</v>
      </c>
      <c r="B130" t="s">
        <v>187</v>
      </c>
      <c r="C130" t="str">
        <f>_xlfn.XLOOKUP(F130,Products!$A$2:$A$51,Products!$C$2:$C$51,0)</f>
        <v>Merchandise</v>
      </c>
      <c r="D130" t="str">
        <f>_xlfn.XLOOKUP(F130,Products!$A$2:$A$51,Products!$B$2:$B$51,0)</f>
        <v>Minimalist Keychain</v>
      </c>
      <c r="E130" t="str">
        <f>_xlfn.XLOOKUP(B130,customers!$A$2:$A$195,customers!$B$2:$B$195,,0)</f>
        <v>West</v>
      </c>
      <c r="F130">
        <v>1045</v>
      </c>
      <c r="G130" s="9">
        <f>_xlfn.XLOOKUP(B130,customers!$A$1:$A$195,customers!$C$1:$C$195)</f>
        <v>45282</v>
      </c>
      <c r="H130" s="13">
        <v>45993</v>
      </c>
      <c r="I130">
        <v>1</v>
      </c>
      <c r="J130">
        <v>27.37</v>
      </c>
      <c r="K130">
        <v>24.09</v>
      </c>
      <c r="L130">
        <f>_xlfn.XLOOKUP(F130,Products!$A$2:$A$51,Products!$D$2:$D$51,0)</f>
        <v>27.37</v>
      </c>
      <c r="M130">
        <f t="shared" si="1"/>
        <v>3.28</v>
      </c>
    </row>
    <row r="131" spans="1:13">
      <c r="A131" t="s">
        <v>391</v>
      </c>
      <c r="B131" t="s">
        <v>20</v>
      </c>
      <c r="C131" t="str">
        <f>_xlfn.XLOOKUP(F131,Products!$A$2:$A$51,Products!$C$2:$C$51,0)</f>
        <v>Grinders &amp; Brewers</v>
      </c>
      <c r="D131" t="str">
        <f>_xlfn.XLOOKUP(F131,Products!$A$2:$A$51,Products!$B$2:$B$51,0)</f>
        <v>Precision Electric Grinder</v>
      </c>
      <c r="E131" t="str">
        <f>_xlfn.XLOOKUP(B131,customers!$A$2:$A$195,customers!$B$2:$B$195,,0)</f>
        <v>West</v>
      </c>
      <c r="F131">
        <v>1031</v>
      </c>
      <c r="G131" s="9">
        <f>_xlfn.XLOOKUP(B131,customers!$A$1:$A$195,customers!$C$1:$C$195)</f>
        <v>44982</v>
      </c>
      <c r="H131" s="13" t="s">
        <v>392</v>
      </c>
      <c r="I131">
        <v>1</v>
      </c>
      <c r="J131">
        <v>232.2</v>
      </c>
      <c r="K131">
        <v>78.39</v>
      </c>
      <c r="L131">
        <f>_xlfn.XLOOKUP(F131,Products!$A$2:$A$51,Products!$D$2:$D$51,0)</f>
        <v>232.2</v>
      </c>
      <c r="M131">
        <f t="shared" ref="M131:M194" si="2">J131-K131</f>
        <v>153.81</v>
      </c>
    </row>
    <row r="132" spans="1:13">
      <c r="A132" t="s">
        <v>393</v>
      </c>
      <c r="B132" t="s">
        <v>89</v>
      </c>
      <c r="C132" t="str">
        <f>_xlfn.XLOOKUP(F132,Products!$A$2:$A$51,Products!$C$2:$C$51,0)</f>
        <v>Subscriptions</v>
      </c>
      <c r="D132" t="str">
        <f>_xlfn.XLOOKUP(F132,Products!$A$2:$A$51,Products!$B$2:$B$51,0)</f>
        <v>Subscription Renewal Service</v>
      </c>
      <c r="E132" t="str">
        <f>_xlfn.XLOOKUP(B132,customers!$A$2:$A$195,customers!$B$2:$B$195,,0)</f>
        <v>West</v>
      </c>
      <c r="F132">
        <v>1050</v>
      </c>
      <c r="G132" s="9">
        <f>_xlfn.XLOOKUP(B132,customers!$A$1:$A$195,customers!$C$1:$C$195)</f>
        <v>44947</v>
      </c>
      <c r="H132" s="13" t="s">
        <v>392</v>
      </c>
      <c r="I132">
        <v>2</v>
      </c>
      <c r="J132">
        <v>146.82</v>
      </c>
      <c r="K132">
        <v>54.58</v>
      </c>
      <c r="L132">
        <f>_xlfn.XLOOKUP(F132,Products!$A$2:$A$51,Products!$D$2:$D$51,0)</f>
        <v>73.41</v>
      </c>
      <c r="M132">
        <f t="shared" si="2"/>
        <v>92.24</v>
      </c>
    </row>
    <row r="133" spans="1:13">
      <c r="A133" t="s">
        <v>394</v>
      </c>
      <c r="B133" t="s">
        <v>179</v>
      </c>
      <c r="C133" t="str">
        <f>_xlfn.XLOOKUP(F133,Products!$A$2:$A$51,Products!$C$2:$C$51,0)</f>
        <v>Accessories</v>
      </c>
      <c r="D133" t="str">
        <f>_xlfn.XLOOKUP(F133,Products!$A$2:$A$51,Products!$B$2:$B$51,0)</f>
        <v>Chemex Filters (100 pack)</v>
      </c>
      <c r="E133" t="str">
        <f>_xlfn.XLOOKUP(B133,customers!$A$2:$A$195,customers!$B$2:$B$195,,0)</f>
        <v>South</v>
      </c>
      <c r="F133">
        <v>1014</v>
      </c>
      <c r="G133" s="9">
        <f>_xlfn.XLOOKUP(B133,customers!$A$1:$A$195,customers!$C$1:$C$195)</f>
        <v>45221</v>
      </c>
      <c r="H133" s="13" t="s">
        <v>392</v>
      </c>
      <c r="I133">
        <v>3</v>
      </c>
      <c r="J133">
        <v>72.3</v>
      </c>
      <c r="K133">
        <v>63.62</v>
      </c>
      <c r="L133">
        <f>_xlfn.XLOOKUP(F133,Products!$A$2:$A$51,Products!$D$2:$D$51,0)</f>
        <v>24.1</v>
      </c>
      <c r="M133">
        <f t="shared" si="2"/>
        <v>8.68</v>
      </c>
    </row>
    <row r="134" spans="1:13">
      <c r="A134" t="s">
        <v>395</v>
      </c>
      <c r="B134" t="s">
        <v>37</v>
      </c>
      <c r="C134" t="str">
        <f>_xlfn.XLOOKUP(F134,Products!$A$2:$A$51,Products!$C$2:$C$51,0)</f>
        <v>Consumables</v>
      </c>
      <c r="D134" t="str">
        <f>_xlfn.XLOOKUP(F134,Products!$A$2:$A$51,Products!$B$2:$B$51,0)</f>
        <v>Seasonal Blend Light Roast</v>
      </c>
      <c r="E134" t="str">
        <f>_xlfn.XLOOKUP(B134,customers!$A$2:$A$195,customers!$B$2:$B$195,,0)</f>
        <v>South</v>
      </c>
      <c r="F134">
        <v>1027</v>
      </c>
      <c r="G134" s="9">
        <f>_xlfn.XLOOKUP(B134,customers!$A$1:$A$195,customers!$C$1:$C$195)</f>
        <v>45059</v>
      </c>
      <c r="H134" s="13" t="s">
        <v>396</v>
      </c>
      <c r="I134">
        <v>1</v>
      </c>
      <c r="J134">
        <v>35.53</v>
      </c>
      <c r="K134">
        <v>5.93</v>
      </c>
      <c r="L134">
        <f>_xlfn.XLOOKUP(F134,Products!$A$2:$A$51,Products!$D$2:$D$51,0)</f>
        <v>35.53</v>
      </c>
      <c r="M134">
        <f t="shared" si="2"/>
        <v>29.6</v>
      </c>
    </row>
    <row r="135" spans="1:13">
      <c r="A135" t="s">
        <v>397</v>
      </c>
      <c r="B135" t="s">
        <v>59</v>
      </c>
      <c r="C135" t="str">
        <f>_xlfn.XLOOKUP(F135,Products!$A$2:$A$51,Products!$C$2:$C$51,0)</f>
        <v>Grinders &amp; Brewers</v>
      </c>
      <c r="D135" t="str">
        <f>_xlfn.XLOOKUP(F135,Products!$A$2:$A$51,Products!$B$2:$B$51,0)</f>
        <v>Hand Grinder (Travel Size)</v>
      </c>
      <c r="E135" t="str">
        <f>_xlfn.XLOOKUP(B135,customers!$A$2:$A$195,customers!$B$2:$B$195,,0)</f>
        <v>East</v>
      </c>
      <c r="F135">
        <v>1032</v>
      </c>
      <c r="G135" s="9">
        <f>_xlfn.XLOOKUP(B135,customers!$A$1:$A$195,customers!$C$1:$C$195)</f>
        <v>45068</v>
      </c>
      <c r="H135" s="13" t="s">
        <v>396</v>
      </c>
      <c r="I135">
        <v>1</v>
      </c>
      <c r="J135">
        <v>254.72</v>
      </c>
      <c r="K135">
        <v>130.28</v>
      </c>
      <c r="L135">
        <f>_xlfn.XLOOKUP(F135,Products!$A$2:$A$51,Products!$D$2:$D$51,0)</f>
        <v>254.72</v>
      </c>
      <c r="M135">
        <f t="shared" si="2"/>
        <v>124.44</v>
      </c>
    </row>
    <row r="136" spans="1:13">
      <c r="A136" t="s">
        <v>398</v>
      </c>
      <c r="B136" t="s">
        <v>135</v>
      </c>
      <c r="C136" t="str">
        <f>_xlfn.XLOOKUP(F136,Products!$A$2:$A$51,Products!$C$2:$C$51,0)</f>
        <v>Accessories</v>
      </c>
      <c r="D136" t="str">
        <f>_xlfn.XLOOKUP(F136,Products!$A$2:$A$51,Products!$B$2:$B$51,0)</f>
        <v>Digital Coffee Scale</v>
      </c>
      <c r="E136" t="str">
        <f>_xlfn.XLOOKUP(B136,customers!$A$2:$A$195,customers!$B$2:$B$195,,0)</f>
        <v>East</v>
      </c>
      <c r="F136">
        <v>1011</v>
      </c>
      <c r="G136" s="9">
        <f>_xlfn.XLOOKUP(B136,customers!$A$1:$A$195,customers!$C$1:$C$195)</f>
        <v>45286</v>
      </c>
      <c r="H136" s="13" t="s">
        <v>396</v>
      </c>
      <c r="I136">
        <v>2</v>
      </c>
      <c r="J136">
        <v>53.66</v>
      </c>
      <c r="K136">
        <v>29.3</v>
      </c>
      <c r="L136">
        <f>_xlfn.XLOOKUP(F136,Products!$A$2:$A$51,Products!$D$2:$D$51,0)</f>
        <v>26.83</v>
      </c>
      <c r="M136">
        <f t="shared" si="2"/>
        <v>24.36</v>
      </c>
    </row>
    <row r="137" spans="1:13">
      <c r="A137" t="s">
        <v>399</v>
      </c>
      <c r="B137" t="s">
        <v>79</v>
      </c>
      <c r="C137" t="str">
        <f>_xlfn.XLOOKUP(F137,Products!$A$2:$A$51,Products!$C$2:$C$51,0)</f>
        <v>Grinders &amp; Brewers</v>
      </c>
      <c r="D137" t="str">
        <f>_xlfn.XLOOKUP(F137,Products!$A$2:$A$51,Products!$B$2:$B$51,0)</f>
        <v>Automated Drip Brewer</v>
      </c>
      <c r="E137" t="str">
        <f>_xlfn.XLOOKUP(B137,customers!$A$2:$A$195,customers!$B$2:$B$195,,0)</f>
        <v>South</v>
      </c>
      <c r="F137">
        <v>1033</v>
      </c>
      <c r="G137" s="9">
        <f>_xlfn.XLOOKUP(B137,customers!$A$1:$A$195,customers!$C$1:$C$195)</f>
        <v>44978</v>
      </c>
      <c r="H137" s="13" t="s">
        <v>400</v>
      </c>
      <c r="I137">
        <v>3</v>
      </c>
      <c r="J137">
        <v>707.28</v>
      </c>
      <c r="K137">
        <v>397.45</v>
      </c>
      <c r="L137">
        <f>_xlfn.XLOOKUP(F137,Products!$A$2:$A$51,Products!$D$2:$D$51,0)</f>
        <v>235.76</v>
      </c>
      <c r="M137">
        <f t="shared" si="2"/>
        <v>309.83</v>
      </c>
    </row>
    <row r="138" spans="1:13">
      <c r="A138" t="s">
        <v>401</v>
      </c>
      <c r="B138" t="s">
        <v>199</v>
      </c>
      <c r="C138" t="str">
        <f>_xlfn.XLOOKUP(F138,Products!$A$2:$A$51,Products!$C$2:$C$51,0)</f>
        <v>Subscriptions</v>
      </c>
      <c r="D138" t="str">
        <f>_xlfn.XLOOKUP(F138,Products!$A$2:$A$51,Products!$B$2:$B$51,0)</f>
        <v>Bi-Weekly Sampler Box</v>
      </c>
      <c r="E138" t="str">
        <f>_xlfn.XLOOKUP(B138,customers!$A$2:$A$195,customers!$B$2:$B$195,,0)</f>
        <v>South</v>
      </c>
      <c r="F138">
        <v>1047</v>
      </c>
      <c r="G138" s="9">
        <f>_xlfn.XLOOKUP(B138,customers!$A$1:$A$195,customers!$C$1:$C$195)</f>
        <v>45252</v>
      </c>
      <c r="H138" s="13" t="s">
        <v>400</v>
      </c>
      <c r="I138">
        <v>4</v>
      </c>
      <c r="J138">
        <v>355.08</v>
      </c>
      <c r="K138">
        <v>95.44</v>
      </c>
      <c r="L138">
        <f>_xlfn.XLOOKUP(F138,Products!$A$2:$A$51,Products!$D$2:$D$51,0)</f>
        <v>88.77</v>
      </c>
      <c r="M138">
        <f t="shared" si="2"/>
        <v>259.64</v>
      </c>
    </row>
    <row r="139" spans="1:13">
      <c r="A139" t="s">
        <v>402</v>
      </c>
      <c r="B139" t="s">
        <v>3</v>
      </c>
      <c r="C139" t="str">
        <f>_xlfn.XLOOKUP(F139,Products!$A$2:$A$51,Products!$C$2:$C$51,0)</f>
        <v>Merchandise</v>
      </c>
      <c r="D139" t="str">
        <f>_xlfn.XLOOKUP(F139,Products!$A$2:$A$51,Products!$B$2:$B$51,0)</f>
        <v>Branded Ceramic Mug (Large)</v>
      </c>
      <c r="E139" t="str">
        <f>_xlfn.XLOOKUP(B139,customers!$A$2:$A$195,customers!$B$2:$B$195,,0)</f>
        <v>East</v>
      </c>
      <c r="F139">
        <v>1016</v>
      </c>
      <c r="G139" s="9">
        <f>_xlfn.XLOOKUP(B139,customers!$A$1:$A$195,customers!$C$1:$C$195)</f>
        <v>45141</v>
      </c>
      <c r="H139" s="13" t="s">
        <v>403</v>
      </c>
      <c r="I139">
        <v>3</v>
      </c>
      <c r="J139">
        <v>129.6</v>
      </c>
      <c r="K139">
        <v>93.32</v>
      </c>
      <c r="L139">
        <f>_xlfn.XLOOKUP(F139,Products!$A$2:$A$51,Products!$D$2:$D$51,0)</f>
        <v>43.2</v>
      </c>
      <c r="M139">
        <f t="shared" si="2"/>
        <v>36.28</v>
      </c>
    </row>
    <row r="140" spans="1:13">
      <c r="A140" t="s">
        <v>404</v>
      </c>
      <c r="B140" t="s">
        <v>12</v>
      </c>
      <c r="C140" t="str">
        <f>_xlfn.XLOOKUP(F140,Products!$A$2:$A$51,Products!$C$2:$C$51,0)</f>
        <v>Grinders &amp; Brewers</v>
      </c>
      <c r="D140" t="str">
        <f>_xlfn.XLOOKUP(F140,Products!$A$2:$A$51,Products!$B$2:$B$51,0)</f>
        <v>Automated Drip Brewer</v>
      </c>
      <c r="E140" t="str">
        <f>_xlfn.XLOOKUP(B140,customers!$A$2:$A$195,customers!$B$2:$B$195,,0)</f>
        <v>West</v>
      </c>
      <c r="F140">
        <v>1008</v>
      </c>
      <c r="G140" s="9">
        <f>_xlfn.XLOOKUP(B140,customers!$A$1:$A$195,customers!$C$1:$C$195)</f>
        <v>45106</v>
      </c>
      <c r="H140" s="13" t="s">
        <v>403</v>
      </c>
      <c r="I140">
        <v>2</v>
      </c>
      <c r="J140">
        <v>471.52</v>
      </c>
      <c r="K140">
        <v>264.97</v>
      </c>
      <c r="L140">
        <f>_xlfn.XLOOKUP(F140,Products!$A$2:$A$51,Products!$D$2:$D$51,0)</f>
        <v>235.76</v>
      </c>
      <c r="M140">
        <f t="shared" si="2"/>
        <v>206.55</v>
      </c>
    </row>
    <row r="141" spans="1:13">
      <c r="A141" t="s">
        <v>405</v>
      </c>
      <c r="B141" t="s">
        <v>13</v>
      </c>
      <c r="C141" t="str">
        <f>_xlfn.XLOOKUP(F141,Products!$A$2:$A$51,Products!$C$2:$C$51,0)</f>
        <v>Merchandise</v>
      </c>
      <c r="D141" t="str">
        <f>_xlfn.XLOOKUP(F141,Products!$A$2:$A$51,Products!$B$2:$B$51,0)</f>
        <v>Insulated Travel Tumbler</v>
      </c>
      <c r="E141" t="str">
        <f>_xlfn.XLOOKUP(B141,customers!$A$2:$A$195,customers!$B$2:$B$195,,0)</f>
        <v>East</v>
      </c>
      <c r="F141">
        <v>1043</v>
      </c>
      <c r="G141" s="9">
        <f>_xlfn.XLOOKUP(B141,customers!$A$1:$A$195,customers!$C$1:$C$195)</f>
        <v>45214</v>
      </c>
      <c r="H141" s="13" t="s">
        <v>403</v>
      </c>
      <c r="I141">
        <v>4</v>
      </c>
      <c r="J141">
        <v>173.12</v>
      </c>
      <c r="K141">
        <v>83.29</v>
      </c>
      <c r="L141">
        <f>_xlfn.XLOOKUP(F141,Products!$A$2:$A$51,Products!$D$2:$D$51,0)</f>
        <v>43.28</v>
      </c>
      <c r="M141">
        <f t="shared" si="2"/>
        <v>89.83</v>
      </c>
    </row>
    <row r="142" spans="1:13">
      <c r="A142" t="s">
        <v>406</v>
      </c>
      <c r="B142" t="s">
        <v>46</v>
      </c>
      <c r="C142" t="str">
        <f>_xlfn.XLOOKUP(F142,Products!$A$2:$A$51,Products!$C$2:$C$51,0)</f>
        <v>Consumables</v>
      </c>
      <c r="D142" t="str">
        <f>_xlfn.XLOOKUP(F142,Products!$A$2:$A$51,Products!$B$2:$B$51,0)</f>
        <v>Decaf Blend (1kg)</v>
      </c>
      <c r="E142" t="str">
        <f>_xlfn.XLOOKUP(B142,customers!$A$2:$A$195,customers!$B$2:$B$195,,0)</f>
        <v>West</v>
      </c>
      <c r="F142">
        <v>1003</v>
      </c>
      <c r="G142" s="9">
        <f>_xlfn.XLOOKUP(B142,customers!$A$1:$A$195,customers!$C$1:$C$195)</f>
        <v>45069</v>
      </c>
      <c r="H142" s="13" t="s">
        <v>403</v>
      </c>
      <c r="I142">
        <v>3</v>
      </c>
      <c r="J142">
        <v>121.05</v>
      </c>
      <c r="K142">
        <v>38.58</v>
      </c>
      <c r="L142">
        <f>_xlfn.XLOOKUP(F142,Products!$A$2:$A$51,Products!$D$2:$D$51,0)</f>
        <v>40.35</v>
      </c>
      <c r="M142">
        <f t="shared" si="2"/>
        <v>82.47</v>
      </c>
    </row>
    <row r="143" spans="1:13">
      <c r="A143" t="s">
        <v>407</v>
      </c>
      <c r="B143" t="s">
        <v>47</v>
      </c>
      <c r="C143" t="str">
        <f>_xlfn.XLOOKUP(F143,Products!$A$2:$A$51,Products!$C$2:$C$51,0)</f>
        <v>Grinders &amp; Brewers</v>
      </c>
      <c r="D143" t="str">
        <f>_xlfn.XLOOKUP(F143,Products!$A$2:$A$51,Products!$B$2:$B$51,0)</f>
        <v>Hand Grinder (Travel Size)</v>
      </c>
      <c r="E143" t="str">
        <f>_xlfn.XLOOKUP(B143,customers!$A$2:$A$195,customers!$B$2:$B$195,,0)</f>
        <v>West</v>
      </c>
      <c r="F143">
        <v>1032</v>
      </c>
      <c r="G143" s="9">
        <f>_xlfn.XLOOKUP(B143,customers!$A$1:$A$195,customers!$C$1:$C$195)</f>
        <v>44967</v>
      </c>
      <c r="H143" s="13" t="s">
        <v>403</v>
      </c>
      <c r="I143">
        <v>1</v>
      </c>
      <c r="J143">
        <v>254.72</v>
      </c>
      <c r="K143">
        <v>130.28</v>
      </c>
      <c r="L143">
        <f>_xlfn.XLOOKUP(F143,Products!$A$2:$A$51,Products!$D$2:$D$51,0)</f>
        <v>254.72</v>
      </c>
      <c r="M143">
        <f t="shared" si="2"/>
        <v>124.44</v>
      </c>
    </row>
    <row r="144" spans="1:13">
      <c r="A144" t="s">
        <v>408</v>
      </c>
      <c r="B144" t="s">
        <v>73</v>
      </c>
      <c r="C144" t="str">
        <f>_xlfn.XLOOKUP(F144,Products!$A$2:$A$51,Products!$C$2:$C$51,0)</f>
        <v>Consumables</v>
      </c>
      <c r="D144" t="str">
        <f>_xlfn.XLOOKUP(F144,Products!$A$2:$A$51,Products!$B$2:$B$51,0)</f>
        <v>Espresso Bean Sampler Pack</v>
      </c>
      <c r="E144" t="str">
        <f>_xlfn.XLOOKUP(B144,customers!$A$2:$A$195,customers!$B$2:$B$195,,0)</f>
        <v>West</v>
      </c>
      <c r="F144">
        <v>1030</v>
      </c>
      <c r="G144" s="9">
        <f>_xlfn.XLOOKUP(B144,customers!$A$1:$A$195,customers!$C$1:$C$195)</f>
        <v>45053</v>
      </c>
      <c r="H144" s="13" t="s">
        <v>403</v>
      </c>
      <c r="I144">
        <v>1</v>
      </c>
      <c r="J144">
        <v>19.06</v>
      </c>
      <c r="K144">
        <v>11.97</v>
      </c>
      <c r="L144">
        <f>_xlfn.XLOOKUP(F144,Products!$A$2:$A$51,Products!$D$2:$D$51,0)</f>
        <v>19.06</v>
      </c>
      <c r="M144">
        <f t="shared" si="2"/>
        <v>7.09</v>
      </c>
    </row>
    <row r="145" spans="1:13">
      <c r="A145" t="s">
        <v>409</v>
      </c>
      <c r="B145" t="s">
        <v>110</v>
      </c>
      <c r="C145" t="str">
        <f>_xlfn.XLOOKUP(F145,Products!$A$2:$A$51,Products!$C$2:$C$51,0)</f>
        <v>Subscriptions</v>
      </c>
      <c r="D145" t="str">
        <f>_xlfn.XLOOKUP(F145,Products!$A$2:$A$51,Products!$B$2:$B$51,0)</f>
        <v>Espresso Lovers Quarterly Pack</v>
      </c>
      <c r="E145" t="str">
        <f>_xlfn.XLOOKUP(B145,customers!$A$2:$A$195,customers!$B$2:$B$195,,0)</f>
        <v>North</v>
      </c>
      <c r="F145">
        <v>1024</v>
      </c>
      <c r="G145" s="9">
        <f>_xlfn.XLOOKUP(B145,customers!$A$1:$A$195,customers!$C$1:$C$195)</f>
        <v>45090</v>
      </c>
      <c r="H145" s="13" t="s">
        <v>403</v>
      </c>
      <c r="I145">
        <v>2</v>
      </c>
      <c r="J145">
        <v>149.74</v>
      </c>
      <c r="K145">
        <v>38.39</v>
      </c>
      <c r="L145">
        <f>_xlfn.XLOOKUP(F145,Products!$A$2:$A$51,Products!$D$2:$D$51,0)</f>
        <v>74.87</v>
      </c>
      <c r="M145">
        <f t="shared" si="2"/>
        <v>111.35</v>
      </c>
    </row>
    <row r="146" spans="1:13">
      <c r="A146" t="s">
        <v>410</v>
      </c>
      <c r="B146" t="s">
        <v>121</v>
      </c>
      <c r="C146" t="str">
        <f>_xlfn.XLOOKUP(F146,Products!$A$2:$A$51,Products!$C$2:$C$51,0)</f>
        <v>Subscriptions</v>
      </c>
      <c r="D146" t="str">
        <f>_xlfn.XLOOKUP(F146,Products!$A$2:$A$51,Products!$B$2:$B$51,0)</f>
        <v>Monthly Dark Roast Subscription</v>
      </c>
      <c r="E146" t="str">
        <f>_xlfn.XLOOKUP(B146,customers!$A$2:$A$195,customers!$B$2:$B$195,,0)</f>
        <v>West</v>
      </c>
      <c r="F146">
        <v>1021</v>
      </c>
      <c r="G146" s="9">
        <f>_xlfn.XLOOKUP(B146,customers!$A$1:$A$195,customers!$C$1:$C$195)</f>
        <v>45164</v>
      </c>
      <c r="H146" s="13" t="s">
        <v>403</v>
      </c>
      <c r="I146">
        <v>4</v>
      </c>
      <c r="J146">
        <v>245.04</v>
      </c>
      <c r="K146">
        <v>140.58</v>
      </c>
      <c r="L146">
        <f>_xlfn.XLOOKUP(F146,Products!$A$2:$A$51,Products!$D$2:$D$51,0)</f>
        <v>61.26</v>
      </c>
      <c r="M146">
        <f t="shared" si="2"/>
        <v>104.46</v>
      </c>
    </row>
    <row r="147" spans="1:13">
      <c r="A147" t="s">
        <v>411</v>
      </c>
      <c r="B147" t="s">
        <v>28</v>
      </c>
      <c r="C147" t="str">
        <f>_xlfn.XLOOKUP(F147,Products!$A$2:$A$51,Products!$C$2:$C$51,0)</f>
        <v>Grinders &amp; Brewers</v>
      </c>
      <c r="D147" t="str">
        <f>_xlfn.XLOOKUP(F147,Products!$A$2:$A$51,Products!$B$2:$B$51,0)</f>
        <v>Hand Grinder (Travel Size)</v>
      </c>
      <c r="E147" t="str">
        <f>_xlfn.XLOOKUP(B147,customers!$A$2:$A$195,customers!$B$2:$B$195,,0)</f>
        <v>East</v>
      </c>
      <c r="F147">
        <v>1032</v>
      </c>
      <c r="G147" s="9">
        <f>_xlfn.XLOOKUP(B147,customers!$A$1:$A$195,customers!$C$1:$C$195)</f>
        <v>45273</v>
      </c>
      <c r="H147" s="13" t="s">
        <v>412</v>
      </c>
      <c r="I147">
        <v>2</v>
      </c>
      <c r="J147">
        <v>509.44</v>
      </c>
      <c r="K147">
        <v>260.57</v>
      </c>
      <c r="L147">
        <f>_xlfn.XLOOKUP(F147,Products!$A$2:$A$51,Products!$D$2:$D$51,0)</f>
        <v>254.72</v>
      </c>
      <c r="M147">
        <f t="shared" si="2"/>
        <v>248.87</v>
      </c>
    </row>
    <row r="148" spans="1:13">
      <c r="A148" t="s">
        <v>413</v>
      </c>
      <c r="B148" t="s">
        <v>48</v>
      </c>
      <c r="C148" t="str">
        <f>_xlfn.XLOOKUP(F148,Products!$A$2:$A$51,Products!$C$2:$C$51,0)</f>
        <v>Grinders &amp; Brewers</v>
      </c>
      <c r="D148" t="str">
        <f>_xlfn.XLOOKUP(F148,Products!$A$2:$A$51,Products!$B$2:$B$51,0)</f>
        <v>Automated Drip Brewer</v>
      </c>
      <c r="E148" t="str">
        <f>_xlfn.XLOOKUP(B148,customers!$A$2:$A$195,customers!$B$2:$B$195,,0)</f>
        <v>West</v>
      </c>
      <c r="F148">
        <v>1008</v>
      </c>
      <c r="G148" s="9">
        <f>_xlfn.XLOOKUP(B148,customers!$A$1:$A$195,customers!$C$1:$C$195)</f>
        <v>45161</v>
      </c>
      <c r="H148" s="13" t="s">
        <v>412</v>
      </c>
      <c r="I148">
        <v>3</v>
      </c>
      <c r="J148">
        <v>707.28</v>
      </c>
      <c r="K148">
        <v>397.45</v>
      </c>
      <c r="L148">
        <f>_xlfn.XLOOKUP(F148,Products!$A$2:$A$51,Products!$D$2:$D$51,0)</f>
        <v>235.76</v>
      </c>
      <c r="M148">
        <f t="shared" si="2"/>
        <v>309.83</v>
      </c>
    </row>
    <row r="149" spans="1:13">
      <c r="A149" t="s">
        <v>414</v>
      </c>
      <c r="B149" t="s">
        <v>58</v>
      </c>
      <c r="C149" t="str">
        <f>_xlfn.XLOOKUP(F149,Products!$A$2:$A$51,Products!$C$2:$C$51,0)</f>
        <v>Grinders &amp; Brewers</v>
      </c>
      <c r="D149" t="str">
        <f>_xlfn.XLOOKUP(F149,Products!$A$2:$A$51,Products!$B$2:$B$51,0)</f>
        <v>Automated Drip Brewer</v>
      </c>
      <c r="E149" t="str">
        <f>_xlfn.XLOOKUP(B149,customers!$A$2:$A$195,customers!$B$2:$B$195,,0)</f>
        <v>East</v>
      </c>
      <c r="F149">
        <v>1008</v>
      </c>
      <c r="G149" s="9">
        <f>_xlfn.XLOOKUP(B149,customers!$A$1:$A$195,customers!$C$1:$C$195)</f>
        <v>45287</v>
      </c>
      <c r="H149" s="13" t="s">
        <v>412</v>
      </c>
      <c r="I149">
        <v>3</v>
      </c>
      <c r="J149">
        <v>707.28</v>
      </c>
      <c r="K149">
        <v>397.45</v>
      </c>
      <c r="L149">
        <f>_xlfn.XLOOKUP(F149,Products!$A$2:$A$51,Products!$D$2:$D$51,0)</f>
        <v>235.76</v>
      </c>
      <c r="M149">
        <f t="shared" si="2"/>
        <v>309.83</v>
      </c>
    </row>
    <row r="150" spans="1:13">
      <c r="A150" t="s">
        <v>415</v>
      </c>
      <c r="B150" t="s">
        <v>71</v>
      </c>
      <c r="C150" t="str">
        <f>_xlfn.XLOOKUP(F150,Products!$A$2:$A$51,Products!$C$2:$C$51,0)</f>
        <v>Merchandise</v>
      </c>
      <c r="D150" t="str">
        <f>_xlfn.XLOOKUP(F150,Products!$A$2:$A$51,Products!$B$2:$B$51,0)</f>
        <v>Insulated Travel Tumbler</v>
      </c>
      <c r="E150" t="str">
        <f>_xlfn.XLOOKUP(B150,customers!$A$2:$A$195,customers!$B$2:$B$195,,0)</f>
        <v>South</v>
      </c>
      <c r="F150">
        <v>1043</v>
      </c>
      <c r="G150" s="9">
        <f>_xlfn.XLOOKUP(B150,customers!$A$1:$A$195,customers!$C$1:$C$195)</f>
        <v>44993</v>
      </c>
      <c r="H150" s="13" t="s">
        <v>412</v>
      </c>
      <c r="I150">
        <v>4</v>
      </c>
      <c r="J150">
        <v>173.12</v>
      </c>
      <c r="K150">
        <v>83.29</v>
      </c>
      <c r="L150">
        <f>_xlfn.XLOOKUP(F150,Products!$A$2:$A$51,Products!$D$2:$D$51,0)</f>
        <v>43.28</v>
      </c>
      <c r="M150">
        <f t="shared" si="2"/>
        <v>89.83</v>
      </c>
    </row>
    <row r="151" spans="1:13">
      <c r="A151" t="s">
        <v>416</v>
      </c>
      <c r="B151" t="s">
        <v>133</v>
      </c>
      <c r="C151" t="str">
        <f>_xlfn.XLOOKUP(F151,Products!$A$2:$A$51,Products!$C$2:$C$51,0)</f>
        <v>Grinders &amp; Brewers</v>
      </c>
      <c r="D151" t="str">
        <f>_xlfn.XLOOKUP(F151,Products!$A$2:$A$51,Products!$B$2:$B$51,0)</f>
        <v>Automated Drip Brewer</v>
      </c>
      <c r="E151" t="str">
        <f>_xlfn.XLOOKUP(B151,customers!$A$2:$A$195,customers!$B$2:$B$195,,0)</f>
        <v>West</v>
      </c>
      <c r="F151">
        <v>1033</v>
      </c>
      <c r="G151" s="9">
        <f>_xlfn.XLOOKUP(B151,customers!$A$1:$A$195,customers!$C$1:$C$195)</f>
        <v>45248</v>
      </c>
      <c r="H151" s="13" t="s">
        <v>412</v>
      </c>
      <c r="I151">
        <v>4</v>
      </c>
      <c r="J151">
        <v>943.04</v>
      </c>
      <c r="K151">
        <v>529.94</v>
      </c>
      <c r="L151">
        <f>_xlfn.XLOOKUP(F151,Products!$A$2:$A$51,Products!$D$2:$D$51,0)</f>
        <v>235.76</v>
      </c>
      <c r="M151">
        <f t="shared" si="2"/>
        <v>413.1</v>
      </c>
    </row>
    <row r="152" spans="1:13">
      <c r="A152" t="s">
        <v>417</v>
      </c>
      <c r="B152" t="s">
        <v>153</v>
      </c>
      <c r="C152" t="str">
        <f>_xlfn.XLOOKUP(F152,Products!$A$2:$A$51,Products!$C$2:$C$51,0)</f>
        <v>Consumables</v>
      </c>
      <c r="D152" t="str">
        <f>_xlfn.XLOOKUP(F152,Products!$A$2:$A$51,Products!$B$2:$B$51,0)</f>
        <v>Single-Origin Ethiopian (250g)</v>
      </c>
      <c r="E152" t="str">
        <f>_xlfn.XLOOKUP(B152,customers!$A$2:$A$195,customers!$B$2:$B$195,,0)</f>
        <v>East</v>
      </c>
      <c r="F152">
        <v>1001</v>
      </c>
      <c r="G152" s="9">
        <f>_xlfn.XLOOKUP(B152,customers!$A$1:$A$195,customers!$C$1:$C$195)</f>
        <v>44999</v>
      </c>
      <c r="H152" s="13" t="s">
        <v>412</v>
      </c>
      <c r="I152">
        <v>3</v>
      </c>
      <c r="J152">
        <v>58.47</v>
      </c>
      <c r="K152">
        <v>38.12</v>
      </c>
      <c r="L152">
        <f>_xlfn.XLOOKUP(F152,Products!$A$2:$A$51,Products!$D$2:$D$51,0)</f>
        <v>19.49</v>
      </c>
      <c r="M152">
        <f t="shared" si="2"/>
        <v>20.35</v>
      </c>
    </row>
    <row r="153" spans="1:13">
      <c r="A153" t="s">
        <v>418</v>
      </c>
      <c r="B153" t="s">
        <v>179</v>
      </c>
      <c r="C153" t="str">
        <f>_xlfn.XLOOKUP(F153,Products!$A$2:$A$51,Products!$C$2:$C$51,0)</f>
        <v>Merchandise</v>
      </c>
      <c r="D153" t="str">
        <f>_xlfn.XLOOKUP(F153,Products!$A$2:$A$51,Products!$B$2:$B$51,0)</f>
        <v>Branded Ceramic Mug (Large)</v>
      </c>
      <c r="E153" t="str">
        <f>_xlfn.XLOOKUP(B153,customers!$A$2:$A$195,customers!$B$2:$B$195,,0)</f>
        <v>South</v>
      </c>
      <c r="F153">
        <v>1016</v>
      </c>
      <c r="G153" s="9">
        <f>_xlfn.XLOOKUP(B153,customers!$A$1:$A$195,customers!$C$1:$C$195)</f>
        <v>45221</v>
      </c>
      <c r="H153" s="13" t="s">
        <v>412</v>
      </c>
      <c r="I153">
        <v>4</v>
      </c>
      <c r="J153">
        <v>172.8</v>
      </c>
      <c r="K153">
        <v>124.43</v>
      </c>
      <c r="L153">
        <f>_xlfn.XLOOKUP(F153,Products!$A$2:$A$51,Products!$D$2:$D$51,0)</f>
        <v>43.2</v>
      </c>
      <c r="M153">
        <f t="shared" si="2"/>
        <v>48.37</v>
      </c>
    </row>
    <row r="154" spans="1:13">
      <c r="A154" t="s">
        <v>419</v>
      </c>
      <c r="B154" t="s">
        <v>199</v>
      </c>
      <c r="C154" t="str">
        <f>_xlfn.XLOOKUP(F154,Products!$A$2:$A$51,Products!$C$2:$C$51,0)</f>
        <v>Subscriptions</v>
      </c>
      <c r="D154" t="str">
        <f>_xlfn.XLOOKUP(F154,Products!$A$2:$A$51,Products!$B$2:$B$51,0)</f>
        <v>Bi-Weekly Sampler Box</v>
      </c>
      <c r="E154" t="str">
        <f>_xlfn.XLOOKUP(B154,customers!$A$2:$A$195,customers!$B$2:$B$195,,0)</f>
        <v>South</v>
      </c>
      <c r="F154">
        <v>1022</v>
      </c>
      <c r="G154" s="9">
        <f>_xlfn.XLOOKUP(B154,customers!$A$1:$A$195,customers!$C$1:$C$195)</f>
        <v>45252</v>
      </c>
      <c r="H154" s="13" t="s">
        <v>412</v>
      </c>
      <c r="I154">
        <v>3</v>
      </c>
      <c r="J154">
        <v>266.31</v>
      </c>
      <c r="K154">
        <v>71.58</v>
      </c>
      <c r="L154">
        <f>_xlfn.XLOOKUP(F154,Products!$A$2:$A$51,Products!$D$2:$D$51,0)</f>
        <v>88.77</v>
      </c>
      <c r="M154">
        <f t="shared" si="2"/>
        <v>194.73</v>
      </c>
    </row>
    <row r="155" spans="1:13">
      <c r="A155" t="s">
        <v>420</v>
      </c>
      <c r="B155" t="s">
        <v>118</v>
      </c>
      <c r="C155" t="str">
        <f>_xlfn.XLOOKUP(F155,Products!$A$2:$A$51,Products!$C$2:$C$51,0)</f>
        <v>Merchandise</v>
      </c>
      <c r="D155" t="str">
        <f>_xlfn.XLOOKUP(F155,Products!$A$2:$A$51,Products!$B$2:$B$51,0)</f>
        <v>Daily Grind T-Shirt</v>
      </c>
      <c r="E155" t="str">
        <f>_xlfn.XLOOKUP(B155,customers!$A$2:$A$195,customers!$B$2:$B$195,,0)</f>
        <v>West</v>
      </c>
      <c r="F155">
        <v>1019</v>
      </c>
      <c r="G155" s="9">
        <f>_xlfn.XLOOKUP(B155,customers!$A$1:$A$195,customers!$C$1:$C$195)</f>
        <v>45218</v>
      </c>
      <c r="H155" s="13" t="s">
        <v>421</v>
      </c>
      <c r="I155">
        <v>1</v>
      </c>
      <c r="J155">
        <v>21.37</v>
      </c>
      <c r="K155">
        <v>8.26</v>
      </c>
      <c r="L155">
        <f>_xlfn.XLOOKUP(F155,Products!$A$2:$A$51,Products!$D$2:$D$51,0)</f>
        <v>21.37</v>
      </c>
      <c r="M155">
        <f t="shared" si="2"/>
        <v>13.11</v>
      </c>
    </row>
    <row r="156" spans="1:13">
      <c r="A156" t="s">
        <v>422</v>
      </c>
      <c r="B156" t="s">
        <v>157</v>
      </c>
      <c r="C156" t="str">
        <f>_xlfn.XLOOKUP(F156,Products!$A$2:$A$51,Products!$C$2:$C$51,0)</f>
        <v>Grinders &amp; Brewers</v>
      </c>
      <c r="D156" t="str">
        <f>_xlfn.XLOOKUP(F156,Products!$A$2:$A$51,Products!$B$2:$B$51,0)</f>
        <v>Precision Electric Grinder</v>
      </c>
      <c r="E156" t="str">
        <f>_xlfn.XLOOKUP(B156,customers!$A$2:$A$195,customers!$B$2:$B$195,,0)</f>
        <v>West</v>
      </c>
      <c r="F156">
        <v>1031</v>
      </c>
      <c r="G156" s="9">
        <f>_xlfn.XLOOKUP(B156,customers!$A$1:$A$195,customers!$C$1:$C$195)</f>
        <v>45216</v>
      </c>
      <c r="H156" s="13" t="s">
        <v>421</v>
      </c>
      <c r="I156">
        <v>1</v>
      </c>
      <c r="J156">
        <v>232.2</v>
      </c>
      <c r="K156">
        <v>78.39</v>
      </c>
      <c r="L156">
        <f>_xlfn.XLOOKUP(F156,Products!$A$2:$A$51,Products!$D$2:$D$51,0)</f>
        <v>232.2</v>
      </c>
      <c r="M156">
        <f t="shared" si="2"/>
        <v>153.81</v>
      </c>
    </row>
    <row r="157" spans="1:13">
      <c r="A157" t="s">
        <v>423</v>
      </c>
      <c r="B157" t="s">
        <v>186</v>
      </c>
      <c r="C157" t="str">
        <f>_xlfn.XLOOKUP(F157,Products!$A$2:$A$51,Products!$C$2:$C$51,0)</f>
        <v>Merchandise</v>
      </c>
      <c r="D157" t="str">
        <f>_xlfn.XLOOKUP(F157,Products!$A$2:$A$51,Products!$B$2:$B$51,0)</f>
        <v>Insulated Travel Tumbler</v>
      </c>
      <c r="E157" t="str">
        <f>_xlfn.XLOOKUP(B157,customers!$A$2:$A$195,customers!$B$2:$B$195,,0)</f>
        <v>West</v>
      </c>
      <c r="F157">
        <v>1043</v>
      </c>
      <c r="G157" s="9">
        <f>_xlfn.XLOOKUP(B157,customers!$A$1:$A$195,customers!$C$1:$C$195)</f>
        <v>45283</v>
      </c>
      <c r="H157" s="13" t="s">
        <v>421</v>
      </c>
      <c r="I157">
        <v>4</v>
      </c>
      <c r="J157">
        <v>173.12</v>
      </c>
      <c r="K157">
        <v>83.29</v>
      </c>
      <c r="L157">
        <f>_xlfn.XLOOKUP(F157,Products!$A$2:$A$51,Products!$D$2:$D$51,0)</f>
        <v>43.28</v>
      </c>
      <c r="M157">
        <f t="shared" si="2"/>
        <v>89.83</v>
      </c>
    </row>
    <row r="158" spans="1:13">
      <c r="A158" t="s">
        <v>424</v>
      </c>
      <c r="B158" t="s">
        <v>200</v>
      </c>
      <c r="C158" t="str">
        <f>_xlfn.XLOOKUP(F158,Products!$A$2:$A$51,Products!$C$2:$C$51,0)</f>
        <v>Accessories</v>
      </c>
      <c r="D158" t="str">
        <f>_xlfn.XLOOKUP(F158,Products!$A$2:$A$51,Products!$B$2:$B$51,0)</f>
        <v>Refillable Coffee Pods</v>
      </c>
      <c r="E158" t="str">
        <f>_xlfn.XLOOKUP(B158,customers!$A$2:$A$195,customers!$B$2:$B$195,,0)</f>
        <v>North</v>
      </c>
      <c r="F158">
        <v>1040</v>
      </c>
      <c r="G158" s="9">
        <f>_xlfn.XLOOKUP(B158,customers!$A$1:$A$195,customers!$C$1:$C$195)</f>
        <v>44947</v>
      </c>
      <c r="H158" s="13" t="s">
        <v>421</v>
      </c>
      <c r="I158">
        <v>2</v>
      </c>
      <c r="J158">
        <v>48.26</v>
      </c>
      <c r="K158">
        <v>18.59</v>
      </c>
      <c r="L158">
        <f>_xlfn.XLOOKUP(F158,Products!$A$2:$A$51,Products!$D$2:$D$51,0)</f>
        <v>24.13</v>
      </c>
      <c r="M158">
        <f t="shared" si="2"/>
        <v>29.67</v>
      </c>
    </row>
    <row r="159" spans="1:13">
      <c r="A159" t="s">
        <v>425</v>
      </c>
      <c r="B159" t="s">
        <v>75</v>
      </c>
      <c r="C159" t="str">
        <f>_xlfn.XLOOKUP(F159,Products!$A$2:$A$51,Products!$C$2:$C$51,0)</f>
        <v>Subscriptions</v>
      </c>
      <c r="D159" t="str">
        <f>_xlfn.XLOOKUP(F159,Products!$A$2:$A$51,Products!$B$2:$B$51,0)</f>
        <v>Monthly Dark Roast Subscription</v>
      </c>
      <c r="E159" t="str">
        <f>_xlfn.XLOOKUP(B159,customers!$A$2:$A$195,customers!$B$2:$B$195,,0)</f>
        <v>East</v>
      </c>
      <c r="F159">
        <v>1021</v>
      </c>
      <c r="G159" s="9">
        <f>_xlfn.XLOOKUP(B159,customers!$A$1:$A$195,customers!$C$1:$C$195)</f>
        <v>45190</v>
      </c>
      <c r="H159" s="13" t="s">
        <v>426</v>
      </c>
      <c r="I159">
        <v>3</v>
      </c>
      <c r="J159">
        <v>183.78</v>
      </c>
      <c r="K159">
        <v>105.44</v>
      </c>
      <c r="L159">
        <f>_xlfn.XLOOKUP(F159,Products!$A$2:$A$51,Products!$D$2:$D$51,0)</f>
        <v>61.26</v>
      </c>
      <c r="M159">
        <f t="shared" si="2"/>
        <v>78.34</v>
      </c>
    </row>
    <row r="160" spans="1:13">
      <c r="A160" t="s">
        <v>427</v>
      </c>
      <c r="B160" t="s">
        <v>119</v>
      </c>
      <c r="C160" t="str">
        <f>_xlfn.XLOOKUP(F160,Products!$A$2:$A$51,Products!$C$2:$C$51,0)</f>
        <v>Merchandise</v>
      </c>
      <c r="D160" t="str">
        <f>_xlfn.XLOOKUP(F160,Products!$A$2:$A$51,Products!$B$2:$B$51,0)</f>
        <v>Minimalist Keychain</v>
      </c>
      <c r="E160" t="str">
        <f>_xlfn.XLOOKUP(B160,customers!$A$2:$A$195,customers!$B$2:$B$195,,0)</f>
        <v>West</v>
      </c>
      <c r="F160">
        <v>1020</v>
      </c>
      <c r="G160" s="9">
        <f>_xlfn.XLOOKUP(B160,customers!$A$1:$A$195,customers!$C$1:$C$195)</f>
        <v>44960</v>
      </c>
      <c r="H160" s="13" t="s">
        <v>426</v>
      </c>
      <c r="I160">
        <v>4</v>
      </c>
      <c r="J160">
        <v>109.48</v>
      </c>
      <c r="K160">
        <v>96.36</v>
      </c>
      <c r="L160">
        <f>_xlfn.XLOOKUP(F160,Products!$A$2:$A$51,Products!$D$2:$D$51,0)</f>
        <v>27.37</v>
      </c>
      <c r="M160">
        <f t="shared" si="2"/>
        <v>13.12</v>
      </c>
    </row>
    <row r="161" spans="1:13">
      <c r="A161" t="s">
        <v>428</v>
      </c>
      <c r="B161" t="s">
        <v>160</v>
      </c>
      <c r="C161" t="str">
        <f>_xlfn.XLOOKUP(F161,Products!$A$2:$A$51,Products!$C$2:$C$51,0)</f>
        <v>Consumables</v>
      </c>
      <c r="D161" t="str">
        <f>_xlfn.XLOOKUP(F161,Products!$A$2:$A$51,Products!$B$2:$B$51,0)</f>
        <v>Decaf Blend (1kg)</v>
      </c>
      <c r="E161" t="str">
        <f>_xlfn.XLOOKUP(B161,customers!$A$2:$A$195,customers!$B$2:$B$195,,0)</f>
        <v>East</v>
      </c>
      <c r="F161">
        <v>1003</v>
      </c>
      <c r="G161" s="9">
        <f>_xlfn.XLOOKUP(B161,customers!$A$1:$A$195,customers!$C$1:$C$195)</f>
        <v>45087</v>
      </c>
      <c r="H161" s="13" t="s">
        <v>426</v>
      </c>
      <c r="I161">
        <v>2</v>
      </c>
      <c r="J161">
        <v>80.7</v>
      </c>
      <c r="K161">
        <v>25.72</v>
      </c>
      <c r="L161">
        <f>_xlfn.XLOOKUP(F161,Products!$A$2:$A$51,Products!$D$2:$D$51,0)</f>
        <v>40.35</v>
      </c>
      <c r="M161">
        <f t="shared" si="2"/>
        <v>54.98</v>
      </c>
    </row>
    <row r="162" spans="1:13">
      <c r="A162" t="s">
        <v>429</v>
      </c>
      <c r="B162" t="s">
        <v>182</v>
      </c>
      <c r="C162" t="str">
        <f>_xlfn.XLOOKUP(F162,Products!$A$2:$A$51,Products!$C$2:$C$51,0)</f>
        <v>Consumables</v>
      </c>
      <c r="D162" t="str">
        <f>_xlfn.XLOOKUP(F162,Products!$A$2:$A$51,Products!$B$2:$B$51,0)</f>
        <v>Espresso Bean Sampler Pack</v>
      </c>
      <c r="E162" t="str">
        <f>_xlfn.XLOOKUP(B162,customers!$A$2:$A$195,customers!$B$2:$B$195,,0)</f>
        <v>East</v>
      </c>
      <c r="F162">
        <v>1005</v>
      </c>
      <c r="G162" s="9">
        <f>_xlfn.XLOOKUP(B162,customers!$A$1:$A$195,customers!$C$1:$C$195)</f>
        <v>44998</v>
      </c>
      <c r="H162" s="13" t="s">
        <v>426</v>
      </c>
      <c r="I162">
        <v>3</v>
      </c>
      <c r="J162">
        <v>57.18</v>
      </c>
      <c r="K162">
        <v>35.9</v>
      </c>
      <c r="L162">
        <f>_xlfn.XLOOKUP(F162,Products!$A$2:$A$51,Products!$D$2:$D$51,0)</f>
        <v>19.06</v>
      </c>
      <c r="M162">
        <f t="shared" si="2"/>
        <v>21.28</v>
      </c>
    </row>
    <row r="163" spans="1:13">
      <c r="A163" t="s">
        <v>430</v>
      </c>
      <c r="B163" t="s">
        <v>31</v>
      </c>
      <c r="C163" t="str">
        <f>_xlfn.XLOOKUP(F163,Products!$A$2:$A$51,Products!$C$2:$C$51,0)</f>
        <v>Consumables</v>
      </c>
      <c r="D163" t="str">
        <f>_xlfn.XLOOKUP(F163,Products!$A$2:$A$51,Products!$B$2:$B$51,0)</f>
        <v>Single-Origin Ethiopian (250g)</v>
      </c>
      <c r="E163" t="str">
        <f>_xlfn.XLOOKUP(B163,customers!$A$2:$A$195,customers!$B$2:$B$195,,0)</f>
        <v>West</v>
      </c>
      <c r="F163">
        <v>1001</v>
      </c>
      <c r="G163" s="9">
        <f>_xlfn.XLOOKUP(B163,customers!$A$1:$A$195,customers!$C$1:$C$195)</f>
        <v>44959</v>
      </c>
      <c r="H163" s="13" t="s">
        <v>431</v>
      </c>
      <c r="I163">
        <v>3</v>
      </c>
      <c r="J163">
        <v>58.47</v>
      </c>
      <c r="K163">
        <v>38.12</v>
      </c>
      <c r="L163">
        <f>_xlfn.XLOOKUP(F163,Products!$A$2:$A$51,Products!$D$2:$D$51,0)</f>
        <v>19.49</v>
      </c>
      <c r="M163">
        <f t="shared" si="2"/>
        <v>20.35</v>
      </c>
    </row>
    <row r="164" spans="1:13">
      <c r="A164" t="s">
        <v>432</v>
      </c>
      <c r="B164" t="s">
        <v>52</v>
      </c>
      <c r="C164" t="str">
        <f>_xlfn.XLOOKUP(F164,Products!$A$2:$A$51,Products!$C$2:$C$51,0)</f>
        <v>Consumables</v>
      </c>
      <c r="D164" t="str">
        <f>_xlfn.XLOOKUP(F164,Products!$A$2:$A$51,Products!$B$2:$B$51,0)</f>
        <v>Single-Origin Ethiopian (250g)</v>
      </c>
      <c r="E164" t="str">
        <f>_xlfn.XLOOKUP(B164,customers!$A$2:$A$195,customers!$B$2:$B$195,,0)</f>
        <v>East</v>
      </c>
      <c r="F164">
        <v>1026</v>
      </c>
      <c r="G164" s="9">
        <f>_xlfn.XLOOKUP(B164,customers!$A$1:$A$195,customers!$C$1:$C$195)</f>
        <v>45129</v>
      </c>
      <c r="H164" s="13" t="s">
        <v>431</v>
      </c>
      <c r="I164">
        <v>4</v>
      </c>
      <c r="J164">
        <v>77.96</v>
      </c>
      <c r="K164">
        <v>50.82</v>
      </c>
      <c r="L164">
        <f>_xlfn.XLOOKUP(F164,Products!$A$2:$A$51,Products!$D$2:$D$51,0)</f>
        <v>19.49</v>
      </c>
      <c r="M164">
        <f t="shared" si="2"/>
        <v>27.14</v>
      </c>
    </row>
    <row r="165" spans="1:13">
      <c r="A165" t="s">
        <v>433</v>
      </c>
      <c r="B165" t="s">
        <v>101</v>
      </c>
      <c r="C165" t="str">
        <f>_xlfn.XLOOKUP(F165,Products!$A$2:$A$51,Products!$C$2:$C$51,0)</f>
        <v>Grinders &amp; Brewers</v>
      </c>
      <c r="D165" t="str">
        <f>_xlfn.XLOOKUP(F165,Products!$A$2:$A$51,Products!$B$2:$B$51,0)</f>
        <v>High-Capacity French Press</v>
      </c>
      <c r="E165" t="str">
        <f>_xlfn.XLOOKUP(B165,customers!$A$2:$A$195,customers!$B$2:$B$195,,0)</f>
        <v>North</v>
      </c>
      <c r="F165">
        <v>1034</v>
      </c>
      <c r="G165" s="9">
        <f>_xlfn.XLOOKUP(B165,customers!$A$1:$A$195,customers!$C$1:$C$195)</f>
        <v>45160</v>
      </c>
      <c r="H165" s="13" t="s">
        <v>431</v>
      </c>
      <c r="I165">
        <v>2</v>
      </c>
      <c r="J165">
        <v>676.72</v>
      </c>
      <c r="K165">
        <v>296.34</v>
      </c>
      <c r="L165">
        <f>_xlfn.XLOOKUP(F165,Products!$A$2:$A$51,Products!$D$2:$D$51,0)</f>
        <v>338.36</v>
      </c>
      <c r="M165">
        <f t="shared" si="2"/>
        <v>380.38</v>
      </c>
    </row>
    <row r="166" spans="1:13">
      <c r="A166" t="s">
        <v>434</v>
      </c>
      <c r="B166" t="s">
        <v>166</v>
      </c>
      <c r="C166" t="str">
        <f>_xlfn.XLOOKUP(F166,Products!$A$2:$A$51,Products!$C$2:$C$51,0)</f>
        <v>Grinders &amp; Brewers</v>
      </c>
      <c r="D166" t="str">
        <f>_xlfn.XLOOKUP(F166,Products!$A$2:$A$51,Products!$B$2:$B$51,0)</f>
        <v>Automated Drip Brewer</v>
      </c>
      <c r="E166" t="str">
        <f>_xlfn.XLOOKUP(B166,customers!$A$2:$A$195,customers!$B$2:$B$195,,0)</f>
        <v>North</v>
      </c>
      <c r="F166">
        <v>1008</v>
      </c>
      <c r="G166" s="9">
        <f>_xlfn.XLOOKUP(B166,customers!$A$1:$A$195,customers!$C$1:$C$195)</f>
        <v>45164</v>
      </c>
      <c r="H166" s="13" t="s">
        <v>431</v>
      </c>
      <c r="I166">
        <v>2</v>
      </c>
      <c r="J166">
        <v>471.52</v>
      </c>
      <c r="K166">
        <v>264.97</v>
      </c>
      <c r="L166">
        <f>_xlfn.XLOOKUP(F166,Products!$A$2:$A$51,Products!$D$2:$D$51,0)</f>
        <v>235.76</v>
      </c>
      <c r="M166">
        <f t="shared" si="2"/>
        <v>206.55</v>
      </c>
    </row>
    <row r="167" spans="1:13">
      <c r="A167" t="s">
        <v>435</v>
      </c>
      <c r="B167" t="s">
        <v>72</v>
      </c>
      <c r="C167" t="str">
        <f>_xlfn.XLOOKUP(F167,Products!$A$2:$A$51,Products!$C$2:$C$51,0)</f>
        <v>Merchandise</v>
      </c>
      <c r="D167" t="str">
        <f>_xlfn.XLOOKUP(F167,Products!$A$2:$A$51,Products!$B$2:$B$51,0)</f>
        <v>Daily Grind T-Shirt</v>
      </c>
      <c r="E167" t="str">
        <f>_xlfn.XLOOKUP(B167,customers!$A$2:$A$195,customers!$B$2:$B$195,,0)</f>
        <v>South</v>
      </c>
      <c r="F167">
        <v>1044</v>
      </c>
      <c r="G167" s="9">
        <f>_xlfn.XLOOKUP(B167,customers!$A$1:$A$195,customers!$C$1:$C$195)</f>
        <v>45136</v>
      </c>
      <c r="H167" s="13" t="s">
        <v>436</v>
      </c>
      <c r="I167">
        <v>3</v>
      </c>
      <c r="J167">
        <v>64.11</v>
      </c>
      <c r="K167">
        <v>24.78</v>
      </c>
      <c r="L167">
        <f>_xlfn.XLOOKUP(F167,Products!$A$2:$A$51,Products!$D$2:$D$51,0)</f>
        <v>21.37</v>
      </c>
      <c r="M167">
        <f t="shared" si="2"/>
        <v>39.33</v>
      </c>
    </row>
    <row r="168" spans="1:13">
      <c r="A168" t="s">
        <v>437</v>
      </c>
      <c r="B168" t="s">
        <v>179</v>
      </c>
      <c r="C168" t="str">
        <f>_xlfn.XLOOKUP(F168,Products!$A$2:$A$51,Products!$C$2:$C$51,0)</f>
        <v>Accessories</v>
      </c>
      <c r="D168" t="str">
        <f>_xlfn.XLOOKUP(F168,Products!$A$2:$A$51,Products!$B$2:$B$51,0)</f>
        <v>Chemex Filters (100 pack)</v>
      </c>
      <c r="E168" t="str">
        <f>_xlfn.XLOOKUP(B168,customers!$A$2:$A$195,customers!$B$2:$B$195,,0)</f>
        <v>South</v>
      </c>
      <c r="F168">
        <v>1039</v>
      </c>
      <c r="G168" s="9">
        <f>_xlfn.XLOOKUP(B168,customers!$A$1:$A$195,customers!$C$1:$C$195)</f>
        <v>45221</v>
      </c>
      <c r="H168" s="13" t="s">
        <v>436</v>
      </c>
      <c r="I168">
        <v>4</v>
      </c>
      <c r="J168">
        <v>96.4</v>
      </c>
      <c r="K168">
        <v>84.83</v>
      </c>
      <c r="L168">
        <f>_xlfn.XLOOKUP(F168,Products!$A$2:$A$51,Products!$D$2:$D$51,0)</f>
        <v>24.1</v>
      </c>
      <c r="M168">
        <f t="shared" si="2"/>
        <v>11.57</v>
      </c>
    </row>
    <row r="169" spans="1:13">
      <c r="A169" t="s">
        <v>438</v>
      </c>
      <c r="B169" t="s">
        <v>14</v>
      </c>
      <c r="C169" t="str">
        <f>_xlfn.XLOOKUP(F169,Products!$A$2:$A$51,Products!$C$2:$C$51,0)</f>
        <v>Merchandise</v>
      </c>
      <c r="D169" t="str">
        <f>_xlfn.XLOOKUP(F169,Products!$A$2:$A$51,Products!$B$2:$B$51,0)</f>
        <v>Daily Grind T-Shirt</v>
      </c>
      <c r="E169" t="str">
        <f>_xlfn.XLOOKUP(B169,customers!$A$2:$A$195,customers!$B$2:$B$195,,0)</f>
        <v>West</v>
      </c>
      <c r="F169">
        <v>1044</v>
      </c>
      <c r="G169" s="9">
        <f>_xlfn.XLOOKUP(B169,customers!$A$1:$A$195,customers!$C$1:$C$195)</f>
        <v>45134</v>
      </c>
      <c r="H169" s="13" t="s">
        <v>439</v>
      </c>
      <c r="I169">
        <v>2</v>
      </c>
      <c r="J169">
        <v>42.74</v>
      </c>
      <c r="K169">
        <v>16.52</v>
      </c>
      <c r="L169">
        <f>_xlfn.XLOOKUP(F169,Products!$A$2:$A$51,Products!$D$2:$D$51,0)</f>
        <v>21.37</v>
      </c>
      <c r="M169">
        <f t="shared" si="2"/>
        <v>26.22</v>
      </c>
    </row>
    <row r="170" spans="1:13">
      <c r="A170" t="s">
        <v>440</v>
      </c>
      <c r="B170" t="s">
        <v>31</v>
      </c>
      <c r="C170" t="str">
        <f>_xlfn.XLOOKUP(F170,Products!$A$2:$A$51,Products!$C$2:$C$51,0)</f>
        <v>Grinders &amp; Brewers</v>
      </c>
      <c r="D170" t="str">
        <f>_xlfn.XLOOKUP(F170,Products!$A$2:$A$51,Products!$B$2:$B$51,0)</f>
        <v>Hand Grinder (Travel Size)</v>
      </c>
      <c r="E170" t="str">
        <f>_xlfn.XLOOKUP(B170,customers!$A$2:$A$195,customers!$B$2:$B$195,,0)</f>
        <v>West</v>
      </c>
      <c r="F170">
        <v>1032</v>
      </c>
      <c r="G170" s="9">
        <f>_xlfn.XLOOKUP(B170,customers!$A$1:$A$195,customers!$C$1:$C$195)</f>
        <v>44959</v>
      </c>
      <c r="H170" s="13" t="s">
        <v>439</v>
      </c>
      <c r="I170">
        <v>4</v>
      </c>
      <c r="J170">
        <v>1018.88</v>
      </c>
      <c r="K170">
        <v>521.14</v>
      </c>
      <c r="L170">
        <f>_xlfn.XLOOKUP(F170,Products!$A$2:$A$51,Products!$D$2:$D$51,0)</f>
        <v>254.72</v>
      </c>
      <c r="M170">
        <f t="shared" si="2"/>
        <v>497.74</v>
      </c>
    </row>
    <row r="171" spans="1:13">
      <c r="A171" t="s">
        <v>441</v>
      </c>
      <c r="B171" t="s">
        <v>49</v>
      </c>
      <c r="C171" t="str">
        <f>_xlfn.XLOOKUP(F171,Products!$A$2:$A$51,Products!$C$2:$C$51,0)</f>
        <v>Subscriptions</v>
      </c>
      <c r="D171" t="str">
        <f>_xlfn.XLOOKUP(F171,Products!$A$2:$A$51,Products!$B$2:$B$51,0)</f>
        <v>Three-Month Gift Subscription</v>
      </c>
      <c r="E171" t="str">
        <f>_xlfn.XLOOKUP(B171,customers!$A$2:$A$195,customers!$B$2:$B$195,,0)</f>
        <v>West</v>
      </c>
      <c r="F171">
        <v>1023</v>
      </c>
      <c r="G171" s="9">
        <f>_xlfn.XLOOKUP(B171,customers!$A$1:$A$195,customers!$C$1:$C$195)</f>
        <v>45152</v>
      </c>
      <c r="H171" s="13" t="s">
        <v>439</v>
      </c>
      <c r="I171">
        <v>3</v>
      </c>
      <c r="J171">
        <v>195.63</v>
      </c>
      <c r="K171">
        <v>82.83</v>
      </c>
      <c r="L171">
        <f>_xlfn.XLOOKUP(F171,Products!$A$2:$A$51,Products!$D$2:$D$51,0)</f>
        <v>65.21</v>
      </c>
      <c r="M171">
        <f t="shared" si="2"/>
        <v>112.8</v>
      </c>
    </row>
    <row r="172" spans="1:13">
      <c r="A172" t="s">
        <v>442</v>
      </c>
      <c r="B172" t="s">
        <v>86</v>
      </c>
      <c r="C172" t="str">
        <f>_xlfn.XLOOKUP(F172,Products!$A$2:$A$51,Products!$C$2:$C$51,0)</f>
        <v>Consumables</v>
      </c>
      <c r="D172" t="str">
        <f>_xlfn.XLOOKUP(F172,Products!$A$2:$A$51,Products!$B$2:$B$51,0)</f>
        <v>Seasonal Blend Light Roast</v>
      </c>
      <c r="E172" t="str">
        <f>_xlfn.XLOOKUP(B172,customers!$A$2:$A$195,customers!$B$2:$B$195,,0)</f>
        <v>North</v>
      </c>
      <c r="F172">
        <v>1027</v>
      </c>
      <c r="G172" s="9">
        <f>_xlfn.XLOOKUP(B172,customers!$A$1:$A$195,customers!$C$1:$C$195)</f>
        <v>45227</v>
      </c>
      <c r="H172" s="13" t="s">
        <v>439</v>
      </c>
      <c r="I172">
        <v>3</v>
      </c>
      <c r="J172">
        <v>106.59</v>
      </c>
      <c r="K172">
        <v>17.79</v>
      </c>
      <c r="L172">
        <f>_xlfn.XLOOKUP(F172,Products!$A$2:$A$51,Products!$D$2:$D$51,0)</f>
        <v>35.53</v>
      </c>
      <c r="M172">
        <f t="shared" si="2"/>
        <v>88.8</v>
      </c>
    </row>
    <row r="173" spans="1:13">
      <c r="A173" t="s">
        <v>443</v>
      </c>
      <c r="B173" t="s">
        <v>149</v>
      </c>
      <c r="C173" t="str">
        <f>_xlfn.XLOOKUP(F173,Products!$A$2:$A$51,Products!$C$2:$C$51,0)</f>
        <v>Grinders &amp; Brewers</v>
      </c>
      <c r="D173" t="str">
        <f>_xlfn.XLOOKUP(F173,Products!$A$2:$A$51,Products!$B$2:$B$51,0)</f>
        <v>Pour-Over Starter Kit</v>
      </c>
      <c r="E173" t="str">
        <f>_xlfn.XLOOKUP(B173,customers!$A$2:$A$195,customers!$B$2:$B$195,,0)</f>
        <v>South</v>
      </c>
      <c r="F173">
        <v>1035</v>
      </c>
      <c r="G173" s="9">
        <f>_xlfn.XLOOKUP(B173,customers!$A$1:$A$195,customers!$C$1:$C$195)</f>
        <v>45054</v>
      </c>
      <c r="H173" s="13" t="s">
        <v>439</v>
      </c>
      <c r="I173">
        <v>2</v>
      </c>
      <c r="J173">
        <v>210.46</v>
      </c>
      <c r="K173">
        <v>149.49</v>
      </c>
      <c r="L173">
        <f>_xlfn.XLOOKUP(F173,Products!$A$2:$A$51,Products!$D$2:$D$51,0)</f>
        <v>105.23</v>
      </c>
      <c r="M173">
        <f t="shared" si="2"/>
        <v>60.97</v>
      </c>
    </row>
    <row r="174" spans="1:13">
      <c r="A174" t="s">
        <v>444</v>
      </c>
      <c r="B174" t="s">
        <v>30</v>
      </c>
      <c r="C174" t="str">
        <f>_xlfn.XLOOKUP(F174,Products!$A$2:$A$51,Products!$C$2:$C$51,0)</f>
        <v>Subscriptions</v>
      </c>
      <c r="D174" t="str">
        <f>_xlfn.XLOOKUP(F174,Products!$A$2:$A$51,Products!$B$2:$B$51,0)</f>
        <v>Subscription Renewal Service</v>
      </c>
      <c r="E174" t="str">
        <f>_xlfn.XLOOKUP(B174,customers!$A$2:$A$195,customers!$B$2:$B$195,,0)</f>
        <v>East</v>
      </c>
      <c r="F174">
        <v>1025</v>
      </c>
      <c r="G174" s="9">
        <f>_xlfn.XLOOKUP(B174,customers!$A$1:$A$195,customers!$C$1:$C$195)</f>
        <v>45276</v>
      </c>
      <c r="H174" s="13" t="s">
        <v>445</v>
      </c>
      <c r="I174">
        <v>4</v>
      </c>
      <c r="J174">
        <v>293.64</v>
      </c>
      <c r="K174">
        <v>109.16</v>
      </c>
      <c r="L174">
        <f>_xlfn.XLOOKUP(F174,Products!$A$2:$A$51,Products!$D$2:$D$51,0)</f>
        <v>73.41</v>
      </c>
      <c r="M174">
        <f t="shared" si="2"/>
        <v>184.48</v>
      </c>
    </row>
    <row r="175" spans="1:13">
      <c r="A175" t="s">
        <v>446</v>
      </c>
      <c r="B175" t="s">
        <v>83</v>
      </c>
      <c r="C175" t="str">
        <f>_xlfn.XLOOKUP(F175,Products!$A$2:$A$51,Products!$C$2:$C$51,0)</f>
        <v>Accessories</v>
      </c>
      <c r="D175" t="str">
        <f>_xlfn.XLOOKUP(F175,Products!$A$2:$A$51,Products!$B$2:$B$51,0)</f>
        <v>Digital Coffee Scale</v>
      </c>
      <c r="E175" t="str">
        <f>_xlfn.XLOOKUP(B175,customers!$A$2:$A$195,customers!$B$2:$B$195,,0)</f>
        <v>West</v>
      </c>
      <c r="F175">
        <v>1011</v>
      </c>
      <c r="G175" s="9">
        <f>_xlfn.XLOOKUP(B175,customers!$A$1:$A$195,customers!$C$1:$C$195)</f>
        <v>45277</v>
      </c>
      <c r="H175" s="13" t="s">
        <v>445</v>
      </c>
      <c r="I175">
        <v>1</v>
      </c>
      <c r="J175">
        <v>26.83</v>
      </c>
      <c r="K175">
        <v>14.65</v>
      </c>
      <c r="L175">
        <f>_xlfn.XLOOKUP(F175,Products!$A$2:$A$51,Products!$D$2:$D$51,0)</f>
        <v>26.83</v>
      </c>
      <c r="M175">
        <f t="shared" si="2"/>
        <v>12.18</v>
      </c>
    </row>
    <row r="176" spans="1:13">
      <c r="A176" t="s">
        <v>447</v>
      </c>
      <c r="B176" t="s">
        <v>130</v>
      </c>
      <c r="C176" t="str">
        <f>_xlfn.XLOOKUP(F176,Products!$A$2:$A$51,Products!$C$2:$C$51,0)</f>
        <v>Subscriptions</v>
      </c>
      <c r="D176" t="str">
        <f>_xlfn.XLOOKUP(F176,Products!$A$2:$A$51,Products!$B$2:$B$51,0)</f>
        <v>Subscription Renewal Service</v>
      </c>
      <c r="E176" t="str">
        <f>_xlfn.XLOOKUP(B176,customers!$A$2:$A$195,customers!$B$2:$B$195,,0)</f>
        <v>East</v>
      </c>
      <c r="F176">
        <v>1050</v>
      </c>
      <c r="G176" s="9">
        <f>_xlfn.XLOOKUP(B176,customers!$A$1:$A$195,customers!$C$1:$C$195)</f>
        <v>45241</v>
      </c>
      <c r="H176" s="13" t="s">
        <v>445</v>
      </c>
      <c r="I176">
        <v>4</v>
      </c>
      <c r="J176">
        <v>293.64</v>
      </c>
      <c r="K176">
        <v>109.16</v>
      </c>
      <c r="L176">
        <f>_xlfn.XLOOKUP(F176,Products!$A$2:$A$51,Products!$D$2:$D$51,0)</f>
        <v>73.41</v>
      </c>
      <c r="M176">
        <f t="shared" si="2"/>
        <v>184.48</v>
      </c>
    </row>
    <row r="177" spans="1:13">
      <c r="A177" t="s">
        <v>448</v>
      </c>
      <c r="B177" t="s">
        <v>133</v>
      </c>
      <c r="C177" t="str">
        <f>_xlfn.XLOOKUP(F177,Products!$A$2:$A$51,Products!$C$2:$C$51,0)</f>
        <v>Consumables</v>
      </c>
      <c r="D177" t="str">
        <f>_xlfn.XLOOKUP(F177,Products!$A$2:$A$51,Products!$B$2:$B$51,0)</f>
        <v>Espresso Bean Sampler Pack</v>
      </c>
      <c r="E177" t="str">
        <f>_xlfn.XLOOKUP(B177,customers!$A$2:$A$195,customers!$B$2:$B$195,,0)</f>
        <v>West</v>
      </c>
      <c r="F177">
        <v>1030</v>
      </c>
      <c r="G177" s="9">
        <f>_xlfn.XLOOKUP(B177,customers!$A$1:$A$195,customers!$C$1:$C$195)</f>
        <v>45248</v>
      </c>
      <c r="H177" s="13" t="s">
        <v>445</v>
      </c>
      <c r="I177">
        <v>4</v>
      </c>
      <c r="J177">
        <v>76.24</v>
      </c>
      <c r="K177">
        <v>47.87</v>
      </c>
      <c r="L177">
        <f>_xlfn.XLOOKUP(F177,Products!$A$2:$A$51,Products!$D$2:$D$51,0)</f>
        <v>19.06</v>
      </c>
      <c r="M177">
        <f t="shared" si="2"/>
        <v>28.37</v>
      </c>
    </row>
    <row r="178" spans="1:13">
      <c r="A178" t="s">
        <v>449</v>
      </c>
      <c r="B178" t="s">
        <v>147</v>
      </c>
      <c r="C178" t="str">
        <f>_xlfn.XLOOKUP(F178,Products!$A$2:$A$51,Products!$C$2:$C$51,0)</f>
        <v>Merchandise</v>
      </c>
      <c r="D178" t="str">
        <f>_xlfn.XLOOKUP(F178,Products!$A$2:$A$51,Products!$B$2:$B$51,0)</f>
        <v>Minimalist Keychain</v>
      </c>
      <c r="E178" t="str">
        <f>_xlfn.XLOOKUP(B178,customers!$A$2:$A$195,customers!$B$2:$B$195,,0)</f>
        <v>West</v>
      </c>
      <c r="F178">
        <v>1045</v>
      </c>
      <c r="G178" s="9">
        <f>_xlfn.XLOOKUP(B178,customers!$A$1:$A$195,customers!$C$1:$C$195)</f>
        <v>45228</v>
      </c>
      <c r="H178" s="13" t="s">
        <v>445</v>
      </c>
      <c r="I178">
        <v>1</v>
      </c>
      <c r="J178">
        <v>27.37</v>
      </c>
      <c r="K178">
        <v>24.09</v>
      </c>
      <c r="L178">
        <f>_xlfn.XLOOKUP(F178,Products!$A$2:$A$51,Products!$D$2:$D$51,0)</f>
        <v>27.37</v>
      </c>
      <c r="M178">
        <f t="shared" si="2"/>
        <v>3.28</v>
      </c>
    </row>
    <row r="179" spans="1:13">
      <c r="A179" t="s">
        <v>450</v>
      </c>
      <c r="B179" t="s">
        <v>192</v>
      </c>
      <c r="C179" t="str">
        <f>_xlfn.XLOOKUP(F179,Products!$A$2:$A$51,Products!$C$2:$C$51,0)</f>
        <v>Accessories</v>
      </c>
      <c r="D179" t="str">
        <f>_xlfn.XLOOKUP(F179,Products!$A$2:$A$51,Products!$B$2:$B$51,0)</f>
        <v>Chemex Filters (100 pack)</v>
      </c>
      <c r="E179" t="str">
        <f>_xlfn.XLOOKUP(B179,customers!$A$2:$A$195,customers!$B$2:$B$195,,0)</f>
        <v>North</v>
      </c>
      <c r="F179">
        <v>1014</v>
      </c>
      <c r="G179" s="9">
        <f>_xlfn.XLOOKUP(B179,customers!$A$1:$A$195,customers!$C$1:$C$195)</f>
        <v>45234</v>
      </c>
      <c r="H179" s="13" t="s">
        <v>445</v>
      </c>
      <c r="I179">
        <v>2</v>
      </c>
      <c r="J179">
        <v>48.2</v>
      </c>
      <c r="K179">
        <v>42.42</v>
      </c>
      <c r="L179">
        <f>_xlfn.XLOOKUP(F179,Products!$A$2:$A$51,Products!$D$2:$D$51,0)</f>
        <v>24.1</v>
      </c>
      <c r="M179">
        <f t="shared" si="2"/>
        <v>5.78</v>
      </c>
    </row>
    <row r="180" spans="1:13">
      <c r="A180" t="s">
        <v>451</v>
      </c>
      <c r="B180" t="s">
        <v>110</v>
      </c>
      <c r="C180" t="str">
        <f>_xlfn.XLOOKUP(F180,Products!$A$2:$A$51,Products!$C$2:$C$51,0)</f>
        <v>Merchandise</v>
      </c>
      <c r="D180" t="str">
        <f>_xlfn.XLOOKUP(F180,Products!$A$2:$A$51,Products!$B$2:$B$51,0)</f>
        <v>Insulated Travel Tumbler</v>
      </c>
      <c r="E180" t="str">
        <f>_xlfn.XLOOKUP(B180,customers!$A$2:$A$195,customers!$B$2:$B$195,,0)</f>
        <v>North</v>
      </c>
      <c r="F180">
        <v>1018</v>
      </c>
      <c r="G180" s="9">
        <f>_xlfn.XLOOKUP(B180,customers!$A$1:$A$195,customers!$C$1:$C$195)</f>
        <v>45090</v>
      </c>
      <c r="H180" s="13">
        <v>45660</v>
      </c>
      <c r="I180">
        <v>2</v>
      </c>
      <c r="J180">
        <v>86.56</v>
      </c>
      <c r="K180">
        <v>41.65</v>
      </c>
      <c r="L180">
        <f>_xlfn.XLOOKUP(F180,Products!$A$2:$A$51,Products!$D$2:$D$51,0)</f>
        <v>43.28</v>
      </c>
      <c r="M180">
        <f t="shared" si="2"/>
        <v>44.91</v>
      </c>
    </row>
    <row r="181" spans="1:13">
      <c r="A181" t="s">
        <v>452</v>
      </c>
      <c r="B181" t="s">
        <v>44</v>
      </c>
      <c r="C181" t="str">
        <f>_xlfn.XLOOKUP(F181,Products!$A$2:$A$51,Products!$C$2:$C$51,0)</f>
        <v>Subscriptions</v>
      </c>
      <c r="D181" t="str">
        <f>_xlfn.XLOOKUP(F181,Products!$A$2:$A$51,Products!$B$2:$B$51,0)</f>
        <v>Subscription Renewal Service</v>
      </c>
      <c r="E181" t="str">
        <f>_xlfn.XLOOKUP(B181,customers!$A$2:$A$195,customers!$B$2:$B$195,,0)</f>
        <v>East</v>
      </c>
      <c r="F181">
        <v>1025</v>
      </c>
      <c r="G181" s="9">
        <f>_xlfn.XLOOKUP(B181,customers!$A$1:$A$195,customers!$C$1:$C$195)</f>
        <v>45171</v>
      </c>
      <c r="H181" s="13">
        <v>45691</v>
      </c>
      <c r="I181">
        <v>1</v>
      </c>
      <c r="J181">
        <v>73.41</v>
      </c>
      <c r="K181">
        <v>27.29</v>
      </c>
      <c r="L181">
        <f>_xlfn.XLOOKUP(F181,Products!$A$2:$A$51,Products!$D$2:$D$51,0)</f>
        <v>73.41</v>
      </c>
      <c r="M181">
        <f t="shared" si="2"/>
        <v>46.12</v>
      </c>
    </row>
    <row r="182" spans="1:13">
      <c r="A182" t="s">
        <v>453</v>
      </c>
      <c r="B182" t="s">
        <v>60</v>
      </c>
      <c r="C182" t="str">
        <f>_xlfn.XLOOKUP(F182,Products!$A$2:$A$51,Products!$C$2:$C$51,0)</f>
        <v>Accessories</v>
      </c>
      <c r="D182" t="str">
        <f>_xlfn.XLOOKUP(F182,Products!$A$2:$A$51,Products!$B$2:$B$51,0)</f>
        <v>Digital Coffee Scale</v>
      </c>
      <c r="E182" t="str">
        <f>_xlfn.XLOOKUP(B182,customers!$A$2:$A$195,customers!$B$2:$B$195,,0)</f>
        <v>West</v>
      </c>
      <c r="F182">
        <v>1011</v>
      </c>
      <c r="G182" s="9">
        <f>_xlfn.XLOOKUP(B182,customers!$A$1:$A$195,customers!$C$1:$C$195)</f>
        <v>44943</v>
      </c>
      <c r="H182" s="13">
        <v>45691</v>
      </c>
      <c r="I182">
        <v>2</v>
      </c>
      <c r="J182">
        <v>53.66</v>
      </c>
      <c r="K182">
        <v>29.3</v>
      </c>
      <c r="L182">
        <f>_xlfn.XLOOKUP(F182,Products!$A$2:$A$51,Products!$D$2:$D$51,0)</f>
        <v>26.83</v>
      </c>
      <c r="M182">
        <f t="shared" si="2"/>
        <v>24.36</v>
      </c>
    </row>
    <row r="183" spans="1:13">
      <c r="A183" t="s">
        <v>454</v>
      </c>
      <c r="B183" t="s">
        <v>102</v>
      </c>
      <c r="C183" t="str">
        <f>_xlfn.XLOOKUP(F183,Products!$A$2:$A$51,Products!$C$2:$C$51,0)</f>
        <v>Grinders &amp; Brewers</v>
      </c>
      <c r="D183" t="str">
        <f>_xlfn.XLOOKUP(F183,Products!$A$2:$A$51,Products!$B$2:$B$51,0)</f>
        <v>Hand Grinder (Travel Size)</v>
      </c>
      <c r="E183" t="str">
        <f>_xlfn.XLOOKUP(B183,customers!$A$2:$A$195,customers!$B$2:$B$195,,0)</f>
        <v>East</v>
      </c>
      <c r="F183">
        <v>1032</v>
      </c>
      <c r="G183" s="9">
        <f>_xlfn.XLOOKUP(B183,customers!$A$1:$A$195,customers!$C$1:$C$195)</f>
        <v>45149</v>
      </c>
      <c r="H183" s="13">
        <v>45691</v>
      </c>
      <c r="I183">
        <v>1</v>
      </c>
      <c r="J183">
        <v>254.72</v>
      </c>
      <c r="K183">
        <v>130.28</v>
      </c>
      <c r="L183">
        <f>_xlfn.XLOOKUP(F183,Products!$A$2:$A$51,Products!$D$2:$D$51,0)</f>
        <v>254.72</v>
      </c>
      <c r="M183">
        <f t="shared" si="2"/>
        <v>124.44</v>
      </c>
    </row>
    <row r="184" spans="1:13">
      <c r="A184" t="s">
        <v>455</v>
      </c>
      <c r="B184" t="s">
        <v>49</v>
      </c>
      <c r="C184" t="str">
        <f>_xlfn.XLOOKUP(F184,Products!$A$2:$A$51,Products!$C$2:$C$51,0)</f>
        <v>Consumables</v>
      </c>
      <c r="D184" t="str">
        <f>_xlfn.XLOOKUP(F184,Products!$A$2:$A$51,Products!$B$2:$B$51,0)</f>
        <v>Single-Origin Ethiopian (250g)</v>
      </c>
      <c r="E184" t="str">
        <f>_xlfn.XLOOKUP(B184,customers!$A$2:$A$195,customers!$B$2:$B$195,,0)</f>
        <v>West</v>
      </c>
      <c r="F184">
        <v>1001</v>
      </c>
      <c r="G184" s="9">
        <f>_xlfn.XLOOKUP(B184,customers!$A$1:$A$195,customers!$C$1:$C$195)</f>
        <v>45152</v>
      </c>
      <c r="H184" s="13">
        <v>45719</v>
      </c>
      <c r="I184">
        <v>4</v>
      </c>
      <c r="J184">
        <v>77.96</v>
      </c>
      <c r="K184">
        <v>50.82</v>
      </c>
      <c r="L184">
        <f>_xlfn.XLOOKUP(F184,Products!$A$2:$A$51,Products!$D$2:$D$51,0)</f>
        <v>19.49</v>
      </c>
      <c r="M184">
        <f t="shared" si="2"/>
        <v>27.14</v>
      </c>
    </row>
    <row r="185" spans="1:13">
      <c r="A185" t="s">
        <v>456</v>
      </c>
      <c r="B185" t="s">
        <v>200</v>
      </c>
      <c r="C185" t="str">
        <f>_xlfn.XLOOKUP(F185,Products!$A$2:$A$51,Products!$C$2:$C$51,0)</f>
        <v>Merchandise</v>
      </c>
      <c r="D185" t="str">
        <f>_xlfn.XLOOKUP(F185,Products!$A$2:$A$51,Products!$B$2:$B$51,0)</f>
        <v>Daily Grind T-Shirt</v>
      </c>
      <c r="E185" t="str">
        <f>_xlfn.XLOOKUP(B185,customers!$A$2:$A$195,customers!$B$2:$B$195,,0)</f>
        <v>North</v>
      </c>
      <c r="F185">
        <v>1019</v>
      </c>
      <c r="G185" s="9">
        <f>_xlfn.XLOOKUP(B185,customers!$A$1:$A$195,customers!$C$1:$C$195)</f>
        <v>44947</v>
      </c>
      <c r="H185" s="13">
        <v>45719</v>
      </c>
      <c r="I185">
        <v>1</v>
      </c>
      <c r="J185">
        <v>21.37</v>
      </c>
      <c r="K185">
        <v>8.26</v>
      </c>
      <c r="L185">
        <f>_xlfn.XLOOKUP(F185,Products!$A$2:$A$51,Products!$D$2:$D$51,0)</f>
        <v>21.37</v>
      </c>
      <c r="M185">
        <f t="shared" si="2"/>
        <v>13.11</v>
      </c>
    </row>
    <row r="186" spans="1:13">
      <c r="A186" t="s">
        <v>457</v>
      </c>
      <c r="B186" t="s">
        <v>84</v>
      </c>
      <c r="C186" t="str">
        <f>_xlfn.XLOOKUP(F186,Products!$A$2:$A$51,Products!$C$2:$C$51,0)</f>
        <v>Grinders &amp; Brewers</v>
      </c>
      <c r="D186" t="str">
        <f>_xlfn.XLOOKUP(F186,Products!$A$2:$A$51,Products!$B$2:$B$51,0)</f>
        <v>High-Capacity French Press</v>
      </c>
      <c r="E186" t="str">
        <f>_xlfn.XLOOKUP(B186,customers!$A$2:$A$195,customers!$B$2:$B$195,,0)</f>
        <v>South</v>
      </c>
      <c r="F186">
        <v>1034</v>
      </c>
      <c r="G186" s="9">
        <f>_xlfn.XLOOKUP(B186,customers!$A$1:$A$195,customers!$C$1:$C$195)</f>
        <v>45174</v>
      </c>
      <c r="H186" s="13">
        <v>45750</v>
      </c>
      <c r="I186">
        <v>4</v>
      </c>
      <c r="J186">
        <v>1353.44</v>
      </c>
      <c r="K186">
        <v>592.68</v>
      </c>
      <c r="L186">
        <f>_xlfn.XLOOKUP(F186,Products!$A$2:$A$51,Products!$D$2:$D$51,0)</f>
        <v>338.36</v>
      </c>
      <c r="M186">
        <f t="shared" si="2"/>
        <v>760.76</v>
      </c>
    </row>
    <row r="187" spans="1:13">
      <c r="A187" t="s">
        <v>458</v>
      </c>
      <c r="B187" t="s">
        <v>165</v>
      </c>
      <c r="C187" t="str">
        <f>_xlfn.XLOOKUP(F187,Products!$A$2:$A$51,Products!$C$2:$C$51,0)</f>
        <v>Grinders &amp; Brewers</v>
      </c>
      <c r="D187" t="str">
        <f>_xlfn.XLOOKUP(F187,Products!$A$2:$A$51,Products!$B$2:$B$51,0)</f>
        <v>Pour-Over Starter Kit</v>
      </c>
      <c r="E187" t="str">
        <f>_xlfn.XLOOKUP(B187,customers!$A$2:$A$195,customers!$B$2:$B$195,,0)</f>
        <v>West</v>
      </c>
      <c r="F187">
        <v>1010</v>
      </c>
      <c r="G187" s="9">
        <f>_xlfn.XLOOKUP(B187,customers!$A$1:$A$195,customers!$C$1:$C$195)</f>
        <v>45132</v>
      </c>
      <c r="H187" s="13">
        <v>45750</v>
      </c>
      <c r="I187">
        <v>2</v>
      </c>
      <c r="J187">
        <v>210.46</v>
      </c>
      <c r="K187">
        <v>149.49</v>
      </c>
      <c r="L187">
        <f>_xlfn.XLOOKUP(F187,Products!$A$2:$A$51,Products!$D$2:$D$51,0)</f>
        <v>105.23</v>
      </c>
      <c r="M187">
        <f t="shared" si="2"/>
        <v>60.97</v>
      </c>
    </row>
    <row r="188" spans="1:13">
      <c r="A188" t="s">
        <v>459</v>
      </c>
      <c r="B188" t="s">
        <v>78</v>
      </c>
      <c r="C188" t="str">
        <f>_xlfn.XLOOKUP(F188,Products!$A$2:$A$51,Products!$C$2:$C$51,0)</f>
        <v>Grinders &amp; Brewers</v>
      </c>
      <c r="D188" t="str">
        <f>_xlfn.XLOOKUP(F188,Products!$A$2:$A$51,Products!$B$2:$B$51,0)</f>
        <v>Hand Grinder (Travel Size)</v>
      </c>
      <c r="E188" t="str">
        <f>_xlfn.XLOOKUP(B188,customers!$A$2:$A$195,customers!$B$2:$B$195,,0)</f>
        <v>North</v>
      </c>
      <c r="F188">
        <v>1032</v>
      </c>
      <c r="G188" s="9">
        <f>_xlfn.XLOOKUP(B188,customers!$A$1:$A$195,customers!$C$1:$C$195)</f>
        <v>44961</v>
      </c>
      <c r="H188" s="13">
        <v>45780</v>
      </c>
      <c r="I188">
        <v>1</v>
      </c>
      <c r="J188">
        <v>254.72</v>
      </c>
      <c r="K188">
        <v>130.28</v>
      </c>
      <c r="L188">
        <f>_xlfn.XLOOKUP(F188,Products!$A$2:$A$51,Products!$D$2:$D$51,0)</f>
        <v>254.72</v>
      </c>
      <c r="M188">
        <f t="shared" si="2"/>
        <v>124.44</v>
      </c>
    </row>
    <row r="189" spans="1:13">
      <c r="A189" t="s">
        <v>460</v>
      </c>
      <c r="B189" t="s">
        <v>109</v>
      </c>
      <c r="C189" t="str">
        <f>_xlfn.XLOOKUP(F189,Products!$A$2:$A$51,Products!$C$2:$C$51,0)</f>
        <v>Grinders &amp; Brewers</v>
      </c>
      <c r="D189" t="str">
        <f>_xlfn.XLOOKUP(F189,Products!$A$2:$A$51,Products!$B$2:$B$51,0)</f>
        <v>Automated Drip Brewer</v>
      </c>
      <c r="E189" t="str">
        <f>_xlfn.XLOOKUP(B189,customers!$A$2:$A$195,customers!$B$2:$B$195,,0)</f>
        <v>North</v>
      </c>
      <c r="F189">
        <v>1033</v>
      </c>
      <c r="G189" s="9">
        <f>_xlfn.XLOOKUP(B189,customers!$A$1:$A$195,customers!$C$1:$C$195)</f>
        <v>45129</v>
      </c>
      <c r="H189" s="13">
        <v>45780</v>
      </c>
      <c r="I189">
        <v>3</v>
      </c>
      <c r="J189">
        <v>707.28</v>
      </c>
      <c r="K189">
        <v>397.45</v>
      </c>
      <c r="L189">
        <f>_xlfn.XLOOKUP(F189,Products!$A$2:$A$51,Products!$D$2:$D$51,0)</f>
        <v>235.76</v>
      </c>
      <c r="M189">
        <f t="shared" si="2"/>
        <v>309.83</v>
      </c>
    </row>
    <row r="190" spans="1:13">
      <c r="A190" t="s">
        <v>461</v>
      </c>
      <c r="B190" t="s">
        <v>14</v>
      </c>
      <c r="C190" t="str">
        <f>_xlfn.XLOOKUP(F190,Products!$A$2:$A$51,Products!$C$2:$C$51,0)</f>
        <v>Merchandise</v>
      </c>
      <c r="D190" t="str">
        <f>_xlfn.XLOOKUP(F190,Products!$A$2:$A$51,Products!$B$2:$B$51,0)</f>
        <v>Branded Ceramic Mug (Large)</v>
      </c>
      <c r="E190" t="str">
        <f>_xlfn.XLOOKUP(B190,customers!$A$2:$A$195,customers!$B$2:$B$195,,0)</f>
        <v>West</v>
      </c>
      <c r="F190">
        <v>1041</v>
      </c>
      <c r="G190" s="9">
        <f>_xlfn.XLOOKUP(B190,customers!$A$1:$A$195,customers!$C$1:$C$195)</f>
        <v>45134</v>
      </c>
      <c r="H190" s="13">
        <v>45811</v>
      </c>
      <c r="I190">
        <v>2</v>
      </c>
      <c r="J190">
        <v>86.4</v>
      </c>
      <c r="K190">
        <v>62.22</v>
      </c>
      <c r="L190">
        <f>_xlfn.XLOOKUP(F190,Products!$A$2:$A$51,Products!$D$2:$D$51,0)</f>
        <v>43.2</v>
      </c>
      <c r="M190">
        <f t="shared" si="2"/>
        <v>24.18</v>
      </c>
    </row>
    <row r="191" spans="1:13">
      <c r="A191" t="s">
        <v>462</v>
      </c>
      <c r="B191" t="s">
        <v>21</v>
      </c>
      <c r="C191" t="str">
        <f>_xlfn.XLOOKUP(F191,Products!$A$2:$A$51,Products!$C$2:$C$51,0)</f>
        <v>Grinders &amp; Brewers</v>
      </c>
      <c r="D191" t="str">
        <f>_xlfn.XLOOKUP(F191,Products!$A$2:$A$51,Products!$B$2:$B$51,0)</f>
        <v>High-Capacity French Press</v>
      </c>
      <c r="E191" t="str">
        <f>_xlfn.XLOOKUP(B191,customers!$A$2:$A$195,customers!$B$2:$B$195,,0)</f>
        <v>East</v>
      </c>
      <c r="F191">
        <v>1034</v>
      </c>
      <c r="G191" s="9">
        <f>_xlfn.XLOOKUP(B191,customers!$A$1:$A$195,customers!$C$1:$C$195)</f>
        <v>45046</v>
      </c>
      <c r="H191" s="13">
        <v>45811</v>
      </c>
      <c r="I191">
        <v>2</v>
      </c>
      <c r="J191">
        <v>676.72</v>
      </c>
      <c r="K191">
        <v>296.34</v>
      </c>
      <c r="L191">
        <f>_xlfn.XLOOKUP(F191,Products!$A$2:$A$51,Products!$D$2:$D$51,0)</f>
        <v>338.36</v>
      </c>
      <c r="M191">
        <f t="shared" si="2"/>
        <v>380.38</v>
      </c>
    </row>
    <row r="192" spans="1:13">
      <c r="A192" t="s">
        <v>463</v>
      </c>
      <c r="B192" t="s">
        <v>5</v>
      </c>
      <c r="C192" t="str">
        <f>_xlfn.XLOOKUP(F192,Products!$A$2:$A$51,Products!$C$2:$C$51,0)</f>
        <v>Accessories</v>
      </c>
      <c r="D192" t="str">
        <f>_xlfn.XLOOKUP(F192,Products!$A$2:$A$51,Products!$B$2:$B$51,0)</f>
        <v>Chemex Filters (100 pack)</v>
      </c>
      <c r="E192" t="str">
        <f>_xlfn.XLOOKUP(B192,customers!$A$2:$A$195,customers!$B$2:$B$195,,0)</f>
        <v>West</v>
      </c>
      <c r="F192">
        <v>1014</v>
      </c>
      <c r="G192" s="9">
        <f>_xlfn.XLOOKUP(B192,customers!$A$1:$A$195,customers!$C$1:$C$195)</f>
        <v>44998</v>
      </c>
      <c r="H192" s="13">
        <v>45841</v>
      </c>
      <c r="I192">
        <v>4</v>
      </c>
      <c r="J192">
        <v>96.4</v>
      </c>
      <c r="K192">
        <v>84.83</v>
      </c>
      <c r="L192">
        <f>_xlfn.XLOOKUP(F192,Products!$A$2:$A$51,Products!$D$2:$D$51,0)</f>
        <v>24.1</v>
      </c>
      <c r="M192">
        <f t="shared" si="2"/>
        <v>11.57</v>
      </c>
    </row>
    <row r="193" spans="1:13">
      <c r="A193" t="s">
        <v>464</v>
      </c>
      <c r="B193" t="s">
        <v>28</v>
      </c>
      <c r="C193" t="str">
        <f>_xlfn.XLOOKUP(F193,Products!$A$2:$A$51,Products!$C$2:$C$51,0)</f>
        <v>Accessories</v>
      </c>
      <c r="D193" t="str">
        <f>_xlfn.XLOOKUP(F193,Products!$A$2:$A$51,Products!$B$2:$B$51,0)</f>
        <v>Chemex Filters (100 pack)</v>
      </c>
      <c r="E193" t="str">
        <f>_xlfn.XLOOKUP(B193,customers!$A$2:$A$195,customers!$B$2:$B$195,,0)</f>
        <v>East</v>
      </c>
      <c r="F193">
        <v>1014</v>
      </c>
      <c r="G193" s="9">
        <f>_xlfn.XLOOKUP(B193,customers!$A$1:$A$195,customers!$C$1:$C$195)</f>
        <v>45273</v>
      </c>
      <c r="H193" s="13">
        <v>45841</v>
      </c>
      <c r="I193">
        <v>3</v>
      </c>
      <c r="J193">
        <v>72.3</v>
      </c>
      <c r="K193">
        <v>63.62</v>
      </c>
      <c r="L193">
        <f>_xlfn.XLOOKUP(F193,Products!$A$2:$A$51,Products!$D$2:$D$51,0)</f>
        <v>24.1</v>
      </c>
      <c r="M193">
        <f t="shared" si="2"/>
        <v>8.68</v>
      </c>
    </row>
    <row r="194" spans="1:13">
      <c r="A194" t="s">
        <v>465</v>
      </c>
      <c r="B194" t="s">
        <v>100</v>
      </c>
      <c r="C194" t="str">
        <f>_xlfn.XLOOKUP(F194,Products!$A$2:$A$51,Products!$C$2:$C$51,0)</f>
        <v>Subscriptions</v>
      </c>
      <c r="D194" t="str">
        <f>_xlfn.XLOOKUP(F194,Products!$A$2:$A$51,Products!$B$2:$B$51,0)</f>
        <v>Subscription Renewal Service</v>
      </c>
      <c r="E194" t="str">
        <f>_xlfn.XLOOKUP(B194,customers!$A$2:$A$195,customers!$B$2:$B$195,,0)</f>
        <v>West</v>
      </c>
      <c r="F194">
        <v>1050</v>
      </c>
      <c r="G194" s="9">
        <f>_xlfn.XLOOKUP(B194,customers!$A$1:$A$195,customers!$C$1:$C$195)</f>
        <v>45128</v>
      </c>
      <c r="H194" s="13">
        <v>45841</v>
      </c>
      <c r="I194">
        <v>4</v>
      </c>
      <c r="J194">
        <v>293.64</v>
      </c>
      <c r="K194">
        <v>109.16</v>
      </c>
      <c r="L194">
        <f>_xlfn.XLOOKUP(F194,Products!$A$2:$A$51,Products!$D$2:$D$51,0)</f>
        <v>73.41</v>
      </c>
      <c r="M194">
        <f t="shared" si="2"/>
        <v>184.48</v>
      </c>
    </row>
    <row r="195" spans="1:13">
      <c r="A195" t="s">
        <v>466</v>
      </c>
      <c r="B195" t="s">
        <v>119</v>
      </c>
      <c r="C195" t="str">
        <f>_xlfn.XLOOKUP(F195,Products!$A$2:$A$51,Products!$C$2:$C$51,0)</f>
        <v>Consumables</v>
      </c>
      <c r="D195" t="str">
        <f>_xlfn.XLOOKUP(F195,Products!$A$2:$A$51,Products!$B$2:$B$51,0)</f>
        <v>Espresso Bean Sampler Pack</v>
      </c>
      <c r="E195" t="str">
        <f>_xlfn.XLOOKUP(B195,customers!$A$2:$A$195,customers!$B$2:$B$195,,0)</f>
        <v>West</v>
      </c>
      <c r="F195">
        <v>1005</v>
      </c>
      <c r="G195" s="9">
        <f>_xlfn.XLOOKUP(B195,customers!$A$1:$A$195,customers!$C$1:$C$195)</f>
        <v>44960</v>
      </c>
      <c r="H195" s="13">
        <v>45841</v>
      </c>
      <c r="I195">
        <v>2</v>
      </c>
      <c r="J195">
        <v>38.12</v>
      </c>
      <c r="K195">
        <v>23.94</v>
      </c>
      <c r="L195">
        <f>_xlfn.XLOOKUP(F195,Products!$A$2:$A$51,Products!$D$2:$D$51,0)</f>
        <v>19.06</v>
      </c>
      <c r="M195">
        <f t="shared" ref="M195:M258" si="3">J195-K195</f>
        <v>14.18</v>
      </c>
    </row>
    <row r="196" spans="1:13">
      <c r="A196" t="s">
        <v>467</v>
      </c>
      <c r="B196" t="s">
        <v>182</v>
      </c>
      <c r="C196" t="str">
        <f>_xlfn.XLOOKUP(F196,Products!$A$2:$A$51,Products!$C$2:$C$51,0)</f>
        <v>Grinders &amp; Brewers</v>
      </c>
      <c r="D196" t="str">
        <f>_xlfn.XLOOKUP(F196,Products!$A$2:$A$51,Products!$B$2:$B$51,0)</f>
        <v>Hand Grinder (Travel Size)</v>
      </c>
      <c r="E196" t="str">
        <f>_xlfn.XLOOKUP(B196,customers!$A$2:$A$195,customers!$B$2:$B$195,,0)</f>
        <v>East</v>
      </c>
      <c r="F196">
        <v>1032</v>
      </c>
      <c r="G196" s="9">
        <f>_xlfn.XLOOKUP(B196,customers!$A$1:$A$195,customers!$C$1:$C$195)</f>
        <v>44998</v>
      </c>
      <c r="H196" s="13">
        <v>45841</v>
      </c>
      <c r="I196">
        <v>2</v>
      </c>
      <c r="J196">
        <v>509.44</v>
      </c>
      <c r="K196">
        <v>260.57</v>
      </c>
      <c r="L196">
        <f>_xlfn.XLOOKUP(F196,Products!$A$2:$A$51,Products!$D$2:$D$51,0)</f>
        <v>254.72</v>
      </c>
      <c r="M196">
        <f t="shared" si="3"/>
        <v>248.87</v>
      </c>
    </row>
    <row r="197" spans="1:13">
      <c r="A197" t="s">
        <v>468</v>
      </c>
      <c r="B197" t="s">
        <v>46</v>
      </c>
      <c r="C197" t="str">
        <f>_xlfn.XLOOKUP(F197,Products!$A$2:$A$51,Products!$C$2:$C$51,0)</f>
        <v>Merchandise</v>
      </c>
      <c r="D197" t="str">
        <f>_xlfn.XLOOKUP(F197,Products!$A$2:$A$51,Products!$B$2:$B$51,0)</f>
        <v>Insulated Travel Tumbler</v>
      </c>
      <c r="E197" t="str">
        <f>_xlfn.XLOOKUP(B197,customers!$A$2:$A$195,customers!$B$2:$B$195,,0)</f>
        <v>West</v>
      </c>
      <c r="F197">
        <v>1043</v>
      </c>
      <c r="G197" s="9">
        <f>_xlfn.XLOOKUP(B197,customers!$A$1:$A$195,customers!$C$1:$C$195)</f>
        <v>45069</v>
      </c>
      <c r="H197" s="13">
        <v>45872</v>
      </c>
      <c r="I197">
        <v>2</v>
      </c>
      <c r="J197">
        <v>86.56</v>
      </c>
      <c r="K197">
        <v>41.65</v>
      </c>
      <c r="L197">
        <f>_xlfn.XLOOKUP(F197,Products!$A$2:$A$51,Products!$D$2:$D$51,0)</f>
        <v>43.28</v>
      </c>
      <c r="M197">
        <f t="shared" si="3"/>
        <v>44.91</v>
      </c>
    </row>
    <row r="198" spans="1:13">
      <c r="A198" t="s">
        <v>469</v>
      </c>
      <c r="B198" t="s">
        <v>158</v>
      </c>
      <c r="C198" t="str">
        <f>_xlfn.XLOOKUP(F198,Products!$A$2:$A$51,Products!$C$2:$C$51,0)</f>
        <v>Subscriptions</v>
      </c>
      <c r="D198" t="str">
        <f>_xlfn.XLOOKUP(F198,Products!$A$2:$A$51,Products!$B$2:$B$51,0)</f>
        <v>Bi-Weekly Sampler Box</v>
      </c>
      <c r="E198" t="str">
        <f>_xlfn.XLOOKUP(B198,customers!$A$2:$A$195,customers!$B$2:$B$195,,0)</f>
        <v>West</v>
      </c>
      <c r="F198">
        <v>1047</v>
      </c>
      <c r="G198" s="9">
        <f>_xlfn.XLOOKUP(B198,customers!$A$1:$A$195,customers!$C$1:$C$195)</f>
        <v>45061</v>
      </c>
      <c r="H198" s="13">
        <v>45872</v>
      </c>
      <c r="I198">
        <v>1</v>
      </c>
      <c r="J198">
        <v>88.77</v>
      </c>
      <c r="K198">
        <v>23.86</v>
      </c>
      <c r="L198">
        <f>_xlfn.XLOOKUP(F198,Products!$A$2:$A$51,Products!$D$2:$D$51,0)</f>
        <v>88.77</v>
      </c>
      <c r="M198">
        <f t="shared" si="3"/>
        <v>64.91</v>
      </c>
    </row>
    <row r="199" spans="1:13">
      <c r="A199" t="s">
        <v>470</v>
      </c>
      <c r="B199" t="s">
        <v>155</v>
      </c>
      <c r="C199" t="str">
        <f>_xlfn.XLOOKUP(F199,Products!$A$2:$A$51,Products!$C$2:$C$51,0)</f>
        <v>Consumables</v>
      </c>
      <c r="D199" t="str">
        <f>_xlfn.XLOOKUP(F199,Products!$A$2:$A$51,Products!$B$2:$B$51,0)</f>
        <v>Decaf Blend (1kg)</v>
      </c>
      <c r="E199" t="str">
        <f>_xlfn.XLOOKUP(B199,customers!$A$2:$A$195,customers!$B$2:$B$195,,0)</f>
        <v>East</v>
      </c>
      <c r="F199">
        <v>1028</v>
      </c>
      <c r="G199" s="9">
        <f>_xlfn.XLOOKUP(B199,customers!$A$1:$A$195,customers!$C$1:$C$195)</f>
        <v>45204</v>
      </c>
      <c r="H199" s="13">
        <v>45903</v>
      </c>
      <c r="I199">
        <v>1</v>
      </c>
      <c r="J199">
        <v>40.35</v>
      </c>
      <c r="K199">
        <v>12.86</v>
      </c>
      <c r="L199">
        <f>_xlfn.XLOOKUP(F199,Products!$A$2:$A$51,Products!$D$2:$D$51,0)</f>
        <v>40.35</v>
      </c>
      <c r="M199">
        <f t="shared" si="3"/>
        <v>27.49</v>
      </c>
    </row>
    <row r="200" spans="1:13">
      <c r="A200" t="s">
        <v>471</v>
      </c>
      <c r="B200" t="s">
        <v>47</v>
      </c>
      <c r="C200" t="str">
        <f>_xlfn.XLOOKUP(F200,Products!$A$2:$A$51,Products!$C$2:$C$51,0)</f>
        <v>Subscriptions</v>
      </c>
      <c r="D200" t="str">
        <f>_xlfn.XLOOKUP(F200,Products!$A$2:$A$51,Products!$B$2:$B$51,0)</f>
        <v>Three-Month Gift Subscription</v>
      </c>
      <c r="E200" t="str">
        <f>_xlfn.XLOOKUP(B200,customers!$A$2:$A$195,customers!$B$2:$B$195,,0)</f>
        <v>West</v>
      </c>
      <c r="F200">
        <v>1048</v>
      </c>
      <c r="G200" s="9">
        <f>_xlfn.XLOOKUP(B200,customers!$A$1:$A$195,customers!$C$1:$C$195)</f>
        <v>44967</v>
      </c>
      <c r="H200" s="13">
        <v>45933</v>
      </c>
      <c r="I200">
        <v>2</v>
      </c>
      <c r="J200">
        <v>130.42</v>
      </c>
      <c r="K200">
        <v>55.22</v>
      </c>
      <c r="L200">
        <f>_xlfn.XLOOKUP(F200,Products!$A$2:$A$51,Products!$D$2:$D$51,0)</f>
        <v>65.21</v>
      </c>
      <c r="M200">
        <f t="shared" si="3"/>
        <v>75.2</v>
      </c>
    </row>
    <row r="201" spans="1:13">
      <c r="A201" t="s">
        <v>472</v>
      </c>
      <c r="B201" t="s">
        <v>157</v>
      </c>
      <c r="C201" t="str">
        <f>_xlfn.XLOOKUP(F201,Products!$A$2:$A$51,Products!$C$2:$C$51,0)</f>
        <v>Consumables</v>
      </c>
      <c r="D201" t="str">
        <f>_xlfn.XLOOKUP(F201,Products!$A$2:$A$51,Products!$B$2:$B$51,0)</f>
        <v>Espresso Bean Sampler Pack</v>
      </c>
      <c r="E201" t="str">
        <f>_xlfn.XLOOKUP(B201,customers!$A$2:$A$195,customers!$B$2:$B$195,,0)</f>
        <v>West</v>
      </c>
      <c r="F201">
        <v>1030</v>
      </c>
      <c r="G201" s="9">
        <f>_xlfn.XLOOKUP(B201,customers!$A$1:$A$195,customers!$C$1:$C$195)</f>
        <v>45216</v>
      </c>
      <c r="H201" s="13">
        <v>45933</v>
      </c>
      <c r="I201">
        <v>4</v>
      </c>
      <c r="J201">
        <v>76.24</v>
      </c>
      <c r="K201">
        <v>47.87</v>
      </c>
      <c r="L201">
        <f>_xlfn.XLOOKUP(F201,Products!$A$2:$A$51,Products!$D$2:$D$51,0)</f>
        <v>19.06</v>
      </c>
      <c r="M201">
        <f t="shared" si="3"/>
        <v>28.37</v>
      </c>
    </row>
    <row r="202" spans="1:13">
      <c r="A202" t="s">
        <v>473</v>
      </c>
      <c r="B202" t="s">
        <v>18</v>
      </c>
      <c r="C202" t="str">
        <f>_xlfn.XLOOKUP(F202,Products!$A$2:$A$51,Products!$C$2:$C$51,0)</f>
        <v>Merchandise</v>
      </c>
      <c r="D202" t="str">
        <f>_xlfn.XLOOKUP(F202,Products!$A$2:$A$51,Products!$B$2:$B$51,0)</f>
        <v>Insulated Travel Tumbler</v>
      </c>
      <c r="E202" t="str">
        <f>_xlfn.XLOOKUP(B202,customers!$A$2:$A$195,customers!$B$2:$B$195,,0)</f>
        <v>East</v>
      </c>
      <c r="F202">
        <v>1018</v>
      </c>
      <c r="G202" s="9">
        <f>_xlfn.XLOOKUP(B202,customers!$A$1:$A$195,customers!$C$1:$C$195)</f>
        <v>45159</v>
      </c>
      <c r="H202" s="13">
        <v>45964</v>
      </c>
      <c r="I202">
        <v>2</v>
      </c>
      <c r="J202">
        <v>86.56</v>
      </c>
      <c r="K202">
        <v>41.65</v>
      </c>
      <c r="L202">
        <f>_xlfn.XLOOKUP(F202,Products!$A$2:$A$51,Products!$D$2:$D$51,0)</f>
        <v>43.28</v>
      </c>
      <c r="M202">
        <f t="shared" si="3"/>
        <v>44.91</v>
      </c>
    </row>
    <row r="203" spans="1:13">
      <c r="A203" t="s">
        <v>474</v>
      </c>
      <c r="B203" t="s">
        <v>49</v>
      </c>
      <c r="C203" t="str">
        <f>_xlfn.XLOOKUP(F203,Products!$A$2:$A$51,Products!$C$2:$C$51,0)</f>
        <v>Grinders &amp; Brewers</v>
      </c>
      <c r="D203" t="str">
        <f>_xlfn.XLOOKUP(F203,Products!$A$2:$A$51,Products!$B$2:$B$51,0)</f>
        <v>Automated Drip Brewer</v>
      </c>
      <c r="E203" t="str">
        <f>_xlfn.XLOOKUP(B203,customers!$A$2:$A$195,customers!$B$2:$B$195,,0)</f>
        <v>West</v>
      </c>
      <c r="F203">
        <v>1008</v>
      </c>
      <c r="G203" s="9">
        <f>_xlfn.XLOOKUP(B203,customers!$A$1:$A$195,customers!$C$1:$C$195)</f>
        <v>45152</v>
      </c>
      <c r="H203" s="13">
        <v>45964</v>
      </c>
      <c r="I203">
        <v>4</v>
      </c>
      <c r="J203">
        <v>943.04</v>
      </c>
      <c r="K203">
        <v>529.94</v>
      </c>
      <c r="L203">
        <f>_xlfn.XLOOKUP(F203,Products!$A$2:$A$51,Products!$D$2:$D$51,0)</f>
        <v>235.76</v>
      </c>
      <c r="M203">
        <f t="shared" si="3"/>
        <v>413.1</v>
      </c>
    </row>
    <row r="204" spans="1:13">
      <c r="A204" t="s">
        <v>475</v>
      </c>
      <c r="B204" t="s">
        <v>150</v>
      </c>
      <c r="C204" t="str">
        <f>_xlfn.XLOOKUP(F204,Products!$A$2:$A$51,Products!$C$2:$C$51,0)</f>
        <v>Grinders &amp; Brewers</v>
      </c>
      <c r="D204" t="str">
        <f>_xlfn.XLOOKUP(F204,Products!$A$2:$A$51,Products!$B$2:$B$51,0)</f>
        <v>Hand Grinder (Travel Size)</v>
      </c>
      <c r="E204" t="str">
        <f>_xlfn.XLOOKUP(B204,customers!$A$2:$A$195,customers!$B$2:$B$195,,0)</f>
        <v>East</v>
      </c>
      <c r="F204">
        <v>1032</v>
      </c>
      <c r="G204" s="9">
        <f>_xlfn.XLOOKUP(B204,customers!$A$1:$A$195,customers!$C$1:$C$195)</f>
        <v>45253</v>
      </c>
      <c r="H204" s="13">
        <v>45964</v>
      </c>
      <c r="I204">
        <v>2</v>
      </c>
      <c r="J204">
        <v>509.44</v>
      </c>
      <c r="K204">
        <v>260.57</v>
      </c>
      <c r="L204">
        <f>_xlfn.XLOOKUP(F204,Products!$A$2:$A$51,Products!$D$2:$D$51,0)</f>
        <v>254.72</v>
      </c>
      <c r="M204">
        <f t="shared" si="3"/>
        <v>248.87</v>
      </c>
    </row>
    <row r="205" spans="1:13">
      <c r="A205" t="s">
        <v>476</v>
      </c>
      <c r="B205" t="s">
        <v>154</v>
      </c>
      <c r="C205" t="str">
        <f>_xlfn.XLOOKUP(F205,Products!$A$2:$A$51,Products!$C$2:$C$51,0)</f>
        <v>Merchandise</v>
      </c>
      <c r="D205" t="str">
        <f>_xlfn.XLOOKUP(F205,Products!$A$2:$A$51,Products!$B$2:$B$51,0)</f>
        <v>Daily Grind T-Shirt</v>
      </c>
      <c r="E205" t="str">
        <f>_xlfn.XLOOKUP(B205,customers!$A$2:$A$195,customers!$B$2:$B$195,,0)</f>
        <v>West</v>
      </c>
      <c r="F205">
        <v>1019</v>
      </c>
      <c r="G205" s="9">
        <f>_xlfn.XLOOKUP(B205,customers!$A$1:$A$195,customers!$C$1:$C$195)</f>
        <v>45242</v>
      </c>
      <c r="H205" s="13">
        <v>45964</v>
      </c>
      <c r="I205">
        <v>2</v>
      </c>
      <c r="J205">
        <v>42.74</v>
      </c>
      <c r="K205">
        <v>16.52</v>
      </c>
      <c r="L205">
        <f>_xlfn.XLOOKUP(F205,Products!$A$2:$A$51,Products!$D$2:$D$51,0)</f>
        <v>21.37</v>
      </c>
      <c r="M205">
        <f t="shared" si="3"/>
        <v>26.22</v>
      </c>
    </row>
    <row r="206" spans="1:13">
      <c r="A206" t="s">
        <v>477</v>
      </c>
      <c r="B206" t="s">
        <v>36</v>
      </c>
      <c r="C206" t="str">
        <f>_xlfn.XLOOKUP(F206,Products!$A$2:$A$51,Products!$C$2:$C$51,0)</f>
        <v>Consumables</v>
      </c>
      <c r="D206" t="str">
        <f>_xlfn.XLOOKUP(F206,Products!$A$2:$A$51,Products!$B$2:$B$51,0)</f>
        <v>Single-Origin Ethiopian (250g)</v>
      </c>
      <c r="E206" t="str">
        <f>_xlfn.XLOOKUP(B206,customers!$A$2:$A$195,customers!$B$2:$B$195,,0)</f>
        <v>North</v>
      </c>
      <c r="F206">
        <v>1026</v>
      </c>
      <c r="G206" s="9">
        <f>_xlfn.XLOOKUP(B206,customers!$A$1:$A$195,customers!$C$1:$C$195)</f>
        <v>45102</v>
      </c>
      <c r="H206" s="13">
        <v>45994</v>
      </c>
      <c r="I206">
        <v>1</v>
      </c>
      <c r="J206">
        <v>19.49</v>
      </c>
      <c r="K206">
        <v>12.71</v>
      </c>
      <c r="L206">
        <f>_xlfn.XLOOKUP(F206,Products!$A$2:$A$51,Products!$D$2:$D$51,0)</f>
        <v>19.49</v>
      </c>
      <c r="M206">
        <f t="shared" si="3"/>
        <v>6.78</v>
      </c>
    </row>
    <row r="207" spans="1:13">
      <c r="A207" t="s">
        <v>478</v>
      </c>
      <c r="B207" t="s">
        <v>43</v>
      </c>
      <c r="C207" t="str">
        <f>_xlfn.XLOOKUP(F207,Products!$A$2:$A$51,Products!$C$2:$C$51,0)</f>
        <v>Consumables</v>
      </c>
      <c r="D207" t="str">
        <f>_xlfn.XLOOKUP(F207,Products!$A$2:$A$51,Products!$B$2:$B$51,0)</f>
        <v>Seasonal Blend Light Roast</v>
      </c>
      <c r="E207" t="str">
        <f>_xlfn.XLOOKUP(B207,customers!$A$2:$A$195,customers!$B$2:$B$195,,0)</f>
        <v>West</v>
      </c>
      <c r="F207">
        <v>1002</v>
      </c>
      <c r="G207" s="9">
        <f>_xlfn.XLOOKUP(B207,customers!$A$1:$A$195,customers!$C$1:$C$195)</f>
        <v>45197</v>
      </c>
      <c r="H207" s="13">
        <v>45994</v>
      </c>
      <c r="I207">
        <v>2</v>
      </c>
      <c r="J207">
        <v>71.06</v>
      </c>
      <c r="K207">
        <v>11.86</v>
      </c>
      <c r="L207">
        <f>_xlfn.XLOOKUP(F207,Products!$A$2:$A$51,Products!$D$2:$D$51,0)</f>
        <v>35.53</v>
      </c>
      <c r="M207">
        <f t="shared" si="3"/>
        <v>59.2</v>
      </c>
    </row>
    <row r="208" spans="1:13">
      <c r="A208" t="s">
        <v>479</v>
      </c>
      <c r="B208" t="s">
        <v>48</v>
      </c>
      <c r="C208" t="str">
        <f>_xlfn.XLOOKUP(F208,Products!$A$2:$A$51,Products!$C$2:$C$51,0)</f>
        <v>Accessories</v>
      </c>
      <c r="D208" t="str">
        <f>_xlfn.XLOOKUP(F208,Products!$A$2:$A$51,Products!$B$2:$B$51,0)</f>
        <v>Digital Coffee Scale</v>
      </c>
      <c r="E208" t="str">
        <f>_xlfn.XLOOKUP(B208,customers!$A$2:$A$195,customers!$B$2:$B$195,,0)</f>
        <v>West</v>
      </c>
      <c r="F208">
        <v>1011</v>
      </c>
      <c r="G208" s="9">
        <f>_xlfn.XLOOKUP(B208,customers!$A$1:$A$195,customers!$C$1:$C$195)</f>
        <v>45161</v>
      </c>
      <c r="H208" s="13">
        <v>45994</v>
      </c>
      <c r="I208">
        <v>2</v>
      </c>
      <c r="J208">
        <v>53.66</v>
      </c>
      <c r="K208">
        <v>29.3</v>
      </c>
      <c r="L208">
        <f>_xlfn.XLOOKUP(F208,Products!$A$2:$A$51,Products!$D$2:$D$51,0)</f>
        <v>26.83</v>
      </c>
      <c r="M208">
        <f t="shared" si="3"/>
        <v>24.36</v>
      </c>
    </row>
    <row r="209" spans="1:13">
      <c r="A209" t="s">
        <v>480</v>
      </c>
      <c r="B209" t="s">
        <v>157</v>
      </c>
      <c r="C209" t="str">
        <f>_xlfn.XLOOKUP(F209,Products!$A$2:$A$51,Products!$C$2:$C$51,0)</f>
        <v>Grinders &amp; Brewers</v>
      </c>
      <c r="D209" t="str">
        <f>_xlfn.XLOOKUP(F209,Products!$A$2:$A$51,Products!$B$2:$B$51,0)</f>
        <v>High-Capacity French Press</v>
      </c>
      <c r="E209" t="str">
        <f>_xlfn.XLOOKUP(B209,customers!$A$2:$A$195,customers!$B$2:$B$195,,0)</f>
        <v>West</v>
      </c>
      <c r="F209">
        <v>1009</v>
      </c>
      <c r="G209" s="9">
        <f>_xlfn.XLOOKUP(B209,customers!$A$1:$A$195,customers!$C$1:$C$195)</f>
        <v>45216</v>
      </c>
      <c r="H209" s="13">
        <v>45994</v>
      </c>
      <c r="I209">
        <v>3</v>
      </c>
      <c r="J209">
        <v>1015.08</v>
      </c>
      <c r="K209">
        <v>444.51</v>
      </c>
      <c r="L209">
        <f>_xlfn.XLOOKUP(F209,Products!$A$2:$A$51,Products!$D$2:$D$51,0)</f>
        <v>338.36</v>
      </c>
      <c r="M209">
        <f t="shared" si="3"/>
        <v>570.57</v>
      </c>
    </row>
    <row r="210" spans="1:13">
      <c r="A210" t="s">
        <v>481</v>
      </c>
      <c r="B210" t="s">
        <v>14</v>
      </c>
      <c r="C210" t="str">
        <f>_xlfn.XLOOKUP(F210,Products!$A$2:$A$51,Products!$C$2:$C$51,0)</f>
        <v>Merchandise</v>
      </c>
      <c r="D210" t="str">
        <f>_xlfn.XLOOKUP(F210,Products!$A$2:$A$51,Products!$B$2:$B$51,0)</f>
        <v>Minimalist Keychain</v>
      </c>
      <c r="E210" t="str">
        <f>_xlfn.XLOOKUP(B210,customers!$A$2:$A$195,customers!$B$2:$B$195,,0)</f>
        <v>West</v>
      </c>
      <c r="F210">
        <v>1045</v>
      </c>
      <c r="G210" s="9">
        <f>_xlfn.XLOOKUP(B210,customers!$A$1:$A$195,customers!$C$1:$C$195)</f>
        <v>45134</v>
      </c>
      <c r="H210" s="13" t="s">
        <v>482</v>
      </c>
      <c r="I210">
        <v>3</v>
      </c>
      <c r="J210">
        <v>82.11</v>
      </c>
      <c r="K210">
        <v>72.27</v>
      </c>
      <c r="L210">
        <f>_xlfn.XLOOKUP(F210,Products!$A$2:$A$51,Products!$D$2:$D$51,0)</f>
        <v>27.37</v>
      </c>
      <c r="M210">
        <f t="shared" si="3"/>
        <v>9.84</v>
      </c>
    </row>
    <row r="211" spans="1:13">
      <c r="A211" t="s">
        <v>483</v>
      </c>
      <c r="B211" t="s">
        <v>47</v>
      </c>
      <c r="C211" t="str">
        <f>_xlfn.XLOOKUP(F211,Products!$A$2:$A$51,Products!$C$2:$C$51,0)</f>
        <v>Grinders &amp; Brewers</v>
      </c>
      <c r="D211" t="str">
        <f>_xlfn.XLOOKUP(F211,Products!$A$2:$A$51,Products!$B$2:$B$51,0)</f>
        <v>Automated Drip Brewer</v>
      </c>
      <c r="E211" t="str">
        <f>_xlfn.XLOOKUP(B211,customers!$A$2:$A$195,customers!$B$2:$B$195,,0)</f>
        <v>West</v>
      </c>
      <c r="F211">
        <v>1008</v>
      </c>
      <c r="G211" s="9">
        <f>_xlfn.XLOOKUP(B211,customers!$A$1:$A$195,customers!$C$1:$C$195)</f>
        <v>44967</v>
      </c>
      <c r="H211" s="13" t="s">
        <v>482</v>
      </c>
      <c r="I211">
        <v>1</v>
      </c>
      <c r="J211">
        <v>235.76</v>
      </c>
      <c r="K211">
        <v>132.48</v>
      </c>
      <c r="L211">
        <f>_xlfn.XLOOKUP(F211,Products!$A$2:$A$51,Products!$D$2:$D$51,0)</f>
        <v>235.76</v>
      </c>
      <c r="M211">
        <f t="shared" si="3"/>
        <v>103.28</v>
      </c>
    </row>
    <row r="212" spans="1:13">
      <c r="A212" t="s">
        <v>484</v>
      </c>
      <c r="B212" t="s">
        <v>90</v>
      </c>
      <c r="C212" t="str">
        <f>_xlfn.XLOOKUP(F212,Products!$A$2:$A$51,Products!$C$2:$C$51,0)</f>
        <v>Subscriptions</v>
      </c>
      <c r="D212" t="str">
        <f>_xlfn.XLOOKUP(F212,Products!$A$2:$A$51,Products!$B$2:$B$51,0)</f>
        <v>Three-Month Gift Subscription</v>
      </c>
      <c r="E212" t="str">
        <f>_xlfn.XLOOKUP(B212,customers!$A$2:$A$195,customers!$B$2:$B$195,,0)</f>
        <v>East</v>
      </c>
      <c r="F212">
        <v>1048</v>
      </c>
      <c r="G212" s="9">
        <f>_xlfn.XLOOKUP(B212,customers!$A$1:$A$195,customers!$C$1:$C$195)</f>
        <v>45043</v>
      </c>
      <c r="H212" s="13" t="s">
        <v>482</v>
      </c>
      <c r="I212">
        <v>3</v>
      </c>
      <c r="J212">
        <v>195.63</v>
      </c>
      <c r="K212">
        <v>82.83</v>
      </c>
      <c r="L212">
        <f>_xlfn.XLOOKUP(F212,Products!$A$2:$A$51,Products!$D$2:$D$51,0)</f>
        <v>65.21</v>
      </c>
      <c r="M212">
        <f t="shared" si="3"/>
        <v>112.8</v>
      </c>
    </row>
    <row r="213" spans="1:13">
      <c r="A213" t="s">
        <v>485</v>
      </c>
      <c r="B213" t="s">
        <v>149</v>
      </c>
      <c r="C213" t="str">
        <f>_xlfn.XLOOKUP(F213,Products!$A$2:$A$51,Products!$C$2:$C$51,0)</f>
        <v>Merchandise</v>
      </c>
      <c r="D213" t="str">
        <f>_xlfn.XLOOKUP(F213,Products!$A$2:$A$51,Products!$B$2:$B$51,0)</f>
        <v>Minimalist Keychain</v>
      </c>
      <c r="E213" t="str">
        <f>_xlfn.XLOOKUP(B213,customers!$A$2:$A$195,customers!$B$2:$B$195,,0)</f>
        <v>South</v>
      </c>
      <c r="F213">
        <v>1020</v>
      </c>
      <c r="G213" s="9">
        <f>_xlfn.XLOOKUP(B213,customers!$A$1:$A$195,customers!$C$1:$C$195)</f>
        <v>45054</v>
      </c>
      <c r="H213" s="13" t="s">
        <v>482</v>
      </c>
      <c r="I213">
        <v>3</v>
      </c>
      <c r="J213">
        <v>82.11</v>
      </c>
      <c r="K213">
        <v>72.27</v>
      </c>
      <c r="L213">
        <f>_xlfn.XLOOKUP(F213,Products!$A$2:$A$51,Products!$D$2:$D$51,0)</f>
        <v>27.37</v>
      </c>
      <c r="M213">
        <f t="shared" si="3"/>
        <v>9.84</v>
      </c>
    </row>
    <row r="214" spans="1:13">
      <c r="A214" t="s">
        <v>486</v>
      </c>
      <c r="B214" t="s">
        <v>162</v>
      </c>
      <c r="C214" t="str">
        <f>_xlfn.XLOOKUP(F214,Products!$A$2:$A$51,Products!$C$2:$C$51,0)</f>
        <v>Consumables</v>
      </c>
      <c r="D214" t="str">
        <f>_xlfn.XLOOKUP(F214,Products!$A$2:$A$51,Products!$B$2:$B$51,0)</f>
        <v>Single-Origin Ethiopian (250g)</v>
      </c>
      <c r="E214" t="str">
        <f>_xlfn.XLOOKUP(B214,customers!$A$2:$A$195,customers!$B$2:$B$195,,0)</f>
        <v>East</v>
      </c>
      <c r="F214">
        <v>1001</v>
      </c>
      <c r="G214" s="9">
        <f>_xlfn.XLOOKUP(B214,customers!$A$1:$A$195,customers!$C$1:$C$195)</f>
        <v>45262</v>
      </c>
      <c r="H214" s="13" t="s">
        <v>482</v>
      </c>
      <c r="I214">
        <v>4</v>
      </c>
      <c r="J214">
        <v>77.96</v>
      </c>
      <c r="K214">
        <v>50.82</v>
      </c>
      <c r="L214">
        <f>_xlfn.XLOOKUP(F214,Products!$A$2:$A$51,Products!$D$2:$D$51,0)</f>
        <v>19.49</v>
      </c>
      <c r="M214">
        <f t="shared" si="3"/>
        <v>27.14</v>
      </c>
    </row>
    <row r="215" spans="1:13">
      <c r="A215" t="s">
        <v>487</v>
      </c>
      <c r="B215" t="s">
        <v>85</v>
      </c>
      <c r="C215" t="str">
        <f>_xlfn.XLOOKUP(F215,Products!$A$2:$A$51,Products!$C$2:$C$51,0)</f>
        <v>Merchandise</v>
      </c>
      <c r="D215" t="str">
        <f>_xlfn.XLOOKUP(F215,Products!$A$2:$A$51,Products!$B$2:$B$51,0)</f>
        <v>Minimalist Keychain</v>
      </c>
      <c r="E215" t="str">
        <f>_xlfn.XLOOKUP(B215,customers!$A$2:$A$195,customers!$B$2:$B$195,,0)</f>
        <v>North</v>
      </c>
      <c r="F215">
        <v>1020</v>
      </c>
      <c r="G215" s="9">
        <f>_xlfn.XLOOKUP(B215,customers!$A$1:$A$195,customers!$C$1:$C$195)</f>
        <v>45181</v>
      </c>
      <c r="H215" s="13" t="s">
        <v>488</v>
      </c>
      <c r="I215">
        <v>3</v>
      </c>
      <c r="J215">
        <v>82.11</v>
      </c>
      <c r="K215">
        <v>72.27</v>
      </c>
      <c r="L215">
        <f>_xlfn.XLOOKUP(F215,Products!$A$2:$A$51,Products!$D$2:$D$51,0)</f>
        <v>27.37</v>
      </c>
      <c r="M215">
        <f t="shared" si="3"/>
        <v>9.84</v>
      </c>
    </row>
    <row r="216" spans="1:13">
      <c r="A216" t="s">
        <v>489</v>
      </c>
      <c r="B216" t="s">
        <v>121</v>
      </c>
      <c r="C216" t="str">
        <f>_xlfn.XLOOKUP(F216,Products!$A$2:$A$51,Products!$C$2:$C$51,0)</f>
        <v>Subscriptions</v>
      </c>
      <c r="D216" t="str">
        <f>_xlfn.XLOOKUP(F216,Products!$A$2:$A$51,Products!$B$2:$B$51,0)</f>
        <v>Subscription Renewal Service</v>
      </c>
      <c r="E216" t="str">
        <f>_xlfn.XLOOKUP(B216,customers!$A$2:$A$195,customers!$B$2:$B$195,,0)</f>
        <v>West</v>
      </c>
      <c r="F216">
        <v>1025</v>
      </c>
      <c r="G216" s="9">
        <f>_xlfn.XLOOKUP(B216,customers!$A$1:$A$195,customers!$C$1:$C$195)</f>
        <v>45164</v>
      </c>
      <c r="H216" s="13" t="s">
        <v>488</v>
      </c>
      <c r="I216">
        <v>4</v>
      </c>
      <c r="J216">
        <v>293.64</v>
      </c>
      <c r="K216">
        <v>109.16</v>
      </c>
      <c r="L216">
        <f>_xlfn.XLOOKUP(F216,Products!$A$2:$A$51,Products!$D$2:$D$51,0)</f>
        <v>73.41</v>
      </c>
      <c r="M216">
        <f t="shared" si="3"/>
        <v>184.48</v>
      </c>
    </row>
    <row r="217" spans="1:13">
      <c r="A217" t="s">
        <v>490</v>
      </c>
      <c r="B217" t="s">
        <v>138</v>
      </c>
      <c r="C217" t="str">
        <f>_xlfn.XLOOKUP(F217,Products!$A$2:$A$51,Products!$C$2:$C$51,0)</f>
        <v>Accessories</v>
      </c>
      <c r="D217" t="str">
        <f>_xlfn.XLOOKUP(F217,Products!$A$2:$A$51,Products!$B$2:$B$51,0)</f>
        <v>Digital Coffee Scale</v>
      </c>
      <c r="E217" t="str">
        <f>_xlfn.XLOOKUP(B217,customers!$A$2:$A$195,customers!$B$2:$B$195,,0)</f>
        <v>East</v>
      </c>
      <c r="F217">
        <v>1036</v>
      </c>
      <c r="G217" s="9">
        <f>_xlfn.XLOOKUP(B217,customers!$A$1:$A$195,customers!$C$1:$C$195)</f>
        <v>44976</v>
      </c>
      <c r="H217" s="13" t="s">
        <v>488</v>
      </c>
      <c r="I217">
        <v>1</v>
      </c>
      <c r="J217">
        <v>26.83</v>
      </c>
      <c r="K217">
        <v>14.65</v>
      </c>
      <c r="L217">
        <f>_xlfn.XLOOKUP(F217,Products!$A$2:$A$51,Products!$D$2:$D$51,0)</f>
        <v>26.83</v>
      </c>
      <c r="M217">
        <f t="shared" si="3"/>
        <v>12.18</v>
      </c>
    </row>
    <row r="218" spans="1:13">
      <c r="A218" t="s">
        <v>491</v>
      </c>
      <c r="B218" t="s">
        <v>192</v>
      </c>
      <c r="C218" t="str">
        <f>_xlfn.XLOOKUP(F218,Products!$A$2:$A$51,Products!$C$2:$C$51,0)</f>
        <v>Grinders &amp; Brewers</v>
      </c>
      <c r="D218" t="str">
        <f>_xlfn.XLOOKUP(F218,Products!$A$2:$A$51,Products!$B$2:$B$51,0)</f>
        <v>Precision Electric Grinder</v>
      </c>
      <c r="E218" t="str">
        <f>_xlfn.XLOOKUP(B218,customers!$A$2:$A$195,customers!$B$2:$B$195,,0)</f>
        <v>North</v>
      </c>
      <c r="F218">
        <v>1031</v>
      </c>
      <c r="G218" s="9">
        <f>_xlfn.XLOOKUP(B218,customers!$A$1:$A$195,customers!$C$1:$C$195)</f>
        <v>45234</v>
      </c>
      <c r="H218" s="13" t="s">
        <v>488</v>
      </c>
      <c r="I218">
        <v>1</v>
      </c>
      <c r="J218">
        <v>232.2</v>
      </c>
      <c r="K218">
        <v>78.39</v>
      </c>
      <c r="L218">
        <f>_xlfn.XLOOKUP(F218,Products!$A$2:$A$51,Products!$D$2:$D$51,0)</f>
        <v>232.2</v>
      </c>
      <c r="M218">
        <f t="shared" si="3"/>
        <v>153.81</v>
      </c>
    </row>
    <row r="219" spans="1:13">
      <c r="A219" t="s">
        <v>492</v>
      </c>
      <c r="B219" t="s">
        <v>55</v>
      </c>
      <c r="C219" t="str">
        <f>_xlfn.XLOOKUP(F219,Products!$A$2:$A$51,Products!$C$2:$C$51,0)</f>
        <v>Consumables</v>
      </c>
      <c r="D219" t="str">
        <f>_xlfn.XLOOKUP(F219,Products!$A$2:$A$51,Products!$B$2:$B$51,0)</f>
        <v>Cold Brew Concentrate</v>
      </c>
      <c r="E219" t="str">
        <f>_xlfn.XLOOKUP(B219,customers!$A$2:$A$195,customers!$B$2:$B$195,,0)</f>
        <v>South</v>
      </c>
      <c r="F219">
        <v>1004</v>
      </c>
      <c r="G219" s="9">
        <f>_xlfn.XLOOKUP(B219,customers!$A$1:$A$195,customers!$C$1:$C$195)</f>
        <v>45223</v>
      </c>
      <c r="H219" s="13" t="s">
        <v>493</v>
      </c>
      <c r="I219">
        <v>2</v>
      </c>
      <c r="J219">
        <v>46.98</v>
      </c>
      <c r="K219">
        <v>20.17</v>
      </c>
      <c r="L219">
        <f>_xlfn.XLOOKUP(F219,Products!$A$2:$A$51,Products!$D$2:$D$51,0)</f>
        <v>23.49</v>
      </c>
      <c r="M219">
        <f t="shared" si="3"/>
        <v>26.81</v>
      </c>
    </row>
    <row r="220" spans="1:13">
      <c r="A220" t="s">
        <v>494</v>
      </c>
      <c r="B220" t="s">
        <v>106</v>
      </c>
      <c r="C220" t="str">
        <f>_xlfn.XLOOKUP(F220,Products!$A$2:$A$51,Products!$C$2:$C$51,0)</f>
        <v>Grinders &amp; Brewers</v>
      </c>
      <c r="D220" t="str">
        <f>_xlfn.XLOOKUP(F220,Products!$A$2:$A$51,Products!$B$2:$B$51,0)</f>
        <v>High-Capacity French Press</v>
      </c>
      <c r="E220" t="str">
        <f>_xlfn.XLOOKUP(B220,customers!$A$2:$A$195,customers!$B$2:$B$195,,0)</f>
        <v>East</v>
      </c>
      <c r="F220">
        <v>1009</v>
      </c>
      <c r="G220" s="9">
        <f>_xlfn.XLOOKUP(B220,customers!$A$1:$A$195,customers!$C$1:$C$195)</f>
        <v>45055</v>
      </c>
      <c r="H220" s="13" t="s">
        <v>493</v>
      </c>
      <c r="I220">
        <v>4</v>
      </c>
      <c r="J220">
        <v>1353.44</v>
      </c>
      <c r="K220">
        <v>592.68</v>
      </c>
      <c r="L220">
        <f>_xlfn.XLOOKUP(F220,Products!$A$2:$A$51,Products!$D$2:$D$51,0)</f>
        <v>338.36</v>
      </c>
      <c r="M220">
        <f t="shared" si="3"/>
        <v>760.76</v>
      </c>
    </row>
    <row r="221" spans="1:13">
      <c r="A221" t="s">
        <v>495</v>
      </c>
      <c r="B221" t="s">
        <v>134</v>
      </c>
      <c r="C221" t="str">
        <f>_xlfn.XLOOKUP(F221,Products!$A$2:$A$51,Products!$C$2:$C$51,0)</f>
        <v>Merchandise</v>
      </c>
      <c r="D221" t="str">
        <f>_xlfn.XLOOKUP(F221,Products!$A$2:$A$51,Products!$B$2:$B$51,0)</f>
        <v>Insulated Travel Tumbler</v>
      </c>
      <c r="E221" t="str">
        <f>_xlfn.XLOOKUP(B221,customers!$A$2:$A$195,customers!$B$2:$B$195,,0)</f>
        <v>West</v>
      </c>
      <c r="F221">
        <v>1043</v>
      </c>
      <c r="G221" s="9">
        <f>_xlfn.XLOOKUP(B221,customers!$A$1:$A$195,customers!$C$1:$C$195)</f>
        <v>45241</v>
      </c>
      <c r="H221" s="13" t="s">
        <v>496</v>
      </c>
      <c r="I221">
        <v>3</v>
      </c>
      <c r="J221">
        <v>129.84</v>
      </c>
      <c r="K221">
        <v>62.47</v>
      </c>
      <c r="L221">
        <f>_xlfn.XLOOKUP(F221,Products!$A$2:$A$51,Products!$D$2:$D$51,0)</f>
        <v>43.28</v>
      </c>
      <c r="M221">
        <f t="shared" si="3"/>
        <v>67.37</v>
      </c>
    </row>
    <row r="222" spans="1:13">
      <c r="A222" t="s">
        <v>497</v>
      </c>
      <c r="B222" t="s">
        <v>5</v>
      </c>
      <c r="C222" t="str">
        <f>_xlfn.XLOOKUP(F222,Products!$A$2:$A$51,Products!$C$2:$C$51,0)</f>
        <v>Grinders &amp; Brewers</v>
      </c>
      <c r="D222" t="str">
        <f>_xlfn.XLOOKUP(F222,Products!$A$2:$A$51,Products!$B$2:$B$51,0)</f>
        <v>Hand Grinder (Travel Size)</v>
      </c>
      <c r="E222" t="str">
        <f>_xlfn.XLOOKUP(B222,customers!$A$2:$A$195,customers!$B$2:$B$195,,0)</f>
        <v>West</v>
      </c>
      <c r="F222">
        <v>1007</v>
      </c>
      <c r="G222" s="9">
        <f>_xlfn.XLOOKUP(B222,customers!$A$1:$A$195,customers!$C$1:$C$195)</f>
        <v>44998</v>
      </c>
      <c r="H222" s="13" t="s">
        <v>498</v>
      </c>
      <c r="I222">
        <v>1</v>
      </c>
      <c r="J222">
        <v>254.72</v>
      </c>
      <c r="K222">
        <v>130.28</v>
      </c>
      <c r="L222">
        <f>_xlfn.XLOOKUP(F222,Products!$A$2:$A$51,Products!$D$2:$D$51,0)</f>
        <v>254.72</v>
      </c>
      <c r="M222">
        <f t="shared" si="3"/>
        <v>124.44</v>
      </c>
    </row>
    <row r="223" spans="1:13">
      <c r="A223" t="s">
        <v>499</v>
      </c>
      <c r="B223" t="s">
        <v>20</v>
      </c>
      <c r="C223" t="str">
        <f>_xlfn.XLOOKUP(F223,Products!$A$2:$A$51,Products!$C$2:$C$51,0)</f>
        <v>Grinders &amp; Brewers</v>
      </c>
      <c r="D223" t="str">
        <f>_xlfn.XLOOKUP(F223,Products!$A$2:$A$51,Products!$B$2:$B$51,0)</f>
        <v>Hand Grinder (Travel Size)</v>
      </c>
      <c r="E223" t="str">
        <f>_xlfn.XLOOKUP(B223,customers!$A$2:$A$195,customers!$B$2:$B$195,,0)</f>
        <v>West</v>
      </c>
      <c r="F223">
        <v>1007</v>
      </c>
      <c r="G223" s="9">
        <f>_xlfn.XLOOKUP(B223,customers!$A$1:$A$195,customers!$C$1:$C$195)</f>
        <v>44982</v>
      </c>
      <c r="H223" s="13" t="s">
        <v>498</v>
      </c>
      <c r="I223">
        <v>3</v>
      </c>
      <c r="J223">
        <v>764.16</v>
      </c>
      <c r="K223">
        <v>390.85</v>
      </c>
      <c r="L223">
        <f>_xlfn.XLOOKUP(F223,Products!$A$2:$A$51,Products!$D$2:$D$51,0)</f>
        <v>254.72</v>
      </c>
      <c r="M223">
        <f t="shared" si="3"/>
        <v>373.31</v>
      </c>
    </row>
    <row r="224" spans="1:13">
      <c r="A224" t="s">
        <v>500</v>
      </c>
      <c r="B224" t="s">
        <v>22</v>
      </c>
      <c r="C224" t="str">
        <f>_xlfn.XLOOKUP(F224,Products!$A$2:$A$51,Products!$C$2:$C$51,0)</f>
        <v>Subscriptions</v>
      </c>
      <c r="D224" t="str">
        <f>_xlfn.XLOOKUP(F224,Products!$A$2:$A$51,Products!$B$2:$B$51,0)</f>
        <v>Espresso Lovers Quarterly Pack</v>
      </c>
      <c r="E224" t="str">
        <f>_xlfn.XLOOKUP(B224,customers!$A$2:$A$195,customers!$B$2:$B$195,,0)</f>
        <v>West</v>
      </c>
      <c r="F224">
        <v>1049</v>
      </c>
      <c r="G224" s="9">
        <f>_xlfn.XLOOKUP(B224,customers!$A$1:$A$195,customers!$C$1:$C$195)</f>
        <v>45010</v>
      </c>
      <c r="H224" s="13" t="s">
        <v>498</v>
      </c>
      <c r="I224">
        <v>1</v>
      </c>
      <c r="J224">
        <v>74.87</v>
      </c>
      <c r="K224">
        <v>19.2</v>
      </c>
      <c r="L224">
        <f>_xlfn.XLOOKUP(F224,Products!$A$2:$A$51,Products!$D$2:$D$51,0)</f>
        <v>74.87</v>
      </c>
      <c r="M224">
        <f t="shared" si="3"/>
        <v>55.67</v>
      </c>
    </row>
    <row r="225" spans="1:13">
      <c r="A225" t="s">
        <v>501</v>
      </c>
      <c r="B225" t="s">
        <v>100</v>
      </c>
      <c r="C225" t="str">
        <f>_xlfn.XLOOKUP(F225,Products!$A$2:$A$51,Products!$C$2:$C$51,0)</f>
        <v>Subscriptions</v>
      </c>
      <c r="D225" t="str">
        <f>_xlfn.XLOOKUP(F225,Products!$A$2:$A$51,Products!$B$2:$B$51,0)</f>
        <v>Subscription Renewal Service</v>
      </c>
      <c r="E225" t="str">
        <f>_xlfn.XLOOKUP(B225,customers!$A$2:$A$195,customers!$B$2:$B$195,,0)</f>
        <v>West</v>
      </c>
      <c r="F225">
        <v>1025</v>
      </c>
      <c r="G225" s="9">
        <f>_xlfn.XLOOKUP(B225,customers!$A$1:$A$195,customers!$C$1:$C$195)</f>
        <v>45128</v>
      </c>
      <c r="H225" s="13" t="s">
        <v>498</v>
      </c>
      <c r="I225">
        <v>1</v>
      </c>
      <c r="J225">
        <v>73.41</v>
      </c>
      <c r="K225">
        <v>27.29</v>
      </c>
      <c r="L225">
        <f>_xlfn.XLOOKUP(F225,Products!$A$2:$A$51,Products!$D$2:$D$51,0)</f>
        <v>73.41</v>
      </c>
      <c r="M225">
        <f t="shared" si="3"/>
        <v>46.12</v>
      </c>
    </row>
    <row r="226" spans="1:13">
      <c r="A226" t="s">
        <v>502</v>
      </c>
      <c r="B226" t="s">
        <v>136</v>
      </c>
      <c r="C226" t="str">
        <f>_xlfn.XLOOKUP(F226,Products!$A$2:$A$51,Products!$C$2:$C$51,0)</f>
        <v>Merchandise</v>
      </c>
      <c r="D226" t="str">
        <f>_xlfn.XLOOKUP(F226,Products!$A$2:$A$51,Products!$B$2:$B$51,0)</f>
        <v>Logo Hoodie (Black)</v>
      </c>
      <c r="E226" t="str">
        <f>_xlfn.XLOOKUP(B226,customers!$A$2:$A$195,customers!$B$2:$B$195,,0)</f>
        <v>South</v>
      </c>
      <c r="F226">
        <v>1042</v>
      </c>
      <c r="G226" s="9">
        <f>_xlfn.XLOOKUP(B226,customers!$A$1:$A$195,customers!$C$1:$C$195)</f>
        <v>45181</v>
      </c>
      <c r="H226" s="13" t="s">
        <v>498</v>
      </c>
      <c r="I226">
        <v>2</v>
      </c>
      <c r="J226">
        <v>30.46</v>
      </c>
      <c r="K226">
        <v>26.8</v>
      </c>
      <c r="L226">
        <f>_xlfn.XLOOKUP(F226,Products!$A$2:$A$51,Products!$D$2:$D$51,0)</f>
        <v>15.23</v>
      </c>
      <c r="M226">
        <f t="shared" si="3"/>
        <v>3.66</v>
      </c>
    </row>
    <row r="227" spans="1:13">
      <c r="A227" t="s">
        <v>503</v>
      </c>
      <c r="B227" t="s">
        <v>18</v>
      </c>
      <c r="C227" t="str">
        <f>_xlfn.XLOOKUP(F227,Products!$A$2:$A$51,Products!$C$2:$C$51,0)</f>
        <v>Subscriptions</v>
      </c>
      <c r="D227" t="str">
        <f>_xlfn.XLOOKUP(F227,Products!$A$2:$A$51,Products!$B$2:$B$51,0)</f>
        <v>Monthly Dark Roast Subscription</v>
      </c>
      <c r="E227" t="str">
        <f>_xlfn.XLOOKUP(B227,customers!$A$2:$A$195,customers!$B$2:$B$195,,0)</f>
        <v>East</v>
      </c>
      <c r="F227">
        <v>1021</v>
      </c>
      <c r="G227" s="9">
        <f>_xlfn.XLOOKUP(B227,customers!$A$1:$A$195,customers!$C$1:$C$195)</f>
        <v>45159</v>
      </c>
      <c r="H227" s="13" t="s">
        <v>504</v>
      </c>
      <c r="I227">
        <v>2</v>
      </c>
      <c r="J227">
        <v>122.52</v>
      </c>
      <c r="K227">
        <v>70.29</v>
      </c>
      <c r="L227">
        <f>_xlfn.XLOOKUP(F227,Products!$A$2:$A$51,Products!$D$2:$D$51,0)</f>
        <v>61.26</v>
      </c>
      <c r="M227">
        <f t="shared" si="3"/>
        <v>52.23</v>
      </c>
    </row>
    <row r="228" spans="1:13">
      <c r="A228" t="s">
        <v>505</v>
      </c>
      <c r="B228" t="s">
        <v>45</v>
      </c>
      <c r="C228" t="str">
        <f>_xlfn.XLOOKUP(F228,Products!$A$2:$A$51,Products!$C$2:$C$51,0)</f>
        <v>Accessories</v>
      </c>
      <c r="D228" t="str">
        <f>_xlfn.XLOOKUP(F228,Products!$A$2:$A$51,Products!$B$2:$B$51,0)</f>
        <v>Airtight Storage Container</v>
      </c>
      <c r="E228" t="str">
        <f>_xlfn.XLOOKUP(B228,customers!$A$2:$A$195,customers!$B$2:$B$195,,0)</f>
        <v>West</v>
      </c>
      <c r="F228">
        <v>1038</v>
      </c>
      <c r="G228" s="9">
        <f>_xlfn.XLOOKUP(B228,customers!$A$1:$A$195,customers!$C$1:$C$195)</f>
        <v>45006</v>
      </c>
      <c r="H228" s="13" t="s">
        <v>504</v>
      </c>
      <c r="I228">
        <v>1</v>
      </c>
      <c r="J228">
        <v>61.04</v>
      </c>
      <c r="K228">
        <v>25.71</v>
      </c>
      <c r="L228">
        <f>_xlfn.XLOOKUP(F228,Products!$A$2:$A$51,Products!$D$2:$D$51,0)</f>
        <v>61.04</v>
      </c>
      <c r="M228">
        <f t="shared" si="3"/>
        <v>35.33</v>
      </c>
    </row>
    <row r="229" spans="1:13">
      <c r="A229" t="s">
        <v>506</v>
      </c>
      <c r="B229" t="s">
        <v>152</v>
      </c>
      <c r="C229" t="str">
        <f>_xlfn.XLOOKUP(F229,Products!$A$2:$A$51,Products!$C$2:$C$51,0)</f>
        <v>Subscriptions</v>
      </c>
      <c r="D229" t="str">
        <f>_xlfn.XLOOKUP(F229,Products!$A$2:$A$51,Products!$B$2:$B$51,0)</f>
        <v>Three-Month Gift Subscription</v>
      </c>
      <c r="E229" t="str">
        <f>_xlfn.XLOOKUP(B229,customers!$A$2:$A$195,customers!$B$2:$B$195,,0)</f>
        <v>East</v>
      </c>
      <c r="F229">
        <v>1023</v>
      </c>
      <c r="G229" s="9">
        <f>_xlfn.XLOOKUP(B229,customers!$A$1:$A$195,customers!$C$1:$C$195)</f>
        <v>44949</v>
      </c>
      <c r="H229" s="13" t="s">
        <v>504</v>
      </c>
      <c r="I229">
        <v>2</v>
      </c>
      <c r="J229">
        <v>130.42</v>
      </c>
      <c r="K229">
        <v>55.22</v>
      </c>
      <c r="L229">
        <f>_xlfn.XLOOKUP(F229,Products!$A$2:$A$51,Products!$D$2:$D$51,0)</f>
        <v>65.21</v>
      </c>
      <c r="M229">
        <f t="shared" si="3"/>
        <v>75.2</v>
      </c>
    </row>
    <row r="230" spans="1:13">
      <c r="A230" t="s">
        <v>507</v>
      </c>
      <c r="B230" t="s">
        <v>197</v>
      </c>
      <c r="C230" t="str">
        <f>_xlfn.XLOOKUP(F230,Products!$A$2:$A$51,Products!$C$2:$C$51,0)</f>
        <v>Subscriptions</v>
      </c>
      <c r="D230" t="str">
        <f>_xlfn.XLOOKUP(F230,Products!$A$2:$A$51,Products!$B$2:$B$51,0)</f>
        <v>Subscription Renewal Service</v>
      </c>
      <c r="E230" t="str">
        <f>_xlfn.XLOOKUP(B230,customers!$A$2:$A$195,customers!$B$2:$B$195,,0)</f>
        <v>East</v>
      </c>
      <c r="F230">
        <v>1025</v>
      </c>
      <c r="G230" s="9">
        <f>_xlfn.XLOOKUP(B230,customers!$A$1:$A$195,customers!$C$1:$C$195)</f>
        <v>45251</v>
      </c>
      <c r="H230" s="13" t="s">
        <v>504</v>
      </c>
      <c r="I230">
        <v>1</v>
      </c>
      <c r="J230">
        <v>73.41</v>
      </c>
      <c r="K230">
        <v>27.29</v>
      </c>
      <c r="L230">
        <f>_xlfn.XLOOKUP(F230,Products!$A$2:$A$51,Products!$D$2:$D$51,0)</f>
        <v>73.41</v>
      </c>
      <c r="M230">
        <f t="shared" si="3"/>
        <v>46.12</v>
      </c>
    </row>
    <row r="231" spans="1:13">
      <c r="A231" t="s">
        <v>508</v>
      </c>
      <c r="B231" t="s">
        <v>199</v>
      </c>
      <c r="C231" t="str">
        <f>_xlfn.XLOOKUP(F231,Products!$A$2:$A$51,Products!$C$2:$C$51,0)</f>
        <v>Consumables</v>
      </c>
      <c r="D231" t="str">
        <f>_xlfn.XLOOKUP(F231,Products!$A$2:$A$51,Products!$B$2:$B$51,0)</f>
        <v>Cold Brew Concentrate</v>
      </c>
      <c r="E231" t="str">
        <f>_xlfn.XLOOKUP(B231,customers!$A$2:$A$195,customers!$B$2:$B$195,,0)</f>
        <v>South</v>
      </c>
      <c r="F231">
        <v>1029</v>
      </c>
      <c r="G231" s="9">
        <f>_xlfn.XLOOKUP(B231,customers!$A$1:$A$195,customers!$C$1:$C$195)</f>
        <v>45252</v>
      </c>
      <c r="H231" s="13" t="s">
        <v>504</v>
      </c>
      <c r="I231">
        <v>4</v>
      </c>
      <c r="J231">
        <v>93.96</v>
      </c>
      <c r="K231">
        <v>40.35</v>
      </c>
      <c r="L231">
        <f>_xlfn.XLOOKUP(F231,Products!$A$2:$A$51,Products!$D$2:$D$51,0)</f>
        <v>23.49</v>
      </c>
      <c r="M231">
        <f t="shared" si="3"/>
        <v>53.61</v>
      </c>
    </row>
    <row r="232" spans="1:13">
      <c r="A232" t="s">
        <v>509</v>
      </c>
      <c r="B232" t="s">
        <v>25</v>
      </c>
      <c r="C232" t="str">
        <f>_xlfn.XLOOKUP(F232,Products!$A$2:$A$51,Products!$C$2:$C$51,0)</f>
        <v>Accessories</v>
      </c>
      <c r="D232" t="str">
        <f>_xlfn.XLOOKUP(F232,Products!$A$2:$A$51,Products!$B$2:$B$51,0)</f>
        <v>Refillable Coffee Pods</v>
      </c>
      <c r="E232" t="str">
        <f>_xlfn.XLOOKUP(B232,customers!$A$2:$A$195,customers!$B$2:$B$195,,0)</f>
        <v>North</v>
      </c>
      <c r="F232">
        <v>1015</v>
      </c>
      <c r="G232" s="9">
        <f>_xlfn.XLOOKUP(B232,customers!$A$1:$A$195,customers!$C$1:$C$195)</f>
        <v>45187</v>
      </c>
      <c r="H232" s="13" t="s">
        <v>510</v>
      </c>
      <c r="I232">
        <v>3</v>
      </c>
      <c r="J232">
        <v>72.39</v>
      </c>
      <c r="K232">
        <v>27.88</v>
      </c>
      <c r="L232">
        <f>_xlfn.XLOOKUP(F232,Products!$A$2:$A$51,Products!$D$2:$D$51,0)</f>
        <v>24.13</v>
      </c>
      <c r="M232">
        <f t="shared" si="3"/>
        <v>44.51</v>
      </c>
    </row>
    <row r="233" spans="1:13">
      <c r="A233" t="s">
        <v>511</v>
      </c>
      <c r="B233" t="s">
        <v>175</v>
      </c>
      <c r="C233" t="str">
        <f>_xlfn.XLOOKUP(F233,Products!$A$2:$A$51,Products!$C$2:$C$51,0)</f>
        <v>Consumables</v>
      </c>
      <c r="D233" t="str">
        <f>_xlfn.XLOOKUP(F233,Products!$A$2:$A$51,Products!$B$2:$B$51,0)</f>
        <v>Single-Origin Ethiopian (250g)</v>
      </c>
      <c r="E233" t="str">
        <f>_xlfn.XLOOKUP(B233,customers!$A$2:$A$195,customers!$B$2:$B$195,,0)</f>
        <v>West</v>
      </c>
      <c r="F233">
        <v>1026</v>
      </c>
      <c r="G233" s="9">
        <f>_xlfn.XLOOKUP(B233,customers!$A$1:$A$195,customers!$C$1:$C$195)</f>
        <v>44964</v>
      </c>
      <c r="H233" s="13" t="s">
        <v>510</v>
      </c>
      <c r="I233">
        <v>3</v>
      </c>
      <c r="J233">
        <v>58.47</v>
      </c>
      <c r="K233">
        <v>38.12</v>
      </c>
      <c r="L233">
        <f>_xlfn.XLOOKUP(F233,Products!$A$2:$A$51,Products!$D$2:$D$51,0)</f>
        <v>19.49</v>
      </c>
      <c r="M233">
        <f t="shared" si="3"/>
        <v>20.35</v>
      </c>
    </row>
    <row r="234" spans="1:13">
      <c r="A234" t="s">
        <v>512</v>
      </c>
      <c r="B234" t="s">
        <v>29</v>
      </c>
      <c r="C234" t="str">
        <f>_xlfn.XLOOKUP(F234,Products!$A$2:$A$51,Products!$C$2:$C$51,0)</f>
        <v>Accessories</v>
      </c>
      <c r="D234" t="str">
        <f>_xlfn.XLOOKUP(F234,Products!$A$2:$A$51,Products!$B$2:$B$51,0)</f>
        <v>Gooseneck Electric Kettle</v>
      </c>
      <c r="E234" t="str">
        <f>_xlfn.XLOOKUP(B234,customers!$A$2:$A$195,customers!$B$2:$B$195,,0)</f>
        <v>West</v>
      </c>
      <c r="F234">
        <v>1012</v>
      </c>
      <c r="G234" s="9">
        <f>_xlfn.XLOOKUP(B234,customers!$A$1:$A$195,customers!$C$1:$C$195)</f>
        <v>45207</v>
      </c>
      <c r="H234" s="13" t="s">
        <v>513</v>
      </c>
      <c r="I234">
        <v>2</v>
      </c>
      <c r="J234">
        <v>69.74</v>
      </c>
      <c r="K234">
        <v>51.94</v>
      </c>
      <c r="L234">
        <f>_xlfn.XLOOKUP(F234,Products!$A$2:$A$51,Products!$D$2:$D$51,0)</f>
        <v>34.87</v>
      </c>
      <c r="M234">
        <f t="shared" si="3"/>
        <v>17.8</v>
      </c>
    </row>
    <row r="235" spans="1:13">
      <c r="A235" t="s">
        <v>514</v>
      </c>
      <c r="B235" t="s">
        <v>62</v>
      </c>
      <c r="C235" t="str">
        <f>_xlfn.XLOOKUP(F235,Products!$A$2:$A$51,Products!$C$2:$C$51,0)</f>
        <v>Merchandise</v>
      </c>
      <c r="D235" t="str">
        <f>_xlfn.XLOOKUP(F235,Products!$A$2:$A$51,Products!$B$2:$B$51,0)</f>
        <v>Branded Ceramic Mug (Large)</v>
      </c>
      <c r="E235" t="str">
        <f>_xlfn.XLOOKUP(B235,customers!$A$2:$A$195,customers!$B$2:$B$195,,0)</f>
        <v>West</v>
      </c>
      <c r="F235">
        <v>1016</v>
      </c>
      <c r="G235" s="9">
        <f>_xlfn.XLOOKUP(B235,customers!$A$1:$A$195,customers!$C$1:$C$195)</f>
        <v>45178</v>
      </c>
      <c r="H235" s="13" t="s">
        <v>513</v>
      </c>
      <c r="I235">
        <v>4</v>
      </c>
      <c r="J235">
        <v>172.8</v>
      </c>
      <c r="K235">
        <v>124.43</v>
      </c>
      <c r="L235">
        <f>_xlfn.XLOOKUP(F235,Products!$A$2:$A$51,Products!$D$2:$D$51,0)</f>
        <v>43.2</v>
      </c>
      <c r="M235">
        <f t="shared" si="3"/>
        <v>48.37</v>
      </c>
    </row>
    <row r="236" spans="1:13">
      <c r="A236" t="s">
        <v>515</v>
      </c>
      <c r="B236" t="s">
        <v>87</v>
      </c>
      <c r="C236" t="str">
        <f>_xlfn.XLOOKUP(F236,Products!$A$2:$A$51,Products!$C$2:$C$51,0)</f>
        <v>Grinders &amp; Brewers</v>
      </c>
      <c r="D236" t="str">
        <f>_xlfn.XLOOKUP(F236,Products!$A$2:$A$51,Products!$B$2:$B$51,0)</f>
        <v>High-Capacity French Press</v>
      </c>
      <c r="E236" t="str">
        <f>_xlfn.XLOOKUP(B236,customers!$A$2:$A$195,customers!$B$2:$B$195,,0)</f>
        <v>South</v>
      </c>
      <c r="F236">
        <v>1034</v>
      </c>
      <c r="G236" s="9">
        <f>_xlfn.XLOOKUP(B236,customers!$A$1:$A$195,customers!$C$1:$C$195)</f>
        <v>45019</v>
      </c>
      <c r="H236" s="13" t="s">
        <v>513</v>
      </c>
      <c r="I236">
        <v>3</v>
      </c>
      <c r="J236">
        <v>1015.08</v>
      </c>
      <c r="K236">
        <v>444.51</v>
      </c>
      <c r="L236">
        <f>_xlfn.XLOOKUP(F236,Products!$A$2:$A$51,Products!$D$2:$D$51,0)</f>
        <v>338.36</v>
      </c>
      <c r="M236">
        <f t="shared" si="3"/>
        <v>570.57</v>
      </c>
    </row>
    <row r="237" spans="1:13">
      <c r="A237" t="s">
        <v>516</v>
      </c>
      <c r="B237" t="s">
        <v>103</v>
      </c>
      <c r="C237" t="str">
        <f>_xlfn.XLOOKUP(F237,Products!$A$2:$A$51,Products!$C$2:$C$51,0)</f>
        <v>Consumables</v>
      </c>
      <c r="D237" t="str">
        <f>_xlfn.XLOOKUP(F237,Products!$A$2:$A$51,Products!$B$2:$B$51,0)</f>
        <v>Espresso Bean Sampler Pack</v>
      </c>
      <c r="E237" t="str">
        <f>_xlfn.XLOOKUP(B237,customers!$A$2:$A$195,customers!$B$2:$B$195,,0)</f>
        <v>West</v>
      </c>
      <c r="F237">
        <v>1030</v>
      </c>
      <c r="G237" s="9">
        <f>_xlfn.XLOOKUP(B237,customers!$A$1:$A$195,customers!$C$1:$C$195)</f>
        <v>45132</v>
      </c>
      <c r="H237" s="13" t="s">
        <v>513</v>
      </c>
      <c r="I237">
        <v>1</v>
      </c>
      <c r="J237">
        <v>19.06</v>
      </c>
      <c r="K237">
        <v>11.97</v>
      </c>
      <c r="L237">
        <f>_xlfn.XLOOKUP(F237,Products!$A$2:$A$51,Products!$D$2:$D$51,0)</f>
        <v>19.06</v>
      </c>
      <c r="M237">
        <f t="shared" si="3"/>
        <v>7.09</v>
      </c>
    </row>
    <row r="238" spans="1:13">
      <c r="A238" t="s">
        <v>517</v>
      </c>
      <c r="B238" t="s">
        <v>110</v>
      </c>
      <c r="C238" t="str">
        <f>_xlfn.XLOOKUP(F238,Products!$A$2:$A$51,Products!$C$2:$C$51,0)</f>
        <v>Consumables</v>
      </c>
      <c r="D238" t="str">
        <f>_xlfn.XLOOKUP(F238,Products!$A$2:$A$51,Products!$B$2:$B$51,0)</f>
        <v>Cold Brew Concentrate</v>
      </c>
      <c r="E238" t="str">
        <f>_xlfn.XLOOKUP(B238,customers!$A$2:$A$195,customers!$B$2:$B$195,,0)</f>
        <v>North</v>
      </c>
      <c r="F238">
        <v>1029</v>
      </c>
      <c r="G238" s="9">
        <f>_xlfn.XLOOKUP(B238,customers!$A$1:$A$195,customers!$C$1:$C$195)</f>
        <v>45090</v>
      </c>
      <c r="H238" s="13" t="s">
        <v>513</v>
      </c>
      <c r="I238">
        <v>3</v>
      </c>
      <c r="J238">
        <v>70.47</v>
      </c>
      <c r="K238">
        <v>30.26</v>
      </c>
      <c r="L238">
        <f>_xlfn.XLOOKUP(F238,Products!$A$2:$A$51,Products!$D$2:$D$51,0)</f>
        <v>23.49</v>
      </c>
      <c r="M238">
        <f t="shared" si="3"/>
        <v>40.21</v>
      </c>
    </row>
    <row r="239" spans="1:13">
      <c r="A239" t="s">
        <v>518</v>
      </c>
      <c r="B239" t="s">
        <v>112</v>
      </c>
      <c r="C239" t="str">
        <f>_xlfn.XLOOKUP(F239,Products!$A$2:$A$51,Products!$C$2:$C$51,0)</f>
        <v>Grinders &amp; Brewers</v>
      </c>
      <c r="D239" t="str">
        <f>_xlfn.XLOOKUP(F239,Products!$A$2:$A$51,Products!$B$2:$B$51,0)</f>
        <v>High-Capacity French Press</v>
      </c>
      <c r="E239" t="str">
        <f>_xlfn.XLOOKUP(B239,customers!$A$2:$A$195,customers!$B$2:$B$195,,0)</f>
        <v>East</v>
      </c>
      <c r="F239">
        <v>1009</v>
      </c>
      <c r="G239" s="9">
        <f>_xlfn.XLOOKUP(B239,customers!$A$1:$A$195,customers!$C$1:$C$195)</f>
        <v>44937</v>
      </c>
      <c r="H239" s="13" t="s">
        <v>513</v>
      </c>
      <c r="I239">
        <v>1</v>
      </c>
      <c r="J239">
        <v>338.36</v>
      </c>
      <c r="K239">
        <v>148.17</v>
      </c>
      <c r="L239">
        <f>_xlfn.XLOOKUP(F239,Products!$A$2:$A$51,Products!$D$2:$D$51,0)</f>
        <v>338.36</v>
      </c>
      <c r="M239">
        <f t="shared" si="3"/>
        <v>190.19</v>
      </c>
    </row>
    <row r="240" spans="1:13">
      <c r="A240" t="s">
        <v>519</v>
      </c>
      <c r="B240" t="s">
        <v>139</v>
      </c>
      <c r="C240" t="str">
        <f>_xlfn.XLOOKUP(F240,Products!$A$2:$A$51,Products!$C$2:$C$51,0)</f>
        <v>Consumables</v>
      </c>
      <c r="D240" t="str">
        <f>_xlfn.XLOOKUP(F240,Products!$A$2:$A$51,Products!$B$2:$B$51,0)</f>
        <v>Espresso Bean Sampler Pack</v>
      </c>
      <c r="E240" t="str">
        <f>_xlfn.XLOOKUP(B240,customers!$A$2:$A$195,customers!$B$2:$B$195,,0)</f>
        <v>East</v>
      </c>
      <c r="F240">
        <v>1005</v>
      </c>
      <c r="G240" s="9">
        <f>_xlfn.XLOOKUP(B240,customers!$A$1:$A$195,customers!$C$1:$C$195)</f>
        <v>45205</v>
      </c>
      <c r="H240" s="13" t="s">
        <v>513</v>
      </c>
      <c r="I240">
        <v>1</v>
      </c>
      <c r="J240">
        <v>19.06</v>
      </c>
      <c r="K240">
        <v>11.97</v>
      </c>
      <c r="L240">
        <f>_xlfn.XLOOKUP(F240,Products!$A$2:$A$51,Products!$D$2:$D$51,0)</f>
        <v>19.06</v>
      </c>
      <c r="M240">
        <f t="shared" si="3"/>
        <v>7.09</v>
      </c>
    </row>
    <row r="241" spans="1:13">
      <c r="A241" t="s">
        <v>520</v>
      </c>
      <c r="B241" t="s">
        <v>189</v>
      </c>
      <c r="C241" t="str">
        <f>_xlfn.XLOOKUP(F241,Products!$A$2:$A$51,Products!$C$2:$C$51,0)</f>
        <v>Consumables</v>
      </c>
      <c r="D241" t="str">
        <f>_xlfn.XLOOKUP(F241,Products!$A$2:$A$51,Products!$B$2:$B$51,0)</f>
        <v>Single-Origin Ethiopian (250g)</v>
      </c>
      <c r="E241" t="str">
        <f>_xlfn.XLOOKUP(B241,customers!$A$2:$A$195,customers!$B$2:$B$195,,0)</f>
        <v>East</v>
      </c>
      <c r="F241">
        <v>1001</v>
      </c>
      <c r="G241" s="9">
        <f>_xlfn.XLOOKUP(B241,customers!$A$1:$A$195,customers!$C$1:$C$195)</f>
        <v>45015</v>
      </c>
      <c r="H241" s="13" t="s">
        <v>513</v>
      </c>
      <c r="I241">
        <v>4</v>
      </c>
      <c r="J241">
        <v>77.96</v>
      </c>
      <c r="K241">
        <v>50.82</v>
      </c>
      <c r="L241">
        <f>_xlfn.XLOOKUP(F241,Products!$A$2:$A$51,Products!$D$2:$D$51,0)</f>
        <v>19.49</v>
      </c>
      <c r="M241">
        <f t="shared" si="3"/>
        <v>27.14</v>
      </c>
    </row>
    <row r="242" spans="1:13">
      <c r="A242" t="s">
        <v>521</v>
      </c>
      <c r="B242" t="s">
        <v>195</v>
      </c>
      <c r="C242" t="str">
        <f>_xlfn.XLOOKUP(F242,Products!$A$2:$A$51,Products!$C$2:$C$51,0)</f>
        <v>Grinders &amp; Brewers</v>
      </c>
      <c r="D242" t="str">
        <f>_xlfn.XLOOKUP(F242,Products!$A$2:$A$51,Products!$B$2:$B$51,0)</f>
        <v>High-Capacity French Press</v>
      </c>
      <c r="E242" t="str">
        <f>_xlfn.XLOOKUP(B242,customers!$A$2:$A$195,customers!$B$2:$B$195,,0)</f>
        <v>West</v>
      </c>
      <c r="F242">
        <v>1009</v>
      </c>
      <c r="G242" s="9">
        <f>_xlfn.XLOOKUP(B242,customers!$A$1:$A$195,customers!$C$1:$C$195)</f>
        <v>44997</v>
      </c>
      <c r="H242" s="13" t="s">
        <v>513</v>
      </c>
      <c r="I242">
        <v>3</v>
      </c>
      <c r="J242">
        <v>1015.08</v>
      </c>
      <c r="K242">
        <v>444.51</v>
      </c>
      <c r="L242">
        <f>_xlfn.XLOOKUP(F242,Products!$A$2:$A$51,Products!$D$2:$D$51,0)</f>
        <v>338.36</v>
      </c>
      <c r="M242">
        <f t="shared" si="3"/>
        <v>570.57</v>
      </c>
    </row>
    <row r="243" spans="1:13">
      <c r="A243" t="s">
        <v>522</v>
      </c>
      <c r="B243" t="s">
        <v>198</v>
      </c>
      <c r="C243" t="str">
        <f>_xlfn.XLOOKUP(F243,Products!$A$2:$A$51,Products!$C$2:$C$51,0)</f>
        <v>Accessories</v>
      </c>
      <c r="D243" t="str">
        <f>_xlfn.XLOOKUP(F243,Products!$A$2:$A$51,Products!$B$2:$B$51,0)</f>
        <v>Airtight Storage Container</v>
      </c>
      <c r="E243" t="str">
        <f>_xlfn.XLOOKUP(B243,customers!$A$2:$A$195,customers!$B$2:$B$195,,0)</f>
        <v>East</v>
      </c>
      <c r="F243">
        <v>1038</v>
      </c>
      <c r="G243" s="9">
        <f>_xlfn.XLOOKUP(B243,customers!$A$1:$A$195,customers!$C$1:$C$195)</f>
        <v>45115</v>
      </c>
      <c r="H243" s="13" t="s">
        <v>513</v>
      </c>
      <c r="I243">
        <v>1</v>
      </c>
      <c r="J243">
        <v>61.04</v>
      </c>
      <c r="K243">
        <v>25.71</v>
      </c>
      <c r="L243">
        <f>_xlfn.XLOOKUP(F243,Products!$A$2:$A$51,Products!$D$2:$D$51,0)</f>
        <v>61.04</v>
      </c>
      <c r="M243">
        <f t="shared" si="3"/>
        <v>35.33</v>
      </c>
    </row>
    <row r="244" spans="1:13">
      <c r="A244" t="s">
        <v>523</v>
      </c>
      <c r="B244" t="s">
        <v>10</v>
      </c>
      <c r="C244" t="str">
        <f>_xlfn.XLOOKUP(F244,Products!$A$2:$A$51,Products!$C$2:$C$51,0)</f>
        <v>Subscriptions</v>
      </c>
      <c r="D244" t="str">
        <f>_xlfn.XLOOKUP(F244,Products!$A$2:$A$51,Products!$B$2:$B$51,0)</f>
        <v>Monthly Dark Roast Subscription</v>
      </c>
      <c r="E244" t="str">
        <f>_xlfn.XLOOKUP(B244,customers!$A$2:$A$195,customers!$B$2:$B$195,,0)</f>
        <v>West</v>
      </c>
      <c r="F244">
        <v>1021</v>
      </c>
      <c r="G244" s="9">
        <f>_xlfn.XLOOKUP(B244,customers!$A$1:$A$195,customers!$C$1:$C$195)</f>
        <v>45195</v>
      </c>
      <c r="H244" s="13" t="s">
        <v>524</v>
      </c>
      <c r="I244">
        <v>3</v>
      </c>
      <c r="J244">
        <v>183.78</v>
      </c>
      <c r="K244">
        <v>105.44</v>
      </c>
      <c r="L244">
        <f>_xlfn.XLOOKUP(F244,Products!$A$2:$A$51,Products!$D$2:$D$51,0)</f>
        <v>61.26</v>
      </c>
      <c r="M244">
        <f t="shared" si="3"/>
        <v>78.34</v>
      </c>
    </row>
    <row r="245" spans="1:13">
      <c r="A245" t="s">
        <v>525</v>
      </c>
      <c r="B245" t="s">
        <v>186</v>
      </c>
      <c r="C245" t="str">
        <f>_xlfn.XLOOKUP(F245,Products!$A$2:$A$51,Products!$C$2:$C$51,0)</f>
        <v>Accessories</v>
      </c>
      <c r="D245" t="str">
        <f>_xlfn.XLOOKUP(F245,Products!$A$2:$A$51,Products!$B$2:$B$51,0)</f>
        <v>Airtight Storage Container</v>
      </c>
      <c r="E245" t="str">
        <f>_xlfn.XLOOKUP(B245,customers!$A$2:$A$195,customers!$B$2:$B$195,,0)</f>
        <v>West</v>
      </c>
      <c r="F245">
        <v>1013</v>
      </c>
      <c r="G245" s="9">
        <f>_xlfn.XLOOKUP(B245,customers!$A$1:$A$195,customers!$C$1:$C$195)</f>
        <v>45283</v>
      </c>
      <c r="H245" s="13" t="s">
        <v>524</v>
      </c>
      <c r="I245">
        <v>2</v>
      </c>
      <c r="J245">
        <v>122.08</v>
      </c>
      <c r="K245">
        <v>51.41</v>
      </c>
      <c r="L245">
        <f>_xlfn.XLOOKUP(F245,Products!$A$2:$A$51,Products!$D$2:$D$51,0)</f>
        <v>61.04</v>
      </c>
      <c r="M245">
        <f t="shared" si="3"/>
        <v>70.67</v>
      </c>
    </row>
    <row r="246" spans="1:13">
      <c r="A246" t="s">
        <v>526</v>
      </c>
      <c r="B246" t="s">
        <v>47</v>
      </c>
      <c r="C246" t="str">
        <f>_xlfn.XLOOKUP(F246,Products!$A$2:$A$51,Products!$C$2:$C$51,0)</f>
        <v>Grinders &amp; Brewers</v>
      </c>
      <c r="D246" t="str">
        <f>_xlfn.XLOOKUP(F246,Products!$A$2:$A$51,Products!$B$2:$B$51,0)</f>
        <v>High-Capacity French Press</v>
      </c>
      <c r="E246" t="str">
        <f>_xlfn.XLOOKUP(B246,customers!$A$2:$A$195,customers!$B$2:$B$195,,0)</f>
        <v>West</v>
      </c>
      <c r="F246">
        <v>1034</v>
      </c>
      <c r="G246" s="9">
        <f>_xlfn.XLOOKUP(B246,customers!$A$1:$A$195,customers!$C$1:$C$195)</f>
        <v>44967</v>
      </c>
      <c r="H246" s="13" t="s">
        <v>527</v>
      </c>
      <c r="I246">
        <v>3</v>
      </c>
      <c r="J246">
        <v>1015.08</v>
      </c>
      <c r="K246">
        <v>444.51</v>
      </c>
      <c r="L246">
        <f>_xlfn.XLOOKUP(F246,Products!$A$2:$A$51,Products!$D$2:$D$51,0)</f>
        <v>338.36</v>
      </c>
      <c r="M246">
        <f t="shared" si="3"/>
        <v>570.57</v>
      </c>
    </row>
    <row r="247" spans="1:13">
      <c r="A247" t="s">
        <v>528</v>
      </c>
      <c r="B247" t="s">
        <v>182</v>
      </c>
      <c r="C247" t="str">
        <f>_xlfn.XLOOKUP(F247,Products!$A$2:$A$51,Products!$C$2:$C$51,0)</f>
        <v>Merchandise</v>
      </c>
      <c r="D247" t="str">
        <f>_xlfn.XLOOKUP(F247,Products!$A$2:$A$51,Products!$B$2:$B$51,0)</f>
        <v>Minimalist Keychain</v>
      </c>
      <c r="E247" t="str">
        <f>_xlfn.XLOOKUP(B247,customers!$A$2:$A$195,customers!$B$2:$B$195,,0)</f>
        <v>East</v>
      </c>
      <c r="F247">
        <v>1020</v>
      </c>
      <c r="G247" s="9">
        <f>_xlfn.XLOOKUP(B247,customers!$A$1:$A$195,customers!$C$1:$C$195)</f>
        <v>44998</v>
      </c>
      <c r="H247" s="13" t="s">
        <v>527</v>
      </c>
      <c r="I247">
        <v>1</v>
      </c>
      <c r="J247">
        <v>27.37</v>
      </c>
      <c r="K247">
        <v>24.09</v>
      </c>
      <c r="L247">
        <f>_xlfn.XLOOKUP(F247,Products!$A$2:$A$51,Products!$D$2:$D$51,0)</f>
        <v>27.37</v>
      </c>
      <c r="M247">
        <f t="shared" si="3"/>
        <v>3.28</v>
      </c>
    </row>
    <row r="248" spans="1:13">
      <c r="A248" t="s">
        <v>529</v>
      </c>
      <c r="B248" t="s">
        <v>64</v>
      </c>
      <c r="C248" t="str">
        <f>_xlfn.XLOOKUP(F248,Products!$A$2:$A$51,Products!$C$2:$C$51,0)</f>
        <v>Subscriptions</v>
      </c>
      <c r="D248" t="str">
        <f>_xlfn.XLOOKUP(F248,Products!$A$2:$A$51,Products!$B$2:$B$51,0)</f>
        <v>Bi-Weekly Sampler Box</v>
      </c>
      <c r="E248" t="str">
        <f>_xlfn.XLOOKUP(B248,customers!$A$2:$A$195,customers!$B$2:$B$195,,0)</f>
        <v>East</v>
      </c>
      <c r="F248">
        <v>1047</v>
      </c>
      <c r="G248" s="9">
        <f>_xlfn.XLOOKUP(B248,customers!$A$1:$A$195,customers!$C$1:$C$195)</f>
        <v>44933</v>
      </c>
      <c r="H248" s="13" t="s">
        <v>530</v>
      </c>
      <c r="I248">
        <v>1</v>
      </c>
      <c r="J248">
        <v>88.77</v>
      </c>
      <c r="K248">
        <v>23.86</v>
      </c>
      <c r="L248">
        <f>_xlfn.XLOOKUP(F248,Products!$A$2:$A$51,Products!$D$2:$D$51,0)</f>
        <v>88.77</v>
      </c>
      <c r="M248">
        <f t="shared" si="3"/>
        <v>64.91</v>
      </c>
    </row>
    <row r="249" spans="1:13">
      <c r="A249" t="s">
        <v>531</v>
      </c>
      <c r="B249" t="s">
        <v>21</v>
      </c>
      <c r="C249" t="str">
        <f>_xlfn.XLOOKUP(F249,Products!$A$2:$A$51,Products!$C$2:$C$51,0)</f>
        <v>Accessories</v>
      </c>
      <c r="D249" t="str">
        <f>_xlfn.XLOOKUP(F249,Products!$A$2:$A$51,Products!$B$2:$B$51,0)</f>
        <v>Refillable Coffee Pods</v>
      </c>
      <c r="E249" t="str">
        <f>_xlfn.XLOOKUP(B249,customers!$A$2:$A$195,customers!$B$2:$B$195,,0)</f>
        <v>East</v>
      </c>
      <c r="F249">
        <v>1040</v>
      </c>
      <c r="G249" s="9">
        <f>_xlfn.XLOOKUP(B249,customers!$A$1:$A$195,customers!$C$1:$C$195)</f>
        <v>45046</v>
      </c>
      <c r="H249" s="13" t="s">
        <v>532</v>
      </c>
      <c r="I249">
        <v>1</v>
      </c>
      <c r="J249">
        <v>24.13</v>
      </c>
      <c r="K249">
        <v>9.3</v>
      </c>
      <c r="L249">
        <f>_xlfn.XLOOKUP(F249,Products!$A$2:$A$51,Products!$D$2:$D$51,0)</f>
        <v>24.13</v>
      </c>
      <c r="M249">
        <f t="shared" si="3"/>
        <v>14.83</v>
      </c>
    </row>
    <row r="250" spans="1:13">
      <c r="A250" t="s">
        <v>533</v>
      </c>
      <c r="B250" t="s">
        <v>112</v>
      </c>
      <c r="C250" t="str">
        <f>_xlfn.XLOOKUP(F250,Products!$A$2:$A$51,Products!$C$2:$C$51,0)</f>
        <v>Accessories</v>
      </c>
      <c r="D250" t="str">
        <f>_xlfn.XLOOKUP(F250,Products!$A$2:$A$51,Products!$B$2:$B$51,0)</f>
        <v>Airtight Storage Container</v>
      </c>
      <c r="E250" t="str">
        <f>_xlfn.XLOOKUP(B250,customers!$A$2:$A$195,customers!$B$2:$B$195,,0)</f>
        <v>East</v>
      </c>
      <c r="F250">
        <v>1013</v>
      </c>
      <c r="G250" s="9">
        <f>_xlfn.XLOOKUP(B250,customers!$A$1:$A$195,customers!$C$1:$C$195)</f>
        <v>44937</v>
      </c>
      <c r="H250" s="13" t="s">
        <v>532</v>
      </c>
      <c r="I250">
        <v>1</v>
      </c>
      <c r="J250">
        <v>61.04</v>
      </c>
      <c r="K250">
        <v>25.71</v>
      </c>
      <c r="L250">
        <f>_xlfn.XLOOKUP(F250,Products!$A$2:$A$51,Products!$D$2:$D$51,0)</f>
        <v>61.04</v>
      </c>
      <c r="M250">
        <f t="shared" si="3"/>
        <v>35.33</v>
      </c>
    </row>
    <row r="251" spans="1:13">
      <c r="A251" t="s">
        <v>534</v>
      </c>
      <c r="B251" t="s">
        <v>116</v>
      </c>
      <c r="C251" t="str">
        <f>_xlfn.XLOOKUP(F251,Products!$A$2:$A$51,Products!$C$2:$C$51,0)</f>
        <v>Grinders &amp; Brewers</v>
      </c>
      <c r="D251" t="str">
        <f>_xlfn.XLOOKUP(F251,Products!$A$2:$A$51,Products!$B$2:$B$51,0)</f>
        <v>Pour-Over Starter Kit</v>
      </c>
      <c r="E251" t="str">
        <f>_xlfn.XLOOKUP(B251,customers!$A$2:$A$195,customers!$B$2:$B$195,,0)</f>
        <v>West</v>
      </c>
      <c r="F251">
        <v>1035</v>
      </c>
      <c r="G251" s="9">
        <f>_xlfn.XLOOKUP(B251,customers!$A$1:$A$195,customers!$C$1:$C$195)</f>
        <v>45037</v>
      </c>
      <c r="H251" s="13" t="s">
        <v>532</v>
      </c>
      <c r="I251">
        <v>4</v>
      </c>
      <c r="J251">
        <v>420.92</v>
      </c>
      <c r="K251">
        <v>298.98</v>
      </c>
      <c r="L251">
        <f>_xlfn.XLOOKUP(F251,Products!$A$2:$A$51,Products!$D$2:$D$51,0)</f>
        <v>105.23</v>
      </c>
      <c r="M251">
        <f t="shared" si="3"/>
        <v>121.94</v>
      </c>
    </row>
    <row r="252" spans="1:13">
      <c r="A252" t="s">
        <v>535</v>
      </c>
      <c r="B252" t="s">
        <v>182</v>
      </c>
      <c r="C252" t="str">
        <f>_xlfn.XLOOKUP(F252,Products!$A$2:$A$51,Products!$C$2:$C$51,0)</f>
        <v>Grinders &amp; Brewers</v>
      </c>
      <c r="D252" t="str">
        <f>_xlfn.XLOOKUP(F252,Products!$A$2:$A$51,Products!$B$2:$B$51,0)</f>
        <v>Automated Drip Brewer</v>
      </c>
      <c r="E252" t="str">
        <f>_xlfn.XLOOKUP(B252,customers!$A$2:$A$195,customers!$B$2:$B$195,,0)</f>
        <v>East</v>
      </c>
      <c r="F252">
        <v>1008</v>
      </c>
      <c r="G252" s="9">
        <f>_xlfn.XLOOKUP(B252,customers!$A$1:$A$195,customers!$C$1:$C$195)</f>
        <v>44998</v>
      </c>
      <c r="H252" s="13" t="s">
        <v>532</v>
      </c>
      <c r="I252">
        <v>2</v>
      </c>
      <c r="J252">
        <v>471.52</v>
      </c>
      <c r="K252">
        <v>264.97</v>
      </c>
      <c r="L252">
        <f>_xlfn.XLOOKUP(F252,Products!$A$2:$A$51,Products!$D$2:$D$51,0)</f>
        <v>235.76</v>
      </c>
      <c r="M252">
        <f t="shared" si="3"/>
        <v>206.55</v>
      </c>
    </row>
    <row r="253" spans="1:13">
      <c r="A253" t="s">
        <v>536</v>
      </c>
      <c r="B253" t="s">
        <v>76</v>
      </c>
      <c r="C253" t="str">
        <f>_xlfn.XLOOKUP(F253,Products!$A$2:$A$51,Products!$C$2:$C$51,0)</f>
        <v>Merchandise</v>
      </c>
      <c r="D253" t="str">
        <f>_xlfn.XLOOKUP(F253,Products!$A$2:$A$51,Products!$B$2:$B$51,0)</f>
        <v>Logo Hoodie (Black)</v>
      </c>
      <c r="E253" t="str">
        <f>_xlfn.XLOOKUP(B253,customers!$A$2:$A$195,customers!$B$2:$B$195,,0)</f>
        <v>East</v>
      </c>
      <c r="F253">
        <v>1042</v>
      </c>
      <c r="G253" s="9">
        <f>_xlfn.XLOOKUP(B253,customers!$A$1:$A$195,customers!$C$1:$C$195)</f>
        <v>45072</v>
      </c>
      <c r="H253" s="13" t="s">
        <v>537</v>
      </c>
      <c r="I253">
        <v>1</v>
      </c>
      <c r="J253">
        <v>15.23</v>
      </c>
      <c r="K253">
        <v>13.4</v>
      </c>
      <c r="L253">
        <f>_xlfn.XLOOKUP(F253,Products!$A$2:$A$51,Products!$D$2:$D$51,0)</f>
        <v>15.23</v>
      </c>
      <c r="M253">
        <f t="shared" si="3"/>
        <v>1.83</v>
      </c>
    </row>
    <row r="254" spans="1:13">
      <c r="A254" t="s">
        <v>538</v>
      </c>
      <c r="B254" t="s">
        <v>87</v>
      </c>
      <c r="C254" t="str">
        <f>_xlfn.XLOOKUP(F254,Products!$A$2:$A$51,Products!$C$2:$C$51,0)</f>
        <v>Grinders &amp; Brewers</v>
      </c>
      <c r="D254" t="str">
        <f>_xlfn.XLOOKUP(F254,Products!$A$2:$A$51,Products!$B$2:$B$51,0)</f>
        <v>Hand Grinder (Travel Size)</v>
      </c>
      <c r="E254" t="str">
        <f>_xlfn.XLOOKUP(B254,customers!$A$2:$A$195,customers!$B$2:$B$195,,0)</f>
        <v>South</v>
      </c>
      <c r="F254">
        <v>1032</v>
      </c>
      <c r="G254" s="9">
        <f>_xlfn.XLOOKUP(B254,customers!$A$1:$A$195,customers!$C$1:$C$195)</f>
        <v>45019</v>
      </c>
      <c r="H254" s="13" t="s">
        <v>537</v>
      </c>
      <c r="I254">
        <v>1</v>
      </c>
      <c r="J254">
        <v>254.72</v>
      </c>
      <c r="K254">
        <v>130.28</v>
      </c>
      <c r="L254">
        <f>_xlfn.XLOOKUP(F254,Products!$A$2:$A$51,Products!$D$2:$D$51,0)</f>
        <v>254.72</v>
      </c>
      <c r="M254">
        <f t="shared" si="3"/>
        <v>124.44</v>
      </c>
    </row>
    <row r="255" spans="1:13">
      <c r="A255" t="s">
        <v>539</v>
      </c>
      <c r="B255" t="s">
        <v>160</v>
      </c>
      <c r="C255" t="str">
        <f>_xlfn.XLOOKUP(F255,Products!$A$2:$A$51,Products!$C$2:$C$51,0)</f>
        <v>Grinders &amp; Brewers</v>
      </c>
      <c r="D255" t="str">
        <f>_xlfn.XLOOKUP(F255,Products!$A$2:$A$51,Products!$B$2:$B$51,0)</f>
        <v>Pour-Over Starter Kit</v>
      </c>
      <c r="E255" t="str">
        <f>_xlfn.XLOOKUP(B255,customers!$A$2:$A$195,customers!$B$2:$B$195,,0)</f>
        <v>East</v>
      </c>
      <c r="F255">
        <v>1035</v>
      </c>
      <c r="G255" s="9">
        <f>_xlfn.XLOOKUP(B255,customers!$A$1:$A$195,customers!$C$1:$C$195)</f>
        <v>45087</v>
      </c>
      <c r="H255" s="13" t="s">
        <v>537</v>
      </c>
      <c r="I255">
        <v>2</v>
      </c>
      <c r="J255">
        <v>210.46</v>
      </c>
      <c r="K255">
        <v>149.49</v>
      </c>
      <c r="L255">
        <f>_xlfn.XLOOKUP(F255,Products!$A$2:$A$51,Products!$D$2:$D$51,0)</f>
        <v>105.23</v>
      </c>
      <c r="M255">
        <f t="shared" si="3"/>
        <v>60.97</v>
      </c>
    </row>
    <row r="256" spans="1:13">
      <c r="A256" t="s">
        <v>540</v>
      </c>
      <c r="B256" t="s">
        <v>14</v>
      </c>
      <c r="C256" t="str">
        <f>_xlfn.XLOOKUP(F256,Products!$A$2:$A$51,Products!$C$2:$C$51,0)</f>
        <v>Accessories</v>
      </c>
      <c r="D256" t="str">
        <f>_xlfn.XLOOKUP(F256,Products!$A$2:$A$51,Products!$B$2:$B$51,0)</f>
        <v>Chemex Filters (100 pack)</v>
      </c>
      <c r="E256" t="str">
        <f>_xlfn.XLOOKUP(B256,customers!$A$2:$A$195,customers!$B$2:$B$195,,0)</f>
        <v>West</v>
      </c>
      <c r="F256">
        <v>1039</v>
      </c>
      <c r="G256" s="9">
        <f>_xlfn.XLOOKUP(B256,customers!$A$1:$A$195,customers!$C$1:$C$195)</f>
        <v>45134</v>
      </c>
      <c r="H256" s="13" t="s">
        <v>541</v>
      </c>
      <c r="I256">
        <v>2</v>
      </c>
      <c r="J256">
        <v>48.2</v>
      </c>
      <c r="K256">
        <v>42.42</v>
      </c>
      <c r="L256">
        <f>_xlfn.XLOOKUP(F256,Products!$A$2:$A$51,Products!$D$2:$D$51,0)</f>
        <v>24.1</v>
      </c>
      <c r="M256">
        <f t="shared" si="3"/>
        <v>5.78</v>
      </c>
    </row>
    <row r="257" spans="1:13">
      <c r="A257" t="s">
        <v>542</v>
      </c>
      <c r="B257" t="s">
        <v>138</v>
      </c>
      <c r="C257" t="str">
        <f>_xlfn.XLOOKUP(F257,Products!$A$2:$A$51,Products!$C$2:$C$51,0)</f>
        <v>Accessories</v>
      </c>
      <c r="D257" t="str">
        <f>_xlfn.XLOOKUP(F257,Products!$A$2:$A$51,Products!$B$2:$B$51,0)</f>
        <v>Airtight Storage Container</v>
      </c>
      <c r="E257" t="str">
        <f>_xlfn.XLOOKUP(B257,customers!$A$2:$A$195,customers!$B$2:$B$195,,0)</f>
        <v>East</v>
      </c>
      <c r="F257">
        <v>1013</v>
      </c>
      <c r="G257" s="9">
        <f>_xlfn.XLOOKUP(B257,customers!$A$1:$A$195,customers!$C$1:$C$195)</f>
        <v>44976</v>
      </c>
      <c r="H257" s="13" t="s">
        <v>541</v>
      </c>
      <c r="I257">
        <v>4</v>
      </c>
      <c r="J257">
        <v>244.16</v>
      </c>
      <c r="K257">
        <v>102.83</v>
      </c>
      <c r="L257">
        <f>_xlfn.XLOOKUP(F257,Products!$A$2:$A$51,Products!$D$2:$D$51,0)</f>
        <v>61.04</v>
      </c>
      <c r="M257">
        <f t="shared" si="3"/>
        <v>141.33</v>
      </c>
    </row>
    <row r="258" spans="1:13">
      <c r="A258" t="s">
        <v>543</v>
      </c>
      <c r="B258" t="s">
        <v>146</v>
      </c>
      <c r="C258" t="str">
        <f>_xlfn.XLOOKUP(F258,Products!$A$2:$A$51,Products!$C$2:$C$51,0)</f>
        <v>Consumables</v>
      </c>
      <c r="D258" t="str">
        <f>_xlfn.XLOOKUP(F258,Products!$A$2:$A$51,Products!$B$2:$B$51,0)</f>
        <v>Cold Brew Concentrate</v>
      </c>
      <c r="E258" t="str">
        <f>_xlfn.XLOOKUP(B258,customers!$A$2:$A$195,customers!$B$2:$B$195,,0)</f>
        <v>East</v>
      </c>
      <c r="F258">
        <v>1029</v>
      </c>
      <c r="G258" s="9">
        <f>_xlfn.XLOOKUP(B258,customers!$A$1:$A$195,customers!$C$1:$C$195)</f>
        <v>44981</v>
      </c>
      <c r="H258" s="13" t="s">
        <v>541</v>
      </c>
      <c r="I258">
        <v>3</v>
      </c>
      <c r="J258">
        <v>70.47</v>
      </c>
      <c r="K258">
        <v>30.26</v>
      </c>
      <c r="L258">
        <f>_xlfn.XLOOKUP(F258,Products!$A$2:$A$51,Products!$D$2:$D$51,0)</f>
        <v>23.49</v>
      </c>
      <c r="M258">
        <f t="shared" si="3"/>
        <v>40.21</v>
      </c>
    </row>
    <row r="259" spans="1:13">
      <c r="A259" t="s">
        <v>544</v>
      </c>
      <c r="B259" t="s">
        <v>139</v>
      </c>
      <c r="C259" t="str">
        <f>_xlfn.XLOOKUP(F259,Products!$A$2:$A$51,Products!$C$2:$C$51,0)</f>
        <v>Consumables</v>
      </c>
      <c r="D259" t="str">
        <f>_xlfn.XLOOKUP(F259,Products!$A$2:$A$51,Products!$B$2:$B$51,0)</f>
        <v>Decaf Blend (1kg)</v>
      </c>
      <c r="E259" t="str">
        <f>_xlfn.XLOOKUP(B259,customers!$A$2:$A$195,customers!$B$2:$B$195,,0)</f>
        <v>East</v>
      </c>
      <c r="F259">
        <v>1003</v>
      </c>
      <c r="G259" s="9">
        <f>_xlfn.XLOOKUP(B259,customers!$A$1:$A$195,customers!$C$1:$C$195)</f>
        <v>45205</v>
      </c>
      <c r="H259" s="13" t="s">
        <v>545</v>
      </c>
      <c r="I259">
        <v>4</v>
      </c>
      <c r="J259">
        <v>161.4</v>
      </c>
      <c r="K259">
        <v>51.44</v>
      </c>
      <c r="L259">
        <f>_xlfn.XLOOKUP(F259,Products!$A$2:$A$51,Products!$D$2:$D$51,0)</f>
        <v>40.35</v>
      </c>
      <c r="M259">
        <f t="shared" ref="M259:M322" si="4">J259-K259</f>
        <v>109.96</v>
      </c>
    </row>
    <row r="260" spans="1:13">
      <c r="A260" t="s">
        <v>546</v>
      </c>
      <c r="B260" t="s">
        <v>547</v>
      </c>
      <c r="C260" t="str">
        <f>_xlfn.XLOOKUP(F260,Products!$A$2:$A$51,Products!$C$2:$C$51,0)</f>
        <v>Grinders &amp; Brewers</v>
      </c>
      <c r="D260" t="str">
        <f>_xlfn.XLOOKUP(F260,Products!$A$2:$A$51,Products!$B$2:$B$51,0)</f>
        <v>Automated Drip Brewer</v>
      </c>
      <c r="E260" t="s">
        <v>4</v>
      </c>
      <c r="F260">
        <v>1008</v>
      </c>
      <c r="G260" s="9">
        <v>45207</v>
      </c>
      <c r="H260" s="13" t="s">
        <v>545</v>
      </c>
      <c r="I260">
        <v>1</v>
      </c>
      <c r="J260">
        <v>235.76</v>
      </c>
      <c r="K260">
        <v>132.48</v>
      </c>
      <c r="L260">
        <f>_xlfn.XLOOKUP(F260,Products!$A$2:$A$51,Products!$D$2:$D$51,0)</f>
        <v>235.76</v>
      </c>
      <c r="M260">
        <f t="shared" si="4"/>
        <v>103.28</v>
      </c>
    </row>
    <row r="261" spans="1:13">
      <c r="A261" t="s">
        <v>548</v>
      </c>
      <c r="B261" t="s">
        <v>180</v>
      </c>
      <c r="C261" t="str">
        <f>_xlfn.XLOOKUP(F261,Products!$A$2:$A$51,Products!$C$2:$C$51,0)</f>
        <v>Accessories</v>
      </c>
      <c r="D261" t="str">
        <f>_xlfn.XLOOKUP(F261,Products!$A$2:$A$51,Products!$B$2:$B$51,0)</f>
        <v>Refillable Coffee Pods</v>
      </c>
      <c r="E261" t="str">
        <f>_xlfn.XLOOKUP(B261,customers!$A$2:$A$195,customers!$B$2:$B$195,,0)</f>
        <v>South</v>
      </c>
      <c r="F261">
        <v>1015</v>
      </c>
      <c r="G261" s="9">
        <f>_xlfn.XLOOKUP(B261,customers!$A$1:$A$195,customers!$C$1:$C$195)</f>
        <v>45215</v>
      </c>
      <c r="H261" s="13" t="s">
        <v>545</v>
      </c>
      <c r="I261">
        <v>2</v>
      </c>
      <c r="J261">
        <v>48.26</v>
      </c>
      <c r="K261">
        <v>18.59</v>
      </c>
      <c r="L261">
        <f>_xlfn.XLOOKUP(F261,Products!$A$2:$A$51,Products!$D$2:$D$51,0)</f>
        <v>24.13</v>
      </c>
      <c r="M261">
        <f t="shared" si="4"/>
        <v>29.67</v>
      </c>
    </row>
    <row r="262" spans="1:13">
      <c r="A262" t="s">
        <v>549</v>
      </c>
      <c r="B262" t="s">
        <v>47</v>
      </c>
      <c r="C262" t="str">
        <f>_xlfn.XLOOKUP(F262,Products!$A$2:$A$51,Products!$C$2:$C$51,0)</f>
        <v>Subscriptions</v>
      </c>
      <c r="D262" t="str">
        <f>_xlfn.XLOOKUP(F262,Products!$A$2:$A$51,Products!$B$2:$B$51,0)</f>
        <v>Subscription Renewal Service</v>
      </c>
      <c r="E262" t="str">
        <f>_xlfn.XLOOKUP(B262,customers!$A$2:$A$195,customers!$B$2:$B$195,,0)</f>
        <v>West</v>
      </c>
      <c r="F262">
        <v>1050</v>
      </c>
      <c r="G262" s="9">
        <f>_xlfn.XLOOKUP(B262,customers!$A$1:$A$195,customers!$C$1:$C$195)</f>
        <v>44967</v>
      </c>
      <c r="H262" s="13" t="s">
        <v>550</v>
      </c>
      <c r="I262">
        <v>2</v>
      </c>
      <c r="J262">
        <v>146.82</v>
      </c>
      <c r="K262">
        <v>54.58</v>
      </c>
      <c r="L262">
        <f>_xlfn.XLOOKUP(F262,Products!$A$2:$A$51,Products!$D$2:$D$51,0)</f>
        <v>73.41</v>
      </c>
      <c r="M262">
        <f t="shared" si="4"/>
        <v>92.24</v>
      </c>
    </row>
    <row r="263" spans="1:13">
      <c r="A263" t="s">
        <v>551</v>
      </c>
      <c r="B263" t="s">
        <v>110</v>
      </c>
      <c r="C263" t="str">
        <f>_xlfn.XLOOKUP(F263,Products!$A$2:$A$51,Products!$C$2:$C$51,0)</f>
        <v>Subscriptions</v>
      </c>
      <c r="D263" t="str">
        <f>_xlfn.XLOOKUP(F263,Products!$A$2:$A$51,Products!$B$2:$B$51,0)</f>
        <v>Espresso Lovers Quarterly Pack</v>
      </c>
      <c r="E263" t="str">
        <f>_xlfn.XLOOKUP(B263,customers!$A$2:$A$195,customers!$B$2:$B$195,,0)</f>
        <v>North</v>
      </c>
      <c r="F263">
        <v>1024</v>
      </c>
      <c r="G263" s="9">
        <f>_xlfn.XLOOKUP(B263,customers!$A$1:$A$195,customers!$C$1:$C$195)</f>
        <v>45090</v>
      </c>
      <c r="H263" s="13" t="s">
        <v>550</v>
      </c>
      <c r="I263">
        <v>2</v>
      </c>
      <c r="J263">
        <v>149.74</v>
      </c>
      <c r="K263">
        <v>38.39</v>
      </c>
      <c r="L263">
        <f>_xlfn.XLOOKUP(F263,Products!$A$2:$A$51,Products!$D$2:$D$51,0)</f>
        <v>74.87</v>
      </c>
      <c r="M263">
        <f t="shared" si="4"/>
        <v>111.35</v>
      </c>
    </row>
    <row r="264" spans="1:13">
      <c r="A264" t="s">
        <v>552</v>
      </c>
      <c r="B264" t="s">
        <v>132</v>
      </c>
      <c r="C264" t="str">
        <f>_xlfn.XLOOKUP(F264,Products!$A$2:$A$51,Products!$C$2:$C$51,0)</f>
        <v>Consumables</v>
      </c>
      <c r="D264" t="str">
        <f>_xlfn.XLOOKUP(F264,Products!$A$2:$A$51,Products!$B$2:$B$51,0)</f>
        <v>Decaf Blend (1kg)</v>
      </c>
      <c r="E264" t="str">
        <f>_xlfn.XLOOKUP(B264,customers!$A$2:$A$195,customers!$B$2:$B$195,,0)</f>
        <v>East</v>
      </c>
      <c r="F264">
        <v>1028</v>
      </c>
      <c r="G264" s="9">
        <f>_xlfn.XLOOKUP(B264,customers!$A$1:$A$195,customers!$C$1:$C$195)</f>
        <v>45062</v>
      </c>
      <c r="H264" s="13" t="s">
        <v>550</v>
      </c>
      <c r="I264">
        <v>2</v>
      </c>
      <c r="J264">
        <v>80.7</v>
      </c>
      <c r="K264">
        <v>25.72</v>
      </c>
      <c r="L264">
        <f>_xlfn.XLOOKUP(F264,Products!$A$2:$A$51,Products!$D$2:$D$51,0)</f>
        <v>40.35</v>
      </c>
      <c r="M264">
        <f t="shared" si="4"/>
        <v>54.98</v>
      </c>
    </row>
    <row r="265" spans="1:13">
      <c r="A265" t="s">
        <v>553</v>
      </c>
      <c r="B265" t="s">
        <v>161</v>
      </c>
      <c r="C265" t="str">
        <f>_xlfn.XLOOKUP(F265,Products!$A$2:$A$51,Products!$C$2:$C$51,0)</f>
        <v>Merchandise</v>
      </c>
      <c r="D265" t="str">
        <f>_xlfn.XLOOKUP(F265,Products!$A$2:$A$51,Products!$B$2:$B$51,0)</f>
        <v>Logo Hoodie (Black)</v>
      </c>
      <c r="E265" t="str">
        <f>_xlfn.XLOOKUP(B265,customers!$A$2:$A$195,customers!$B$2:$B$195,,0)</f>
        <v>South</v>
      </c>
      <c r="F265">
        <v>1042</v>
      </c>
      <c r="G265" s="9">
        <f>_xlfn.XLOOKUP(B265,customers!$A$1:$A$195,customers!$C$1:$C$195)</f>
        <v>45203</v>
      </c>
      <c r="H265" s="13" t="s">
        <v>550</v>
      </c>
      <c r="I265">
        <v>1</v>
      </c>
      <c r="J265">
        <v>15.23</v>
      </c>
      <c r="K265">
        <v>13.4</v>
      </c>
      <c r="L265">
        <f>_xlfn.XLOOKUP(F265,Products!$A$2:$A$51,Products!$D$2:$D$51,0)</f>
        <v>15.23</v>
      </c>
      <c r="M265">
        <f t="shared" si="4"/>
        <v>1.83</v>
      </c>
    </row>
    <row r="266" spans="1:13">
      <c r="A266" t="s">
        <v>554</v>
      </c>
      <c r="B266" t="s">
        <v>70</v>
      </c>
      <c r="C266" t="str">
        <f>_xlfn.XLOOKUP(F266,Products!$A$2:$A$51,Products!$C$2:$C$51,0)</f>
        <v>Consumables</v>
      </c>
      <c r="D266" t="str">
        <f>_xlfn.XLOOKUP(F266,Products!$A$2:$A$51,Products!$B$2:$B$51,0)</f>
        <v>Decaf Blend (1kg)</v>
      </c>
      <c r="E266" t="str">
        <f>_xlfn.XLOOKUP(B266,customers!$A$2:$A$195,customers!$B$2:$B$195,,0)</f>
        <v>West</v>
      </c>
      <c r="F266">
        <v>1028</v>
      </c>
      <c r="G266" s="9">
        <f>_xlfn.XLOOKUP(B266,customers!$A$1:$A$195,customers!$C$1:$C$195)</f>
        <v>45269</v>
      </c>
      <c r="H266" s="13" t="s">
        <v>555</v>
      </c>
      <c r="I266">
        <v>2</v>
      </c>
      <c r="J266">
        <v>80.7</v>
      </c>
      <c r="K266">
        <v>25.72</v>
      </c>
      <c r="L266">
        <f>_xlfn.XLOOKUP(F266,Products!$A$2:$A$51,Products!$D$2:$D$51,0)</f>
        <v>40.35</v>
      </c>
      <c r="M266">
        <f t="shared" si="4"/>
        <v>54.98</v>
      </c>
    </row>
    <row r="267" spans="1:13">
      <c r="A267" t="s">
        <v>556</v>
      </c>
      <c r="B267" t="s">
        <v>187</v>
      </c>
      <c r="C267" t="str">
        <f>_xlfn.XLOOKUP(F267,Products!$A$2:$A$51,Products!$C$2:$C$51,0)</f>
        <v>Grinders &amp; Brewers</v>
      </c>
      <c r="D267" t="str">
        <f>_xlfn.XLOOKUP(F267,Products!$A$2:$A$51,Products!$B$2:$B$51,0)</f>
        <v>Hand Grinder (Travel Size)</v>
      </c>
      <c r="E267" t="str">
        <f>_xlfn.XLOOKUP(B267,customers!$A$2:$A$195,customers!$B$2:$B$195,,0)</f>
        <v>West</v>
      </c>
      <c r="F267">
        <v>1007</v>
      </c>
      <c r="G267" s="9">
        <f>_xlfn.XLOOKUP(B267,customers!$A$1:$A$195,customers!$C$1:$C$195)</f>
        <v>45282</v>
      </c>
      <c r="H267" s="13" t="s">
        <v>557</v>
      </c>
      <c r="I267">
        <v>3</v>
      </c>
      <c r="J267">
        <v>764.16</v>
      </c>
      <c r="K267">
        <v>390.85</v>
      </c>
      <c r="L267">
        <f>_xlfn.XLOOKUP(F267,Products!$A$2:$A$51,Products!$D$2:$D$51,0)</f>
        <v>254.72</v>
      </c>
      <c r="M267">
        <f t="shared" si="4"/>
        <v>373.31</v>
      </c>
    </row>
    <row r="268" spans="1:13">
      <c r="A268" t="s">
        <v>558</v>
      </c>
      <c r="B268" t="s">
        <v>13</v>
      </c>
      <c r="C268" t="str">
        <f>_xlfn.XLOOKUP(F268,Products!$A$2:$A$51,Products!$C$2:$C$51,0)</f>
        <v>Consumables</v>
      </c>
      <c r="D268" t="str">
        <f>_xlfn.XLOOKUP(F268,Products!$A$2:$A$51,Products!$B$2:$B$51,0)</f>
        <v>Cold Brew Concentrate</v>
      </c>
      <c r="E268" t="str">
        <f>_xlfn.XLOOKUP(B268,customers!$A$2:$A$195,customers!$B$2:$B$195,,0)</f>
        <v>East</v>
      </c>
      <c r="F268">
        <v>1029</v>
      </c>
      <c r="G268" s="9">
        <f>_xlfn.XLOOKUP(B268,customers!$A$1:$A$195,customers!$C$1:$C$195)</f>
        <v>45214</v>
      </c>
      <c r="H268" s="13" t="s">
        <v>559</v>
      </c>
      <c r="I268">
        <v>2</v>
      </c>
      <c r="J268">
        <v>46.98</v>
      </c>
      <c r="K268">
        <v>20.17</v>
      </c>
      <c r="L268">
        <f>_xlfn.XLOOKUP(F268,Products!$A$2:$A$51,Products!$D$2:$D$51,0)</f>
        <v>23.49</v>
      </c>
      <c r="M268">
        <f t="shared" si="4"/>
        <v>26.81</v>
      </c>
    </row>
    <row r="269" spans="1:13">
      <c r="A269" t="s">
        <v>560</v>
      </c>
      <c r="B269" t="s">
        <v>150</v>
      </c>
      <c r="C269" t="str">
        <f>_xlfn.XLOOKUP(F269,Products!$A$2:$A$51,Products!$C$2:$C$51,0)</f>
        <v>Subscriptions</v>
      </c>
      <c r="D269" t="str">
        <f>_xlfn.XLOOKUP(F269,Products!$A$2:$A$51,Products!$B$2:$B$51,0)</f>
        <v>Three-Month Gift Subscription</v>
      </c>
      <c r="E269" t="str">
        <f>_xlfn.XLOOKUP(B269,customers!$A$2:$A$195,customers!$B$2:$B$195,,0)</f>
        <v>East</v>
      </c>
      <c r="F269">
        <v>1048</v>
      </c>
      <c r="G269" s="9">
        <f>_xlfn.XLOOKUP(B269,customers!$A$1:$A$195,customers!$C$1:$C$195)</f>
        <v>45253</v>
      </c>
      <c r="H269" s="13" t="s">
        <v>559</v>
      </c>
      <c r="I269">
        <v>2</v>
      </c>
      <c r="J269">
        <v>130.42</v>
      </c>
      <c r="K269">
        <v>55.22</v>
      </c>
      <c r="L269">
        <f>_xlfn.XLOOKUP(F269,Products!$A$2:$A$51,Products!$D$2:$D$51,0)</f>
        <v>65.21</v>
      </c>
      <c r="M269">
        <f t="shared" si="4"/>
        <v>75.2</v>
      </c>
    </row>
    <row r="270" spans="1:13">
      <c r="A270" t="s">
        <v>561</v>
      </c>
      <c r="B270" t="s">
        <v>161</v>
      </c>
      <c r="C270" t="str">
        <f>_xlfn.XLOOKUP(F270,Products!$A$2:$A$51,Products!$C$2:$C$51,0)</f>
        <v>Consumables</v>
      </c>
      <c r="D270" t="str">
        <f>_xlfn.XLOOKUP(F270,Products!$A$2:$A$51,Products!$B$2:$B$51,0)</f>
        <v>Cold Brew Concentrate</v>
      </c>
      <c r="E270" t="str">
        <f>_xlfn.XLOOKUP(B270,customers!$A$2:$A$195,customers!$B$2:$B$195,,0)</f>
        <v>South</v>
      </c>
      <c r="F270">
        <v>1029</v>
      </c>
      <c r="G270" s="9">
        <f>_xlfn.XLOOKUP(B270,customers!$A$1:$A$195,customers!$C$1:$C$195)</f>
        <v>45203</v>
      </c>
      <c r="H270" s="13" t="s">
        <v>559</v>
      </c>
      <c r="I270">
        <v>4</v>
      </c>
      <c r="J270">
        <v>93.96</v>
      </c>
      <c r="K270">
        <v>40.35</v>
      </c>
      <c r="L270">
        <f>_xlfn.XLOOKUP(F270,Products!$A$2:$A$51,Products!$D$2:$D$51,0)</f>
        <v>23.49</v>
      </c>
      <c r="M270">
        <f t="shared" si="4"/>
        <v>53.61</v>
      </c>
    </row>
    <row r="271" spans="1:13">
      <c r="A271" t="s">
        <v>562</v>
      </c>
      <c r="B271" t="s">
        <v>176</v>
      </c>
      <c r="C271" t="str">
        <f>_xlfn.XLOOKUP(F271,Products!$A$2:$A$51,Products!$C$2:$C$51,0)</f>
        <v>Grinders &amp; Brewers</v>
      </c>
      <c r="D271" t="str">
        <f>_xlfn.XLOOKUP(F271,Products!$A$2:$A$51,Products!$B$2:$B$51,0)</f>
        <v>Precision Electric Grinder</v>
      </c>
      <c r="E271" t="str">
        <f>_xlfn.XLOOKUP(B271,customers!$A$2:$A$195,customers!$B$2:$B$195,,0)</f>
        <v>West</v>
      </c>
      <c r="F271">
        <v>1031</v>
      </c>
      <c r="G271" s="9">
        <f>_xlfn.XLOOKUP(B271,customers!$A$1:$A$195,customers!$C$1:$C$195)</f>
        <v>45206</v>
      </c>
      <c r="H271" s="13" t="s">
        <v>559</v>
      </c>
      <c r="I271">
        <v>4</v>
      </c>
      <c r="J271">
        <v>928.8</v>
      </c>
      <c r="K271">
        <v>313.54</v>
      </c>
      <c r="L271">
        <f>_xlfn.XLOOKUP(F271,Products!$A$2:$A$51,Products!$D$2:$D$51,0)</f>
        <v>232.2</v>
      </c>
      <c r="M271">
        <f t="shared" si="4"/>
        <v>615.26</v>
      </c>
    </row>
    <row r="272" spans="1:13">
      <c r="A272" t="s">
        <v>563</v>
      </c>
      <c r="B272" t="s">
        <v>22</v>
      </c>
      <c r="C272" t="str">
        <f>_xlfn.XLOOKUP(F272,Products!$A$2:$A$51,Products!$C$2:$C$51,0)</f>
        <v>Merchandise</v>
      </c>
      <c r="D272" t="str">
        <f>_xlfn.XLOOKUP(F272,Products!$A$2:$A$51,Products!$B$2:$B$51,0)</f>
        <v>Branded Ceramic Mug (Large)</v>
      </c>
      <c r="E272" t="str">
        <f>_xlfn.XLOOKUP(B272,customers!$A$2:$A$195,customers!$B$2:$B$195,,0)</f>
        <v>West</v>
      </c>
      <c r="F272">
        <v>1041</v>
      </c>
      <c r="G272" s="9">
        <f>_xlfn.XLOOKUP(B272,customers!$A$1:$A$195,customers!$C$1:$C$195)</f>
        <v>45010</v>
      </c>
      <c r="H272" s="13">
        <v>45661</v>
      </c>
      <c r="I272">
        <v>1</v>
      </c>
      <c r="J272">
        <v>43.2</v>
      </c>
      <c r="K272">
        <v>31.11</v>
      </c>
      <c r="L272">
        <f>_xlfn.XLOOKUP(F272,Products!$A$2:$A$51,Products!$D$2:$D$51,0)</f>
        <v>43.2</v>
      </c>
      <c r="M272">
        <f t="shared" si="4"/>
        <v>12.09</v>
      </c>
    </row>
    <row r="273" spans="1:13">
      <c r="A273" t="s">
        <v>564</v>
      </c>
      <c r="B273" t="s">
        <v>34</v>
      </c>
      <c r="C273" t="str">
        <f>_xlfn.XLOOKUP(F273,Products!$A$2:$A$51,Products!$C$2:$C$51,0)</f>
        <v>Accessories</v>
      </c>
      <c r="D273" t="str">
        <f>_xlfn.XLOOKUP(F273,Products!$A$2:$A$51,Products!$B$2:$B$51,0)</f>
        <v>Chemex Filters (100 pack)</v>
      </c>
      <c r="E273" t="str">
        <f>_xlfn.XLOOKUP(B273,customers!$A$2:$A$195,customers!$B$2:$B$195,,0)</f>
        <v>West</v>
      </c>
      <c r="F273">
        <v>1014</v>
      </c>
      <c r="G273" s="9">
        <f>_xlfn.XLOOKUP(B273,customers!$A$1:$A$195,customers!$C$1:$C$195)</f>
        <v>45028</v>
      </c>
      <c r="H273" s="13">
        <v>45661</v>
      </c>
      <c r="I273">
        <v>1</v>
      </c>
      <c r="J273">
        <v>24.1</v>
      </c>
      <c r="K273">
        <v>21.21</v>
      </c>
      <c r="L273">
        <f>_xlfn.XLOOKUP(F273,Products!$A$2:$A$51,Products!$D$2:$D$51,0)</f>
        <v>24.1</v>
      </c>
      <c r="M273">
        <f t="shared" si="4"/>
        <v>2.89</v>
      </c>
    </row>
    <row r="274" spans="1:13">
      <c r="A274" t="s">
        <v>565</v>
      </c>
      <c r="B274" t="s">
        <v>39</v>
      </c>
      <c r="C274" t="str">
        <f>_xlfn.XLOOKUP(F274,Products!$A$2:$A$51,Products!$C$2:$C$51,0)</f>
        <v>Merchandise</v>
      </c>
      <c r="D274" t="str">
        <f>_xlfn.XLOOKUP(F274,Products!$A$2:$A$51,Products!$B$2:$B$51,0)</f>
        <v>Minimalist Keychain</v>
      </c>
      <c r="E274" t="str">
        <f>_xlfn.XLOOKUP(B274,customers!$A$2:$A$195,customers!$B$2:$B$195,,0)</f>
        <v>North</v>
      </c>
      <c r="F274">
        <v>1020</v>
      </c>
      <c r="G274" s="9">
        <f>_xlfn.XLOOKUP(B274,customers!$A$1:$A$195,customers!$C$1:$C$195)</f>
        <v>45037</v>
      </c>
      <c r="H274" s="13">
        <v>45661</v>
      </c>
      <c r="I274">
        <v>3</v>
      </c>
      <c r="J274">
        <v>82.11</v>
      </c>
      <c r="K274">
        <v>72.27</v>
      </c>
      <c r="L274">
        <f>_xlfn.XLOOKUP(F274,Products!$A$2:$A$51,Products!$D$2:$D$51,0)</f>
        <v>27.37</v>
      </c>
      <c r="M274">
        <f t="shared" si="4"/>
        <v>9.84</v>
      </c>
    </row>
    <row r="275" spans="1:13">
      <c r="A275" t="s">
        <v>566</v>
      </c>
      <c r="B275" t="s">
        <v>109</v>
      </c>
      <c r="C275" t="str">
        <f>_xlfn.XLOOKUP(F275,Products!$A$2:$A$51,Products!$C$2:$C$51,0)</f>
        <v>Merchandise</v>
      </c>
      <c r="D275" t="str">
        <f>_xlfn.XLOOKUP(F275,Products!$A$2:$A$51,Products!$B$2:$B$51,0)</f>
        <v>Logo Hoodie (Black)</v>
      </c>
      <c r="E275" t="str">
        <f>_xlfn.XLOOKUP(B275,customers!$A$2:$A$195,customers!$B$2:$B$195,,0)</f>
        <v>North</v>
      </c>
      <c r="F275">
        <v>1017</v>
      </c>
      <c r="G275" s="9">
        <f>_xlfn.XLOOKUP(B275,customers!$A$1:$A$195,customers!$C$1:$C$195)</f>
        <v>45129</v>
      </c>
      <c r="H275" s="13">
        <v>45661</v>
      </c>
      <c r="I275">
        <v>3</v>
      </c>
      <c r="J275">
        <v>45.69</v>
      </c>
      <c r="K275">
        <v>40.19</v>
      </c>
      <c r="L275">
        <f>_xlfn.XLOOKUP(F275,Products!$A$2:$A$51,Products!$D$2:$D$51,0)</f>
        <v>15.23</v>
      </c>
      <c r="M275">
        <f t="shared" si="4"/>
        <v>5.5</v>
      </c>
    </row>
    <row r="276" spans="1:13">
      <c r="A276" t="s">
        <v>567</v>
      </c>
      <c r="B276" t="s">
        <v>117</v>
      </c>
      <c r="C276" t="str">
        <f>_xlfn.XLOOKUP(F276,Products!$A$2:$A$51,Products!$C$2:$C$51,0)</f>
        <v>Grinders &amp; Brewers</v>
      </c>
      <c r="D276" t="str">
        <f>_xlfn.XLOOKUP(F276,Products!$A$2:$A$51,Products!$B$2:$B$51,0)</f>
        <v>Precision Electric Grinder</v>
      </c>
      <c r="E276" t="str">
        <f>_xlfn.XLOOKUP(B276,customers!$A$2:$A$195,customers!$B$2:$B$195,,0)</f>
        <v>East</v>
      </c>
      <c r="F276">
        <v>1031</v>
      </c>
      <c r="G276" s="9">
        <f>_xlfn.XLOOKUP(B276,customers!$A$1:$A$195,customers!$C$1:$C$195)</f>
        <v>45139</v>
      </c>
      <c r="H276" s="13">
        <v>45661</v>
      </c>
      <c r="I276">
        <v>1</v>
      </c>
      <c r="J276">
        <v>232.2</v>
      </c>
      <c r="K276">
        <v>78.39</v>
      </c>
      <c r="L276">
        <f>_xlfn.XLOOKUP(F276,Products!$A$2:$A$51,Products!$D$2:$D$51,0)</f>
        <v>232.2</v>
      </c>
      <c r="M276">
        <f t="shared" si="4"/>
        <v>153.81</v>
      </c>
    </row>
    <row r="277" spans="1:13">
      <c r="A277" t="s">
        <v>568</v>
      </c>
      <c r="B277" t="s">
        <v>148</v>
      </c>
      <c r="C277" t="str">
        <f>_xlfn.XLOOKUP(F277,Products!$A$2:$A$51,Products!$C$2:$C$51,0)</f>
        <v>Grinders &amp; Brewers</v>
      </c>
      <c r="D277" t="str">
        <f>_xlfn.XLOOKUP(F277,Products!$A$2:$A$51,Products!$B$2:$B$51,0)</f>
        <v>Hand Grinder (Travel Size)</v>
      </c>
      <c r="E277" t="str">
        <f>_xlfn.XLOOKUP(B277,customers!$A$2:$A$195,customers!$B$2:$B$195,,0)</f>
        <v>West</v>
      </c>
      <c r="F277">
        <v>1032</v>
      </c>
      <c r="G277" s="9">
        <f>_xlfn.XLOOKUP(B277,customers!$A$1:$A$195,customers!$C$1:$C$195)</f>
        <v>44955</v>
      </c>
      <c r="H277" s="13">
        <v>45661</v>
      </c>
      <c r="I277">
        <v>4</v>
      </c>
      <c r="J277">
        <v>1018.88</v>
      </c>
      <c r="K277">
        <v>521.14</v>
      </c>
      <c r="L277">
        <f>_xlfn.XLOOKUP(F277,Products!$A$2:$A$51,Products!$D$2:$D$51,0)</f>
        <v>254.72</v>
      </c>
      <c r="M277">
        <f t="shared" si="4"/>
        <v>497.74</v>
      </c>
    </row>
    <row r="278" spans="1:13">
      <c r="A278" t="s">
        <v>569</v>
      </c>
      <c r="B278" t="s">
        <v>162</v>
      </c>
      <c r="C278" t="str">
        <f>_xlfn.XLOOKUP(F278,Products!$A$2:$A$51,Products!$C$2:$C$51,0)</f>
        <v>Accessories</v>
      </c>
      <c r="D278" t="str">
        <f>_xlfn.XLOOKUP(F278,Products!$A$2:$A$51,Products!$B$2:$B$51,0)</f>
        <v>Refillable Coffee Pods</v>
      </c>
      <c r="E278" t="str">
        <f>_xlfn.XLOOKUP(B278,customers!$A$2:$A$195,customers!$B$2:$B$195,,0)</f>
        <v>East</v>
      </c>
      <c r="F278">
        <v>1015</v>
      </c>
      <c r="G278" s="9">
        <f>_xlfn.XLOOKUP(B278,customers!$A$1:$A$195,customers!$C$1:$C$195)</f>
        <v>45262</v>
      </c>
      <c r="H278" s="13">
        <v>45661</v>
      </c>
      <c r="I278">
        <v>3</v>
      </c>
      <c r="J278">
        <v>72.39</v>
      </c>
      <c r="K278">
        <v>27.88</v>
      </c>
      <c r="L278">
        <f>_xlfn.XLOOKUP(F278,Products!$A$2:$A$51,Products!$D$2:$D$51,0)</f>
        <v>24.13</v>
      </c>
      <c r="M278">
        <f t="shared" si="4"/>
        <v>44.51</v>
      </c>
    </row>
    <row r="279" spans="1:13">
      <c r="A279" t="s">
        <v>570</v>
      </c>
      <c r="B279" t="s">
        <v>185</v>
      </c>
      <c r="C279" t="str">
        <f>_xlfn.XLOOKUP(F279,Products!$A$2:$A$51,Products!$C$2:$C$51,0)</f>
        <v>Grinders &amp; Brewers</v>
      </c>
      <c r="D279" t="str">
        <f>_xlfn.XLOOKUP(F279,Products!$A$2:$A$51,Products!$B$2:$B$51,0)</f>
        <v>High-Capacity French Press</v>
      </c>
      <c r="E279" t="str">
        <f>_xlfn.XLOOKUP(B279,customers!$A$2:$A$195,customers!$B$2:$B$195,,0)</f>
        <v>South</v>
      </c>
      <c r="F279">
        <v>1009</v>
      </c>
      <c r="G279" s="9">
        <f>_xlfn.XLOOKUP(B279,customers!$A$1:$A$195,customers!$C$1:$C$195)</f>
        <v>45288</v>
      </c>
      <c r="H279" s="13">
        <v>45661</v>
      </c>
      <c r="I279">
        <v>4</v>
      </c>
      <c r="J279">
        <v>1353.44</v>
      </c>
      <c r="K279">
        <v>592.68</v>
      </c>
      <c r="L279">
        <f>_xlfn.XLOOKUP(F279,Products!$A$2:$A$51,Products!$D$2:$D$51,0)</f>
        <v>338.36</v>
      </c>
      <c r="M279">
        <f t="shared" si="4"/>
        <v>760.76</v>
      </c>
    </row>
    <row r="280" spans="1:13">
      <c r="A280" t="s">
        <v>571</v>
      </c>
      <c r="B280" t="s">
        <v>19</v>
      </c>
      <c r="C280" t="str">
        <f>_xlfn.XLOOKUP(F280,Products!$A$2:$A$51,Products!$C$2:$C$51,0)</f>
        <v>Subscriptions</v>
      </c>
      <c r="D280" t="str">
        <f>_xlfn.XLOOKUP(F280,Products!$A$2:$A$51,Products!$B$2:$B$51,0)</f>
        <v>Espresso Lovers Quarterly Pack</v>
      </c>
      <c r="E280" t="str">
        <f>_xlfn.XLOOKUP(B280,customers!$A$2:$A$195,customers!$B$2:$B$195,,0)</f>
        <v>East</v>
      </c>
      <c r="F280">
        <v>1049</v>
      </c>
      <c r="G280" s="9">
        <f>_xlfn.XLOOKUP(B280,customers!$A$1:$A$195,customers!$C$1:$C$195)</f>
        <v>45112</v>
      </c>
      <c r="H280" s="13">
        <v>45692</v>
      </c>
      <c r="I280">
        <v>3</v>
      </c>
      <c r="J280">
        <v>224.61</v>
      </c>
      <c r="K280">
        <v>57.58</v>
      </c>
      <c r="L280">
        <f>_xlfn.XLOOKUP(F280,Products!$A$2:$A$51,Products!$D$2:$D$51,0)</f>
        <v>74.87</v>
      </c>
      <c r="M280">
        <f t="shared" si="4"/>
        <v>167.03</v>
      </c>
    </row>
    <row r="281" spans="1:13">
      <c r="A281" t="s">
        <v>572</v>
      </c>
      <c r="B281" t="s">
        <v>32</v>
      </c>
      <c r="C281" t="str">
        <f>_xlfn.XLOOKUP(F281,Products!$A$2:$A$51,Products!$C$2:$C$51,0)</f>
        <v>Grinders &amp; Brewers</v>
      </c>
      <c r="D281" t="str">
        <f>_xlfn.XLOOKUP(F281,Products!$A$2:$A$51,Products!$B$2:$B$51,0)</f>
        <v>Pour-Over Starter Kit</v>
      </c>
      <c r="E281" t="str">
        <f>_xlfn.XLOOKUP(B281,customers!$A$2:$A$195,customers!$B$2:$B$195,,0)</f>
        <v>East</v>
      </c>
      <c r="F281">
        <v>1010</v>
      </c>
      <c r="G281" s="9">
        <f>_xlfn.XLOOKUP(B281,customers!$A$1:$A$195,customers!$C$1:$C$195)</f>
        <v>45037</v>
      </c>
      <c r="H281" s="13">
        <v>45692</v>
      </c>
      <c r="I281">
        <v>4</v>
      </c>
      <c r="J281">
        <v>420.92</v>
      </c>
      <c r="K281">
        <v>298.98</v>
      </c>
      <c r="L281">
        <f>_xlfn.XLOOKUP(F281,Products!$A$2:$A$51,Products!$D$2:$D$51,0)</f>
        <v>105.23</v>
      </c>
      <c r="M281">
        <f t="shared" si="4"/>
        <v>121.94</v>
      </c>
    </row>
    <row r="282" spans="1:13">
      <c r="A282" t="s">
        <v>573</v>
      </c>
      <c r="B282" t="s">
        <v>41</v>
      </c>
      <c r="C282" t="str">
        <f>_xlfn.XLOOKUP(F282,Products!$A$2:$A$51,Products!$C$2:$C$51,0)</f>
        <v>Consumables</v>
      </c>
      <c r="D282" t="str">
        <f>_xlfn.XLOOKUP(F282,Products!$A$2:$A$51,Products!$B$2:$B$51,0)</f>
        <v>Single-Origin Ethiopian (250g)</v>
      </c>
      <c r="E282" t="str">
        <f>_xlfn.XLOOKUP(B282,customers!$A$2:$A$195,customers!$B$2:$B$195,,0)</f>
        <v>West</v>
      </c>
      <c r="F282">
        <v>1001</v>
      </c>
      <c r="G282" s="9">
        <f>_xlfn.XLOOKUP(B282,customers!$A$1:$A$195,customers!$C$1:$C$195)</f>
        <v>44960</v>
      </c>
      <c r="H282" s="13">
        <v>45692</v>
      </c>
      <c r="I282">
        <v>2</v>
      </c>
      <c r="J282">
        <v>38.98</v>
      </c>
      <c r="K282">
        <v>25.41</v>
      </c>
      <c r="L282">
        <f>_xlfn.XLOOKUP(F282,Products!$A$2:$A$51,Products!$D$2:$D$51,0)</f>
        <v>19.49</v>
      </c>
      <c r="M282">
        <f t="shared" si="4"/>
        <v>13.57</v>
      </c>
    </row>
    <row r="283" spans="1:13">
      <c r="A283" t="s">
        <v>574</v>
      </c>
      <c r="B283" t="s">
        <v>118</v>
      </c>
      <c r="C283" t="str">
        <f>_xlfn.XLOOKUP(F283,Products!$A$2:$A$51,Products!$C$2:$C$51,0)</f>
        <v>Subscriptions</v>
      </c>
      <c r="D283" t="str">
        <f>_xlfn.XLOOKUP(F283,Products!$A$2:$A$51,Products!$B$2:$B$51,0)</f>
        <v>Subscription Renewal Service</v>
      </c>
      <c r="E283" t="str">
        <f>_xlfn.XLOOKUP(B283,customers!$A$2:$A$195,customers!$B$2:$B$195,,0)</f>
        <v>West</v>
      </c>
      <c r="F283">
        <v>1025</v>
      </c>
      <c r="G283" s="9">
        <f>_xlfn.XLOOKUP(B283,customers!$A$1:$A$195,customers!$C$1:$C$195)</f>
        <v>45218</v>
      </c>
      <c r="H283" s="13">
        <v>45692</v>
      </c>
      <c r="I283">
        <v>2</v>
      </c>
      <c r="J283">
        <v>146.82</v>
      </c>
      <c r="K283">
        <v>54.58</v>
      </c>
      <c r="L283">
        <f>_xlfn.XLOOKUP(F283,Products!$A$2:$A$51,Products!$D$2:$D$51,0)</f>
        <v>73.41</v>
      </c>
      <c r="M283">
        <f t="shared" si="4"/>
        <v>92.24</v>
      </c>
    </row>
    <row r="284" spans="1:13">
      <c r="A284" t="s">
        <v>575</v>
      </c>
      <c r="B284" t="s">
        <v>124</v>
      </c>
      <c r="C284" t="str">
        <f>_xlfn.XLOOKUP(F284,Products!$A$2:$A$51,Products!$C$2:$C$51,0)</f>
        <v>Grinders &amp; Brewers</v>
      </c>
      <c r="D284" t="str">
        <f>_xlfn.XLOOKUP(F284,Products!$A$2:$A$51,Products!$B$2:$B$51,0)</f>
        <v>Hand Grinder (Travel Size)</v>
      </c>
      <c r="E284" t="str">
        <f>_xlfn.XLOOKUP(B284,customers!$A$2:$A$195,customers!$B$2:$B$195,,0)</f>
        <v>West</v>
      </c>
      <c r="F284">
        <v>1007</v>
      </c>
      <c r="G284" s="9">
        <f>_xlfn.XLOOKUP(B284,customers!$A$1:$A$195,customers!$C$1:$C$195)</f>
        <v>45083</v>
      </c>
      <c r="H284" s="13">
        <v>45692</v>
      </c>
      <c r="I284">
        <v>3</v>
      </c>
      <c r="J284">
        <v>764.16</v>
      </c>
      <c r="K284">
        <v>390.85</v>
      </c>
      <c r="L284">
        <f>_xlfn.XLOOKUP(F284,Products!$A$2:$A$51,Products!$D$2:$D$51,0)</f>
        <v>254.72</v>
      </c>
      <c r="M284">
        <f t="shared" si="4"/>
        <v>373.31</v>
      </c>
    </row>
    <row r="285" spans="1:13">
      <c r="A285" t="s">
        <v>576</v>
      </c>
      <c r="B285" t="s">
        <v>181</v>
      </c>
      <c r="C285" t="str">
        <f>_xlfn.XLOOKUP(F285,Products!$A$2:$A$51,Products!$C$2:$C$51,0)</f>
        <v>Subscriptions</v>
      </c>
      <c r="D285" t="str">
        <f>_xlfn.XLOOKUP(F285,Products!$A$2:$A$51,Products!$B$2:$B$51,0)</f>
        <v>Subscription Renewal Service</v>
      </c>
      <c r="E285" t="str">
        <f>_xlfn.XLOOKUP(B285,customers!$A$2:$A$195,customers!$B$2:$B$195,,0)</f>
        <v>East</v>
      </c>
      <c r="F285">
        <v>1050</v>
      </c>
      <c r="G285" s="9">
        <f>_xlfn.XLOOKUP(B285,customers!$A$1:$A$195,customers!$C$1:$C$195)</f>
        <v>45125</v>
      </c>
      <c r="H285" s="13">
        <v>45692</v>
      </c>
      <c r="I285">
        <v>3</v>
      </c>
      <c r="J285">
        <v>220.23</v>
      </c>
      <c r="K285">
        <v>81.87</v>
      </c>
      <c r="L285">
        <f>_xlfn.XLOOKUP(F285,Products!$A$2:$A$51,Products!$D$2:$D$51,0)</f>
        <v>73.41</v>
      </c>
      <c r="M285">
        <f t="shared" si="4"/>
        <v>138.36</v>
      </c>
    </row>
    <row r="286" spans="1:13">
      <c r="A286" t="s">
        <v>577</v>
      </c>
      <c r="B286" t="s">
        <v>185</v>
      </c>
      <c r="C286" t="str">
        <f>_xlfn.XLOOKUP(F286,Products!$A$2:$A$51,Products!$C$2:$C$51,0)</f>
        <v>Consumables</v>
      </c>
      <c r="D286" t="str">
        <f>_xlfn.XLOOKUP(F286,Products!$A$2:$A$51,Products!$B$2:$B$51,0)</f>
        <v>Espresso Bean Sampler Pack</v>
      </c>
      <c r="E286" t="str">
        <f>_xlfn.XLOOKUP(B286,customers!$A$2:$A$195,customers!$B$2:$B$195,,0)</f>
        <v>South</v>
      </c>
      <c r="F286">
        <v>1005</v>
      </c>
      <c r="G286" s="9">
        <f>_xlfn.XLOOKUP(B286,customers!$A$1:$A$195,customers!$C$1:$C$195)</f>
        <v>45288</v>
      </c>
      <c r="H286" s="13">
        <v>45692</v>
      </c>
      <c r="I286">
        <v>1</v>
      </c>
      <c r="J286">
        <v>19.06</v>
      </c>
      <c r="K286">
        <v>11.97</v>
      </c>
      <c r="L286">
        <f>_xlfn.XLOOKUP(F286,Products!$A$2:$A$51,Products!$D$2:$D$51,0)</f>
        <v>19.06</v>
      </c>
      <c r="M286">
        <f t="shared" si="4"/>
        <v>7.09</v>
      </c>
    </row>
    <row r="287" spans="1:13">
      <c r="A287" t="s">
        <v>578</v>
      </c>
      <c r="B287" t="s">
        <v>35</v>
      </c>
      <c r="C287" t="str">
        <f>_xlfn.XLOOKUP(F287,Products!$A$2:$A$51,Products!$C$2:$C$51,0)</f>
        <v>Subscriptions</v>
      </c>
      <c r="D287" t="str">
        <f>_xlfn.XLOOKUP(F287,Products!$A$2:$A$51,Products!$B$2:$B$51,0)</f>
        <v>Bi-Weekly Sampler Box</v>
      </c>
      <c r="E287" t="str">
        <f>_xlfn.XLOOKUP(B287,customers!$A$2:$A$195,customers!$B$2:$B$195,,0)</f>
        <v>East</v>
      </c>
      <c r="F287">
        <v>1022</v>
      </c>
      <c r="G287" s="9">
        <f>_xlfn.XLOOKUP(B287,customers!$A$1:$A$195,customers!$C$1:$C$195)</f>
        <v>45161</v>
      </c>
      <c r="H287" s="13">
        <v>45720</v>
      </c>
      <c r="I287">
        <v>2</v>
      </c>
      <c r="J287">
        <v>177.54</v>
      </c>
      <c r="K287">
        <v>47.72</v>
      </c>
      <c r="L287">
        <f>_xlfn.XLOOKUP(F287,Products!$A$2:$A$51,Products!$D$2:$D$51,0)</f>
        <v>88.77</v>
      </c>
      <c r="M287">
        <f t="shared" si="4"/>
        <v>129.82</v>
      </c>
    </row>
    <row r="288" spans="1:13">
      <c r="A288" t="s">
        <v>579</v>
      </c>
      <c r="B288" t="s">
        <v>160</v>
      </c>
      <c r="C288" t="str">
        <f>_xlfn.XLOOKUP(F288,Products!$A$2:$A$51,Products!$C$2:$C$51,0)</f>
        <v>Grinders &amp; Brewers</v>
      </c>
      <c r="D288" t="str">
        <f>_xlfn.XLOOKUP(F288,Products!$A$2:$A$51,Products!$B$2:$B$51,0)</f>
        <v>Pour-Over Starter Kit</v>
      </c>
      <c r="E288" t="str">
        <f>_xlfn.XLOOKUP(B288,customers!$A$2:$A$195,customers!$B$2:$B$195,,0)</f>
        <v>East</v>
      </c>
      <c r="F288">
        <v>1010</v>
      </c>
      <c r="G288" s="9">
        <f>_xlfn.XLOOKUP(B288,customers!$A$1:$A$195,customers!$C$1:$C$195)</f>
        <v>45087</v>
      </c>
      <c r="H288" s="13">
        <v>45720</v>
      </c>
      <c r="I288">
        <v>3</v>
      </c>
      <c r="J288">
        <v>315.69</v>
      </c>
      <c r="K288">
        <v>224.24</v>
      </c>
      <c r="L288">
        <f>_xlfn.XLOOKUP(F288,Products!$A$2:$A$51,Products!$D$2:$D$51,0)</f>
        <v>105.23</v>
      </c>
      <c r="M288">
        <f t="shared" si="4"/>
        <v>91.45</v>
      </c>
    </row>
    <row r="289" spans="1:13">
      <c r="A289" t="s">
        <v>580</v>
      </c>
      <c r="B289" t="s">
        <v>184</v>
      </c>
      <c r="C289" t="str">
        <f>_xlfn.XLOOKUP(F289,Products!$A$2:$A$51,Products!$C$2:$C$51,0)</f>
        <v>Consumables</v>
      </c>
      <c r="D289" t="str">
        <f>_xlfn.XLOOKUP(F289,Products!$A$2:$A$51,Products!$B$2:$B$51,0)</f>
        <v>Decaf Blend (1kg)</v>
      </c>
      <c r="E289" t="str">
        <f>_xlfn.XLOOKUP(B289,customers!$A$2:$A$195,customers!$B$2:$B$195,,0)</f>
        <v>East</v>
      </c>
      <c r="F289">
        <v>1003</v>
      </c>
      <c r="G289" s="9">
        <f>_xlfn.XLOOKUP(B289,customers!$A$1:$A$195,customers!$C$1:$C$195)</f>
        <v>45239</v>
      </c>
      <c r="H289" s="13">
        <v>45720</v>
      </c>
      <c r="I289">
        <v>2</v>
      </c>
      <c r="J289">
        <v>80.7</v>
      </c>
      <c r="K289">
        <v>25.72</v>
      </c>
      <c r="L289">
        <f>_xlfn.XLOOKUP(F289,Products!$A$2:$A$51,Products!$D$2:$D$51,0)</f>
        <v>40.35</v>
      </c>
      <c r="M289">
        <f t="shared" si="4"/>
        <v>54.98</v>
      </c>
    </row>
    <row r="290" spans="1:13">
      <c r="A290" t="s">
        <v>581</v>
      </c>
      <c r="B290" t="s">
        <v>25</v>
      </c>
      <c r="C290" t="str">
        <f>_xlfn.XLOOKUP(F290,Products!$A$2:$A$51,Products!$C$2:$C$51,0)</f>
        <v>Grinders &amp; Brewers</v>
      </c>
      <c r="D290" t="str">
        <f>_xlfn.XLOOKUP(F290,Products!$A$2:$A$51,Products!$B$2:$B$51,0)</f>
        <v>Automated Drip Brewer</v>
      </c>
      <c r="E290" t="str">
        <f>_xlfn.XLOOKUP(B290,customers!$A$2:$A$195,customers!$B$2:$B$195,,0)</f>
        <v>North</v>
      </c>
      <c r="F290">
        <v>1008</v>
      </c>
      <c r="G290" s="9">
        <f>_xlfn.XLOOKUP(B290,customers!$A$1:$A$195,customers!$C$1:$C$195)</f>
        <v>45187</v>
      </c>
      <c r="H290" s="13">
        <v>45751</v>
      </c>
      <c r="I290">
        <v>4</v>
      </c>
      <c r="J290">
        <v>943.04</v>
      </c>
      <c r="K290">
        <v>529.94</v>
      </c>
      <c r="L290">
        <f>_xlfn.XLOOKUP(F290,Products!$A$2:$A$51,Products!$D$2:$D$51,0)</f>
        <v>235.76</v>
      </c>
      <c r="M290">
        <f t="shared" si="4"/>
        <v>413.1</v>
      </c>
    </row>
    <row r="291" spans="1:13">
      <c r="A291" t="s">
        <v>582</v>
      </c>
      <c r="B291" t="s">
        <v>51</v>
      </c>
      <c r="C291" t="str">
        <f>_xlfn.XLOOKUP(F291,Products!$A$2:$A$51,Products!$C$2:$C$51,0)</f>
        <v>Subscriptions</v>
      </c>
      <c r="D291" t="str">
        <f>_xlfn.XLOOKUP(F291,Products!$A$2:$A$51,Products!$B$2:$B$51,0)</f>
        <v>Three-Month Gift Subscription</v>
      </c>
      <c r="E291" t="str">
        <f>_xlfn.XLOOKUP(B291,customers!$A$2:$A$195,customers!$B$2:$B$195,,0)</f>
        <v>South</v>
      </c>
      <c r="F291">
        <v>1023</v>
      </c>
      <c r="G291" s="9">
        <f>_xlfn.XLOOKUP(B291,customers!$A$1:$A$195,customers!$C$1:$C$195)</f>
        <v>45096</v>
      </c>
      <c r="H291" s="13">
        <v>45751</v>
      </c>
      <c r="I291">
        <v>4</v>
      </c>
      <c r="J291">
        <v>260.84</v>
      </c>
      <c r="K291">
        <v>110.44</v>
      </c>
      <c r="L291">
        <f>_xlfn.XLOOKUP(F291,Products!$A$2:$A$51,Products!$D$2:$D$51,0)</f>
        <v>65.21</v>
      </c>
      <c r="M291">
        <f t="shared" si="4"/>
        <v>150.4</v>
      </c>
    </row>
    <row r="292" spans="1:13">
      <c r="A292" t="s">
        <v>583</v>
      </c>
      <c r="B292" t="s">
        <v>58</v>
      </c>
      <c r="C292" t="str">
        <f>_xlfn.XLOOKUP(F292,Products!$A$2:$A$51,Products!$C$2:$C$51,0)</f>
        <v>Accessories</v>
      </c>
      <c r="D292" t="str">
        <f>_xlfn.XLOOKUP(F292,Products!$A$2:$A$51,Products!$B$2:$B$51,0)</f>
        <v>Refillable Coffee Pods</v>
      </c>
      <c r="E292" t="str">
        <f>_xlfn.XLOOKUP(B292,customers!$A$2:$A$195,customers!$B$2:$B$195,,0)</f>
        <v>East</v>
      </c>
      <c r="F292">
        <v>1015</v>
      </c>
      <c r="G292" s="9">
        <f>_xlfn.XLOOKUP(B292,customers!$A$1:$A$195,customers!$C$1:$C$195)</f>
        <v>45287</v>
      </c>
      <c r="H292" s="13">
        <v>45751</v>
      </c>
      <c r="I292">
        <v>3</v>
      </c>
      <c r="J292">
        <v>72.39</v>
      </c>
      <c r="K292">
        <v>27.88</v>
      </c>
      <c r="L292">
        <f>_xlfn.XLOOKUP(F292,Products!$A$2:$A$51,Products!$D$2:$D$51,0)</f>
        <v>24.13</v>
      </c>
      <c r="M292">
        <f t="shared" si="4"/>
        <v>44.51</v>
      </c>
    </row>
    <row r="293" spans="1:13">
      <c r="A293" t="s">
        <v>584</v>
      </c>
      <c r="B293" t="s">
        <v>62</v>
      </c>
      <c r="C293" t="str">
        <f>_xlfn.XLOOKUP(F293,Products!$A$2:$A$51,Products!$C$2:$C$51,0)</f>
        <v>Grinders &amp; Brewers</v>
      </c>
      <c r="D293" t="str">
        <f>_xlfn.XLOOKUP(F293,Products!$A$2:$A$51,Products!$B$2:$B$51,0)</f>
        <v>Pour-Over Starter Kit</v>
      </c>
      <c r="E293" t="str">
        <f>_xlfn.XLOOKUP(B293,customers!$A$2:$A$195,customers!$B$2:$B$195,,0)</f>
        <v>West</v>
      </c>
      <c r="F293">
        <v>1035</v>
      </c>
      <c r="G293" s="9">
        <f>_xlfn.XLOOKUP(B293,customers!$A$1:$A$195,customers!$C$1:$C$195)</f>
        <v>45178</v>
      </c>
      <c r="H293" s="13">
        <v>45751</v>
      </c>
      <c r="I293">
        <v>2</v>
      </c>
      <c r="J293">
        <v>210.46</v>
      </c>
      <c r="K293">
        <v>149.49</v>
      </c>
      <c r="L293">
        <f>_xlfn.XLOOKUP(F293,Products!$A$2:$A$51,Products!$D$2:$D$51,0)</f>
        <v>105.23</v>
      </c>
      <c r="M293">
        <f t="shared" si="4"/>
        <v>60.97</v>
      </c>
    </row>
    <row r="294" spans="1:13">
      <c r="A294" t="s">
        <v>585</v>
      </c>
      <c r="B294" t="s">
        <v>86</v>
      </c>
      <c r="C294" t="str">
        <f>_xlfn.XLOOKUP(F294,Products!$A$2:$A$51,Products!$C$2:$C$51,0)</f>
        <v>Accessories</v>
      </c>
      <c r="D294" t="str">
        <f>_xlfn.XLOOKUP(F294,Products!$A$2:$A$51,Products!$B$2:$B$51,0)</f>
        <v>Refillable Coffee Pods</v>
      </c>
      <c r="E294" t="str">
        <f>_xlfn.XLOOKUP(B294,customers!$A$2:$A$195,customers!$B$2:$B$195,,0)</f>
        <v>North</v>
      </c>
      <c r="F294">
        <v>1040</v>
      </c>
      <c r="G294" s="9">
        <f>_xlfn.XLOOKUP(B294,customers!$A$1:$A$195,customers!$C$1:$C$195)</f>
        <v>45227</v>
      </c>
      <c r="H294" s="13">
        <v>45751</v>
      </c>
      <c r="I294">
        <v>1</v>
      </c>
      <c r="J294">
        <v>24.13</v>
      </c>
      <c r="K294">
        <v>9.3</v>
      </c>
      <c r="L294">
        <f>_xlfn.XLOOKUP(F294,Products!$A$2:$A$51,Products!$D$2:$D$51,0)</f>
        <v>24.13</v>
      </c>
      <c r="M294">
        <f t="shared" si="4"/>
        <v>14.83</v>
      </c>
    </row>
    <row r="295" spans="1:13">
      <c r="A295" t="s">
        <v>586</v>
      </c>
      <c r="B295" t="s">
        <v>128</v>
      </c>
      <c r="C295" t="str">
        <f>_xlfn.XLOOKUP(F295,Products!$A$2:$A$51,Products!$C$2:$C$51,0)</f>
        <v>Subscriptions</v>
      </c>
      <c r="D295" t="str">
        <f>_xlfn.XLOOKUP(F295,Products!$A$2:$A$51,Products!$B$2:$B$51,0)</f>
        <v>Three-Month Gift Subscription</v>
      </c>
      <c r="E295" t="str">
        <f>_xlfn.XLOOKUP(B295,customers!$A$2:$A$195,customers!$B$2:$B$195,,0)</f>
        <v>West</v>
      </c>
      <c r="F295">
        <v>1023</v>
      </c>
      <c r="G295" s="9">
        <f>_xlfn.XLOOKUP(B295,customers!$A$1:$A$195,customers!$C$1:$C$195)</f>
        <v>45161</v>
      </c>
      <c r="H295" s="13">
        <v>45751</v>
      </c>
      <c r="I295">
        <v>1</v>
      </c>
      <c r="J295">
        <v>65.21</v>
      </c>
      <c r="K295">
        <v>27.61</v>
      </c>
      <c r="L295">
        <f>_xlfn.XLOOKUP(F295,Products!$A$2:$A$51,Products!$D$2:$D$51,0)</f>
        <v>65.21</v>
      </c>
      <c r="M295">
        <f t="shared" si="4"/>
        <v>37.6</v>
      </c>
    </row>
    <row r="296" spans="1:13">
      <c r="A296" t="s">
        <v>587</v>
      </c>
      <c r="B296" t="s">
        <v>200</v>
      </c>
      <c r="C296" t="str">
        <f>_xlfn.XLOOKUP(F296,Products!$A$2:$A$51,Products!$C$2:$C$51,0)</f>
        <v>Grinders &amp; Brewers</v>
      </c>
      <c r="D296" t="str">
        <f>_xlfn.XLOOKUP(F296,Products!$A$2:$A$51,Products!$B$2:$B$51,0)</f>
        <v>Pour-Over Starter Kit</v>
      </c>
      <c r="E296" t="str">
        <f>_xlfn.XLOOKUP(B296,customers!$A$2:$A$195,customers!$B$2:$B$195,,0)</f>
        <v>North</v>
      </c>
      <c r="F296">
        <v>1010</v>
      </c>
      <c r="G296" s="9">
        <f>_xlfn.XLOOKUP(B296,customers!$A$1:$A$195,customers!$C$1:$C$195)</f>
        <v>44947</v>
      </c>
      <c r="H296" s="13">
        <v>45751</v>
      </c>
      <c r="I296">
        <v>1</v>
      </c>
      <c r="J296">
        <v>105.23</v>
      </c>
      <c r="K296">
        <v>74.74</v>
      </c>
      <c r="L296">
        <f>_xlfn.XLOOKUP(F296,Products!$A$2:$A$51,Products!$D$2:$D$51,0)</f>
        <v>105.23</v>
      </c>
      <c r="M296">
        <f t="shared" si="4"/>
        <v>30.49</v>
      </c>
    </row>
    <row r="297" spans="1:13">
      <c r="A297" t="s">
        <v>588</v>
      </c>
      <c r="B297" t="s">
        <v>9</v>
      </c>
      <c r="C297" t="str">
        <f>_xlfn.XLOOKUP(F297,Products!$A$2:$A$51,Products!$C$2:$C$51,0)</f>
        <v>Merchandise</v>
      </c>
      <c r="D297" t="str">
        <f>_xlfn.XLOOKUP(F297,Products!$A$2:$A$51,Products!$B$2:$B$51,0)</f>
        <v>Minimalist Keychain</v>
      </c>
      <c r="E297" t="str">
        <f>_xlfn.XLOOKUP(B297,customers!$A$2:$A$195,customers!$B$2:$B$195,,0)</f>
        <v>West</v>
      </c>
      <c r="F297">
        <v>1020</v>
      </c>
      <c r="G297" s="9">
        <f>_xlfn.XLOOKUP(B297,customers!$A$1:$A$195,customers!$C$1:$C$195)</f>
        <v>44949</v>
      </c>
      <c r="H297" s="13">
        <v>45781</v>
      </c>
      <c r="I297">
        <v>2</v>
      </c>
      <c r="J297">
        <v>54.74</v>
      </c>
      <c r="K297">
        <v>48.18</v>
      </c>
      <c r="L297">
        <f>_xlfn.XLOOKUP(F297,Products!$A$2:$A$51,Products!$D$2:$D$51,0)</f>
        <v>27.37</v>
      </c>
      <c r="M297">
        <f t="shared" si="4"/>
        <v>6.56</v>
      </c>
    </row>
    <row r="298" spans="1:13">
      <c r="A298" t="s">
        <v>589</v>
      </c>
      <c r="B298" t="s">
        <v>118</v>
      </c>
      <c r="C298" t="str">
        <f>_xlfn.XLOOKUP(F298,Products!$A$2:$A$51,Products!$C$2:$C$51,0)</f>
        <v>Consumables</v>
      </c>
      <c r="D298" t="str">
        <f>_xlfn.XLOOKUP(F298,Products!$A$2:$A$51,Products!$B$2:$B$51,0)</f>
        <v>Decaf Blend (1kg)</v>
      </c>
      <c r="E298" t="str">
        <f>_xlfn.XLOOKUP(B298,customers!$A$2:$A$195,customers!$B$2:$B$195,,0)</f>
        <v>West</v>
      </c>
      <c r="F298">
        <v>1028</v>
      </c>
      <c r="G298" s="9">
        <f>_xlfn.XLOOKUP(B298,customers!$A$1:$A$195,customers!$C$1:$C$195)</f>
        <v>45218</v>
      </c>
      <c r="H298" s="13">
        <v>45781</v>
      </c>
      <c r="I298">
        <v>3</v>
      </c>
      <c r="J298">
        <v>121.05</v>
      </c>
      <c r="K298">
        <v>38.58</v>
      </c>
      <c r="L298">
        <f>_xlfn.XLOOKUP(F298,Products!$A$2:$A$51,Products!$D$2:$D$51,0)</f>
        <v>40.35</v>
      </c>
      <c r="M298">
        <f t="shared" si="4"/>
        <v>82.47</v>
      </c>
    </row>
    <row r="299" spans="1:13">
      <c r="A299" t="s">
        <v>590</v>
      </c>
      <c r="B299" t="s">
        <v>25</v>
      </c>
      <c r="C299" t="str">
        <f>_xlfn.XLOOKUP(F299,Products!$A$2:$A$51,Products!$C$2:$C$51,0)</f>
        <v>Merchandise</v>
      </c>
      <c r="D299" t="str">
        <f>_xlfn.XLOOKUP(F299,Products!$A$2:$A$51,Products!$B$2:$B$51,0)</f>
        <v>Minimalist Keychain</v>
      </c>
      <c r="E299" t="str">
        <f>_xlfn.XLOOKUP(B299,customers!$A$2:$A$195,customers!$B$2:$B$195,,0)</f>
        <v>North</v>
      </c>
      <c r="F299">
        <v>1020</v>
      </c>
      <c r="G299" s="9">
        <f>_xlfn.XLOOKUP(B299,customers!$A$1:$A$195,customers!$C$1:$C$195)</f>
        <v>45187</v>
      </c>
      <c r="H299" s="13">
        <v>45842</v>
      </c>
      <c r="I299">
        <v>2</v>
      </c>
      <c r="J299">
        <v>54.74</v>
      </c>
      <c r="K299">
        <v>48.18</v>
      </c>
      <c r="L299">
        <f>_xlfn.XLOOKUP(F299,Products!$A$2:$A$51,Products!$D$2:$D$51,0)</f>
        <v>27.37</v>
      </c>
      <c r="M299">
        <f t="shared" si="4"/>
        <v>6.56</v>
      </c>
    </row>
    <row r="300" spans="1:13">
      <c r="A300" t="s">
        <v>591</v>
      </c>
      <c r="B300" t="s">
        <v>74</v>
      </c>
      <c r="C300" t="str">
        <f>_xlfn.XLOOKUP(F300,Products!$A$2:$A$51,Products!$C$2:$C$51,0)</f>
        <v>Consumables</v>
      </c>
      <c r="D300" t="str">
        <f>_xlfn.XLOOKUP(F300,Products!$A$2:$A$51,Products!$B$2:$B$51,0)</f>
        <v>Single-Origin Ethiopian (250g)</v>
      </c>
      <c r="E300" t="str">
        <f>_xlfn.XLOOKUP(B300,customers!$A$2:$A$195,customers!$B$2:$B$195,,0)</f>
        <v>East</v>
      </c>
      <c r="F300">
        <v>1001</v>
      </c>
      <c r="G300" s="9">
        <f>_xlfn.XLOOKUP(B300,customers!$A$1:$A$195,customers!$C$1:$C$195)</f>
        <v>45103</v>
      </c>
      <c r="H300" s="13">
        <v>45842</v>
      </c>
      <c r="I300">
        <v>2</v>
      </c>
      <c r="J300">
        <v>38.98</v>
      </c>
      <c r="K300">
        <v>25.41</v>
      </c>
      <c r="L300">
        <f>_xlfn.XLOOKUP(F300,Products!$A$2:$A$51,Products!$D$2:$D$51,0)</f>
        <v>19.49</v>
      </c>
      <c r="M300">
        <f t="shared" si="4"/>
        <v>13.57</v>
      </c>
    </row>
    <row r="301" spans="1:13">
      <c r="A301" t="s">
        <v>592</v>
      </c>
      <c r="B301" t="s">
        <v>99</v>
      </c>
      <c r="C301" t="str">
        <f>_xlfn.XLOOKUP(F301,Products!$A$2:$A$51,Products!$C$2:$C$51,0)</f>
        <v>Accessories</v>
      </c>
      <c r="D301" t="str">
        <f>_xlfn.XLOOKUP(F301,Products!$A$2:$A$51,Products!$B$2:$B$51,0)</f>
        <v>Airtight Storage Container</v>
      </c>
      <c r="E301" t="str">
        <f>_xlfn.XLOOKUP(B301,customers!$A$2:$A$195,customers!$B$2:$B$195,,0)</f>
        <v>West</v>
      </c>
      <c r="F301">
        <v>1013</v>
      </c>
      <c r="G301" s="9">
        <f>_xlfn.XLOOKUP(B301,customers!$A$1:$A$195,customers!$C$1:$C$195)</f>
        <v>45052</v>
      </c>
      <c r="H301" s="13">
        <v>45842</v>
      </c>
      <c r="I301">
        <v>3</v>
      </c>
      <c r="J301">
        <v>183.12</v>
      </c>
      <c r="K301">
        <v>77.12</v>
      </c>
      <c r="L301">
        <f>_xlfn.XLOOKUP(F301,Products!$A$2:$A$51,Products!$D$2:$D$51,0)</f>
        <v>61.04</v>
      </c>
      <c r="M301">
        <f t="shared" si="4"/>
        <v>106</v>
      </c>
    </row>
    <row r="302" spans="1:13">
      <c r="A302" t="s">
        <v>593</v>
      </c>
      <c r="B302" t="s">
        <v>170</v>
      </c>
      <c r="C302" t="str">
        <f>_xlfn.XLOOKUP(F302,Products!$A$2:$A$51,Products!$C$2:$C$51,0)</f>
        <v>Accessories</v>
      </c>
      <c r="D302" t="str">
        <f>_xlfn.XLOOKUP(F302,Products!$A$2:$A$51,Products!$B$2:$B$51,0)</f>
        <v>Airtight Storage Container</v>
      </c>
      <c r="E302" t="str">
        <f>_xlfn.XLOOKUP(B302,customers!$A$2:$A$195,customers!$B$2:$B$195,,0)</f>
        <v>North</v>
      </c>
      <c r="F302">
        <v>1038</v>
      </c>
      <c r="G302" s="9">
        <f>_xlfn.XLOOKUP(B302,customers!$A$1:$A$195,customers!$C$1:$C$195)</f>
        <v>44969</v>
      </c>
      <c r="H302" s="13">
        <v>45842</v>
      </c>
      <c r="I302">
        <v>4</v>
      </c>
      <c r="J302">
        <v>244.16</v>
      </c>
      <c r="K302">
        <v>102.83</v>
      </c>
      <c r="L302">
        <f>_xlfn.XLOOKUP(F302,Products!$A$2:$A$51,Products!$D$2:$D$51,0)</f>
        <v>61.04</v>
      </c>
      <c r="M302">
        <f t="shared" si="4"/>
        <v>141.33</v>
      </c>
    </row>
    <row r="303" spans="1:13">
      <c r="A303" t="s">
        <v>594</v>
      </c>
      <c r="B303" t="s">
        <v>180</v>
      </c>
      <c r="C303" t="str">
        <f>_xlfn.XLOOKUP(F303,Products!$A$2:$A$51,Products!$C$2:$C$51,0)</f>
        <v>Grinders &amp; Brewers</v>
      </c>
      <c r="D303" t="str">
        <f>_xlfn.XLOOKUP(F303,Products!$A$2:$A$51,Products!$B$2:$B$51,0)</f>
        <v>Automated Drip Brewer</v>
      </c>
      <c r="E303" t="str">
        <f>_xlfn.XLOOKUP(B303,customers!$A$2:$A$195,customers!$B$2:$B$195,,0)</f>
        <v>South</v>
      </c>
      <c r="F303">
        <v>1033</v>
      </c>
      <c r="G303" s="9">
        <f>_xlfn.XLOOKUP(B303,customers!$A$1:$A$195,customers!$C$1:$C$195)</f>
        <v>45215</v>
      </c>
      <c r="H303" s="13">
        <v>45842</v>
      </c>
      <c r="I303">
        <v>4</v>
      </c>
      <c r="J303">
        <v>943.04</v>
      </c>
      <c r="K303">
        <v>529.94</v>
      </c>
      <c r="L303">
        <f>_xlfn.XLOOKUP(F303,Products!$A$2:$A$51,Products!$D$2:$D$51,0)</f>
        <v>235.76</v>
      </c>
      <c r="M303">
        <f t="shared" si="4"/>
        <v>413.1</v>
      </c>
    </row>
    <row r="304" spans="1:13">
      <c r="A304" t="s">
        <v>595</v>
      </c>
      <c r="B304" t="s">
        <v>29</v>
      </c>
      <c r="C304" t="str">
        <f>_xlfn.XLOOKUP(F304,Products!$A$2:$A$51,Products!$C$2:$C$51,0)</f>
        <v>Grinders &amp; Brewers</v>
      </c>
      <c r="D304" t="str">
        <f>_xlfn.XLOOKUP(F304,Products!$A$2:$A$51,Products!$B$2:$B$51,0)</f>
        <v>Precision Electric Grinder</v>
      </c>
      <c r="E304" t="str">
        <f>_xlfn.XLOOKUP(B304,customers!$A$2:$A$195,customers!$B$2:$B$195,,0)</f>
        <v>West</v>
      </c>
      <c r="F304">
        <v>1031</v>
      </c>
      <c r="G304" s="9">
        <f>_xlfn.XLOOKUP(B304,customers!$A$1:$A$195,customers!$C$1:$C$195)</f>
        <v>45207</v>
      </c>
      <c r="H304" s="13">
        <v>45873</v>
      </c>
      <c r="I304">
        <v>2</v>
      </c>
      <c r="J304">
        <v>464.4</v>
      </c>
      <c r="K304">
        <v>156.77</v>
      </c>
      <c r="L304">
        <f>_xlfn.XLOOKUP(F304,Products!$A$2:$A$51,Products!$D$2:$D$51,0)</f>
        <v>232.2</v>
      </c>
      <c r="M304">
        <f t="shared" si="4"/>
        <v>307.63</v>
      </c>
    </row>
    <row r="305" spans="1:13">
      <c r="A305" t="s">
        <v>596</v>
      </c>
      <c r="B305" t="s">
        <v>97</v>
      </c>
      <c r="C305" t="str">
        <f>_xlfn.XLOOKUP(F305,Products!$A$2:$A$51,Products!$C$2:$C$51,0)</f>
        <v>Subscriptions</v>
      </c>
      <c r="D305" t="str">
        <f>_xlfn.XLOOKUP(F305,Products!$A$2:$A$51,Products!$B$2:$B$51,0)</f>
        <v>Bi-Weekly Sampler Box</v>
      </c>
      <c r="E305" t="str">
        <f>_xlfn.XLOOKUP(B305,customers!$A$2:$A$195,customers!$B$2:$B$195,,0)</f>
        <v>East</v>
      </c>
      <c r="F305">
        <v>1047</v>
      </c>
      <c r="G305" s="9">
        <f>_xlfn.XLOOKUP(B305,customers!$A$1:$A$195,customers!$C$1:$C$195)</f>
        <v>45151</v>
      </c>
      <c r="H305" s="13">
        <v>45873</v>
      </c>
      <c r="I305">
        <v>3</v>
      </c>
      <c r="J305">
        <v>266.31</v>
      </c>
      <c r="K305">
        <v>71.58</v>
      </c>
      <c r="L305">
        <f>_xlfn.XLOOKUP(F305,Products!$A$2:$A$51,Products!$D$2:$D$51,0)</f>
        <v>88.77</v>
      </c>
      <c r="M305">
        <f t="shared" si="4"/>
        <v>194.73</v>
      </c>
    </row>
    <row r="306" spans="1:13">
      <c r="A306" t="s">
        <v>597</v>
      </c>
      <c r="B306" t="s">
        <v>119</v>
      </c>
      <c r="C306" t="str">
        <f>_xlfn.XLOOKUP(F306,Products!$A$2:$A$51,Products!$C$2:$C$51,0)</f>
        <v>Merchandise</v>
      </c>
      <c r="D306" t="str">
        <f>_xlfn.XLOOKUP(F306,Products!$A$2:$A$51,Products!$B$2:$B$51,0)</f>
        <v>Logo Hoodie (Black)</v>
      </c>
      <c r="E306" t="str">
        <f>_xlfn.XLOOKUP(B306,customers!$A$2:$A$195,customers!$B$2:$B$195,,0)</f>
        <v>West</v>
      </c>
      <c r="F306">
        <v>1017</v>
      </c>
      <c r="G306" s="9">
        <f>_xlfn.XLOOKUP(B306,customers!$A$1:$A$195,customers!$C$1:$C$195)</f>
        <v>44960</v>
      </c>
      <c r="H306" s="13">
        <v>45873</v>
      </c>
      <c r="I306">
        <v>3</v>
      </c>
      <c r="J306">
        <v>45.69</v>
      </c>
      <c r="K306">
        <v>40.19</v>
      </c>
      <c r="L306">
        <f>_xlfn.XLOOKUP(F306,Products!$A$2:$A$51,Products!$D$2:$D$51,0)</f>
        <v>15.23</v>
      </c>
      <c r="M306">
        <f t="shared" si="4"/>
        <v>5.5</v>
      </c>
    </row>
    <row r="307" spans="1:13">
      <c r="A307" t="s">
        <v>598</v>
      </c>
      <c r="B307" t="s">
        <v>133</v>
      </c>
      <c r="C307" t="str">
        <f>_xlfn.XLOOKUP(F307,Products!$A$2:$A$51,Products!$C$2:$C$51,0)</f>
        <v>Subscriptions</v>
      </c>
      <c r="D307" t="str">
        <f>_xlfn.XLOOKUP(F307,Products!$A$2:$A$51,Products!$B$2:$B$51,0)</f>
        <v>Monthly Dark Roast Subscription</v>
      </c>
      <c r="E307" t="str">
        <f>_xlfn.XLOOKUP(B307,customers!$A$2:$A$195,customers!$B$2:$B$195,,0)</f>
        <v>West</v>
      </c>
      <c r="F307">
        <v>1046</v>
      </c>
      <c r="G307" s="9">
        <f>_xlfn.XLOOKUP(B307,customers!$A$1:$A$195,customers!$C$1:$C$195)</f>
        <v>45248</v>
      </c>
      <c r="H307" s="13">
        <v>45873</v>
      </c>
      <c r="I307">
        <v>4</v>
      </c>
      <c r="J307">
        <v>245.04</v>
      </c>
      <c r="K307">
        <v>140.58</v>
      </c>
      <c r="L307">
        <f>_xlfn.XLOOKUP(F307,Products!$A$2:$A$51,Products!$D$2:$D$51,0)</f>
        <v>61.26</v>
      </c>
      <c r="M307">
        <f t="shared" si="4"/>
        <v>104.46</v>
      </c>
    </row>
    <row r="308" spans="1:13">
      <c r="A308" t="s">
        <v>599</v>
      </c>
      <c r="B308" t="s">
        <v>136</v>
      </c>
      <c r="C308" t="str">
        <f>_xlfn.XLOOKUP(F308,Products!$A$2:$A$51,Products!$C$2:$C$51,0)</f>
        <v>Consumables</v>
      </c>
      <c r="D308" t="str">
        <f>_xlfn.XLOOKUP(F308,Products!$A$2:$A$51,Products!$B$2:$B$51,0)</f>
        <v>Cold Brew Concentrate</v>
      </c>
      <c r="E308" t="str">
        <f>_xlfn.XLOOKUP(B308,customers!$A$2:$A$195,customers!$B$2:$B$195,,0)</f>
        <v>South</v>
      </c>
      <c r="F308">
        <v>1029</v>
      </c>
      <c r="G308" s="9">
        <f>_xlfn.XLOOKUP(B308,customers!$A$1:$A$195,customers!$C$1:$C$195)</f>
        <v>45181</v>
      </c>
      <c r="H308" s="13">
        <v>45873</v>
      </c>
      <c r="I308">
        <v>2</v>
      </c>
      <c r="J308">
        <v>46.98</v>
      </c>
      <c r="K308">
        <v>20.17</v>
      </c>
      <c r="L308">
        <f>_xlfn.XLOOKUP(F308,Products!$A$2:$A$51,Products!$D$2:$D$51,0)</f>
        <v>23.49</v>
      </c>
      <c r="M308">
        <f t="shared" si="4"/>
        <v>26.81</v>
      </c>
    </row>
    <row r="309" spans="1:13">
      <c r="A309" t="s">
        <v>600</v>
      </c>
      <c r="B309" t="s">
        <v>143</v>
      </c>
      <c r="C309" t="str">
        <f>_xlfn.XLOOKUP(F309,Products!$A$2:$A$51,Products!$C$2:$C$51,0)</f>
        <v>Subscriptions</v>
      </c>
      <c r="D309" t="str">
        <f>_xlfn.XLOOKUP(F309,Products!$A$2:$A$51,Products!$B$2:$B$51,0)</f>
        <v>Monthly Dark Roast Subscription</v>
      </c>
      <c r="E309" t="str">
        <f>_xlfn.XLOOKUP(B309,customers!$A$2:$A$195,customers!$B$2:$B$195,,0)</f>
        <v>West</v>
      </c>
      <c r="F309">
        <v>1021</v>
      </c>
      <c r="G309" s="9">
        <f>_xlfn.XLOOKUP(B309,customers!$A$1:$A$195,customers!$C$1:$C$195)</f>
        <v>45193</v>
      </c>
      <c r="H309" s="13">
        <v>45873</v>
      </c>
      <c r="I309">
        <v>4</v>
      </c>
      <c r="J309">
        <v>245.04</v>
      </c>
      <c r="K309">
        <v>140.58</v>
      </c>
      <c r="L309">
        <f>_xlfn.XLOOKUP(F309,Products!$A$2:$A$51,Products!$D$2:$D$51,0)</f>
        <v>61.26</v>
      </c>
      <c r="M309">
        <f t="shared" si="4"/>
        <v>104.46</v>
      </c>
    </row>
    <row r="310" spans="1:13">
      <c r="A310" t="s">
        <v>601</v>
      </c>
      <c r="B310" t="s">
        <v>3</v>
      </c>
      <c r="C310" t="str">
        <f>_xlfn.XLOOKUP(F310,Products!$A$2:$A$51,Products!$C$2:$C$51,0)</f>
        <v>Accessories</v>
      </c>
      <c r="D310" t="str">
        <f>_xlfn.XLOOKUP(F310,Products!$A$2:$A$51,Products!$B$2:$B$51,0)</f>
        <v>Digital Coffee Scale</v>
      </c>
      <c r="E310" t="str">
        <f>_xlfn.XLOOKUP(B310,customers!$A$2:$A$195,customers!$B$2:$B$195,,0)</f>
        <v>East</v>
      </c>
      <c r="F310">
        <v>1036</v>
      </c>
      <c r="G310" s="9">
        <f>_xlfn.XLOOKUP(B310,customers!$A$1:$A$195,customers!$C$1:$C$195)</f>
        <v>45141</v>
      </c>
      <c r="H310" s="13">
        <v>45904</v>
      </c>
      <c r="I310">
        <v>4</v>
      </c>
      <c r="J310">
        <v>107.32</v>
      </c>
      <c r="K310">
        <v>58.61</v>
      </c>
      <c r="L310">
        <f>_xlfn.XLOOKUP(F310,Products!$A$2:$A$51,Products!$D$2:$D$51,0)</f>
        <v>26.83</v>
      </c>
      <c r="M310">
        <f t="shared" si="4"/>
        <v>48.71</v>
      </c>
    </row>
    <row r="311" spans="1:13">
      <c r="A311" t="s">
        <v>602</v>
      </c>
      <c r="B311" t="s">
        <v>33</v>
      </c>
      <c r="C311" t="str">
        <f>_xlfn.XLOOKUP(F311,Products!$A$2:$A$51,Products!$C$2:$C$51,0)</f>
        <v>Consumables</v>
      </c>
      <c r="D311" t="str">
        <f>_xlfn.XLOOKUP(F311,Products!$A$2:$A$51,Products!$B$2:$B$51,0)</f>
        <v>Decaf Blend (1kg)</v>
      </c>
      <c r="E311" t="str">
        <f>_xlfn.XLOOKUP(B311,customers!$A$2:$A$195,customers!$B$2:$B$195,,0)</f>
        <v>West</v>
      </c>
      <c r="F311">
        <v>1028</v>
      </c>
      <c r="G311" s="9">
        <f>_xlfn.XLOOKUP(B311,customers!$A$1:$A$195,customers!$C$1:$C$195)</f>
        <v>44929</v>
      </c>
      <c r="H311" s="13">
        <v>45904</v>
      </c>
      <c r="I311">
        <v>2</v>
      </c>
      <c r="J311">
        <v>80.7</v>
      </c>
      <c r="K311">
        <v>25.72</v>
      </c>
      <c r="L311">
        <f>_xlfn.XLOOKUP(F311,Products!$A$2:$A$51,Products!$D$2:$D$51,0)</f>
        <v>40.35</v>
      </c>
      <c r="M311">
        <f t="shared" si="4"/>
        <v>54.98</v>
      </c>
    </row>
    <row r="312" spans="1:13">
      <c r="A312" t="s">
        <v>603</v>
      </c>
      <c r="B312" t="s">
        <v>98</v>
      </c>
      <c r="C312" t="str">
        <f>_xlfn.XLOOKUP(F312,Products!$A$2:$A$51,Products!$C$2:$C$51,0)</f>
        <v>Grinders &amp; Brewers</v>
      </c>
      <c r="D312" t="str">
        <f>_xlfn.XLOOKUP(F312,Products!$A$2:$A$51,Products!$B$2:$B$51,0)</f>
        <v>Pour-Over Starter Kit</v>
      </c>
      <c r="E312" t="str">
        <f>_xlfn.XLOOKUP(B312,customers!$A$2:$A$195,customers!$B$2:$B$195,,0)</f>
        <v>South</v>
      </c>
      <c r="F312">
        <v>1010</v>
      </c>
      <c r="G312" s="9">
        <f>_xlfn.XLOOKUP(B312,customers!$A$1:$A$195,customers!$C$1:$C$195)</f>
        <v>45122</v>
      </c>
      <c r="H312" s="13">
        <v>45904</v>
      </c>
      <c r="I312">
        <v>4</v>
      </c>
      <c r="J312">
        <v>420.92</v>
      </c>
      <c r="K312">
        <v>298.98</v>
      </c>
      <c r="L312">
        <f>_xlfn.XLOOKUP(F312,Products!$A$2:$A$51,Products!$D$2:$D$51,0)</f>
        <v>105.23</v>
      </c>
      <c r="M312">
        <f t="shared" si="4"/>
        <v>121.94</v>
      </c>
    </row>
    <row r="313" spans="1:13">
      <c r="A313" t="s">
        <v>604</v>
      </c>
      <c r="B313" t="s">
        <v>108</v>
      </c>
      <c r="C313" t="str">
        <f>_xlfn.XLOOKUP(F313,Products!$A$2:$A$51,Products!$C$2:$C$51,0)</f>
        <v>Consumables</v>
      </c>
      <c r="D313" t="str">
        <f>_xlfn.XLOOKUP(F313,Products!$A$2:$A$51,Products!$B$2:$B$51,0)</f>
        <v>Decaf Blend (1kg)</v>
      </c>
      <c r="E313" t="str">
        <f>_xlfn.XLOOKUP(B313,customers!$A$2:$A$195,customers!$B$2:$B$195,,0)</f>
        <v>East</v>
      </c>
      <c r="F313">
        <v>1003</v>
      </c>
      <c r="G313" s="9">
        <f>_xlfn.XLOOKUP(B313,customers!$A$1:$A$195,customers!$C$1:$C$195)</f>
        <v>45194</v>
      </c>
      <c r="H313" s="13">
        <v>45904</v>
      </c>
      <c r="I313">
        <v>3</v>
      </c>
      <c r="J313">
        <v>121.05</v>
      </c>
      <c r="K313">
        <v>38.58</v>
      </c>
      <c r="L313">
        <f>_xlfn.XLOOKUP(F313,Products!$A$2:$A$51,Products!$D$2:$D$51,0)</f>
        <v>40.35</v>
      </c>
      <c r="M313">
        <f t="shared" si="4"/>
        <v>82.47</v>
      </c>
    </row>
    <row r="314" spans="1:13">
      <c r="A314" t="s">
        <v>605</v>
      </c>
      <c r="B314" t="s">
        <v>183</v>
      </c>
      <c r="C314" t="str">
        <f>_xlfn.XLOOKUP(F314,Products!$A$2:$A$51,Products!$C$2:$C$51,0)</f>
        <v>Grinders &amp; Brewers</v>
      </c>
      <c r="D314" t="str">
        <f>_xlfn.XLOOKUP(F314,Products!$A$2:$A$51,Products!$B$2:$B$51,0)</f>
        <v>High-Capacity French Press</v>
      </c>
      <c r="E314" t="str">
        <f>_xlfn.XLOOKUP(B314,customers!$A$2:$A$195,customers!$B$2:$B$195,,0)</f>
        <v>West</v>
      </c>
      <c r="F314">
        <v>1034</v>
      </c>
      <c r="G314" s="9">
        <f>_xlfn.XLOOKUP(B314,customers!$A$1:$A$195,customers!$C$1:$C$195)</f>
        <v>45237</v>
      </c>
      <c r="H314" s="13">
        <v>45904</v>
      </c>
      <c r="I314">
        <v>1</v>
      </c>
      <c r="J314">
        <v>338.36</v>
      </c>
      <c r="K314">
        <v>148.17</v>
      </c>
      <c r="L314">
        <f>_xlfn.XLOOKUP(F314,Products!$A$2:$A$51,Products!$D$2:$D$51,0)</f>
        <v>338.36</v>
      </c>
      <c r="M314">
        <f t="shared" si="4"/>
        <v>190.19</v>
      </c>
    </row>
    <row r="315" spans="1:13">
      <c r="A315" t="s">
        <v>606</v>
      </c>
      <c r="B315" t="s">
        <v>176</v>
      </c>
      <c r="C315" t="str">
        <f>_xlfn.XLOOKUP(F315,Products!$A$2:$A$51,Products!$C$2:$C$51,0)</f>
        <v>Subscriptions</v>
      </c>
      <c r="D315" t="str">
        <f>_xlfn.XLOOKUP(F315,Products!$A$2:$A$51,Products!$B$2:$B$51,0)</f>
        <v>Monthly Dark Roast Subscription</v>
      </c>
      <c r="E315" t="str">
        <f>_xlfn.XLOOKUP(B315,customers!$A$2:$A$195,customers!$B$2:$B$195,,0)</f>
        <v>West</v>
      </c>
      <c r="F315">
        <v>1046</v>
      </c>
      <c r="G315" s="9">
        <f>_xlfn.XLOOKUP(B315,customers!$A$1:$A$195,customers!$C$1:$C$195)</f>
        <v>45206</v>
      </c>
      <c r="H315" s="13">
        <v>45934</v>
      </c>
      <c r="I315">
        <v>4</v>
      </c>
      <c r="J315">
        <v>245.04</v>
      </c>
      <c r="K315">
        <v>140.58</v>
      </c>
      <c r="L315">
        <f>_xlfn.XLOOKUP(F315,Products!$A$2:$A$51,Products!$D$2:$D$51,0)</f>
        <v>61.26</v>
      </c>
      <c r="M315">
        <f t="shared" si="4"/>
        <v>104.46</v>
      </c>
    </row>
    <row r="316" spans="1:13">
      <c r="A316" t="s">
        <v>607</v>
      </c>
      <c r="B316" t="s">
        <v>193</v>
      </c>
      <c r="C316" t="str">
        <f>_xlfn.XLOOKUP(F316,Products!$A$2:$A$51,Products!$C$2:$C$51,0)</f>
        <v>Grinders &amp; Brewers</v>
      </c>
      <c r="D316" t="str">
        <f>_xlfn.XLOOKUP(F316,Products!$A$2:$A$51,Products!$B$2:$B$51,0)</f>
        <v>Hand Grinder (Travel Size)</v>
      </c>
      <c r="E316" t="str">
        <f>_xlfn.XLOOKUP(B316,customers!$A$2:$A$195,customers!$B$2:$B$195,,0)</f>
        <v>East</v>
      </c>
      <c r="F316">
        <v>1032</v>
      </c>
      <c r="G316" s="9">
        <f>_xlfn.XLOOKUP(B316,customers!$A$1:$A$195,customers!$C$1:$C$195)</f>
        <v>45255</v>
      </c>
      <c r="H316" s="13">
        <v>45934</v>
      </c>
      <c r="I316">
        <v>3</v>
      </c>
      <c r="J316">
        <v>764.16</v>
      </c>
      <c r="K316">
        <v>390.85</v>
      </c>
      <c r="L316">
        <f>_xlfn.XLOOKUP(F316,Products!$A$2:$A$51,Products!$D$2:$D$51,0)</f>
        <v>254.72</v>
      </c>
      <c r="M316">
        <f t="shared" si="4"/>
        <v>373.31</v>
      </c>
    </row>
    <row r="317" spans="1:13">
      <c r="A317" t="s">
        <v>608</v>
      </c>
      <c r="B317" t="s">
        <v>43</v>
      </c>
      <c r="C317" t="str">
        <f>_xlfn.XLOOKUP(F317,Products!$A$2:$A$51,Products!$C$2:$C$51,0)</f>
        <v>Accessories</v>
      </c>
      <c r="D317" t="str">
        <f>_xlfn.XLOOKUP(F317,Products!$A$2:$A$51,Products!$B$2:$B$51,0)</f>
        <v>Airtight Storage Container</v>
      </c>
      <c r="E317" t="str">
        <f>_xlfn.XLOOKUP(B317,customers!$A$2:$A$195,customers!$B$2:$B$195,,0)</f>
        <v>West</v>
      </c>
      <c r="F317">
        <v>1013</v>
      </c>
      <c r="G317" s="9">
        <f>_xlfn.XLOOKUP(B317,customers!$A$1:$A$195,customers!$C$1:$C$195)</f>
        <v>45197</v>
      </c>
      <c r="H317" s="13">
        <v>45965</v>
      </c>
      <c r="I317">
        <v>2</v>
      </c>
      <c r="J317">
        <v>122.08</v>
      </c>
      <c r="K317">
        <v>51.41</v>
      </c>
      <c r="L317">
        <f>_xlfn.XLOOKUP(F317,Products!$A$2:$A$51,Products!$D$2:$D$51,0)</f>
        <v>61.04</v>
      </c>
      <c r="M317">
        <f t="shared" si="4"/>
        <v>70.67</v>
      </c>
    </row>
    <row r="318" spans="1:13">
      <c r="A318" t="s">
        <v>609</v>
      </c>
      <c r="B318" t="s">
        <v>91</v>
      </c>
      <c r="C318" t="str">
        <f>_xlfn.XLOOKUP(F318,Products!$A$2:$A$51,Products!$C$2:$C$51,0)</f>
        <v>Grinders &amp; Brewers</v>
      </c>
      <c r="D318" t="str">
        <f>_xlfn.XLOOKUP(F318,Products!$A$2:$A$51,Products!$B$2:$B$51,0)</f>
        <v>Hand Grinder (Travel Size)</v>
      </c>
      <c r="E318" t="str">
        <f>_xlfn.XLOOKUP(B318,customers!$A$2:$A$195,customers!$B$2:$B$195,,0)</f>
        <v>South</v>
      </c>
      <c r="F318">
        <v>1007</v>
      </c>
      <c r="G318" s="9">
        <f>_xlfn.XLOOKUP(B318,customers!$A$1:$A$195,customers!$C$1:$C$195)</f>
        <v>45026</v>
      </c>
      <c r="H318" s="13">
        <v>45965</v>
      </c>
      <c r="I318">
        <v>2</v>
      </c>
      <c r="J318">
        <v>509.44</v>
      </c>
      <c r="K318">
        <v>260.57</v>
      </c>
      <c r="L318">
        <f>_xlfn.XLOOKUP(F318,Products!$A$2:$A$51,Products!$D$2:$D$51,0)</f>
        <v>254.72</v>
      </c>
      <c r="M318">
        <f t="shared" si="4"/>
        <v>248.87</v>
      </c>
    </row>
    <row r="319" spans="1:13">
      <c r="A319" t="s">
        <v>610</v>
      </c>
      <c r="B319" t="s">
        <v>106</v>
      </c>
      <c r="C319" t="str">
        <f>_xlfn.XLOOKUP(F319,Products!$A$2:$A$51,Products!$C$2:$C$51,0)</f>
        <v>Consumables</v>
      </c>
      <c r="D319" t="str">
        <f>_xlfn.XLOOKUP(F319,Products!$A$2:$A$51,Products!$B$2:$B$51,0)</f>
        <v>Espresso Bean Sampler Pack</v>
      </c>
      <c r="E319" t="str">
        <f>_xlfn.XLOOKUP(B319,customers!$A$2:$A$195,customers!$B$2:$B$195,,0)</f>
        <v>East</v>
      </c>
      <c r="F319">
        <v>1030</v>
      </c>
      <c r="G319" s="9">
        <f>_xlfn.XLOOKUP(B319,customers!$A$1:$A$195,customers!$C$1:$C$195)</f>
        <v>45055</v>
      </c>
      <c r="H319" s="13">
        <v>45965</v>
      </c>
      <c r="I319">
        <v>4</v>
      </c>
      <c r="J319">
        <v>76.24</v>
      </c>
      <c r="K319">
        <v>47.87</v>
      </c>
      <c r="L319">
        <f>_xlfn.XLOOKUP(F319,Products!$A$2:$A$51,Products!$D$2:$D$51,0)</f>
        <v>19.06</v>
      </c>
      <c r="M319">
        <f t="shared" si="4"/>
        <v>28.37</v>
      </c>
    </row>
    <row r="320" spans="1:13">
      <c r="A320" t="s">
        <v>611</v>
      </c>
      <c r="B320" t="s">
        <v>107</v>
      </c>
      <c r="C320" t="str">
        <f>_xlfn.XLOOKUP(F320,Products!$A$2:$A$51,Products!$C$2:$C$51,0)</f>
        <v>Grinders &amp; Brewers</v>
      </c>
      <c r="D320" t="str">
        <f>_xlfn.XLOOKUP(F320,Products!$A$2:$A$51,Products!$B$2:$B$51,0)</f>
        <v>Precision Electric Grinder</v>
      </c>
      <c r="E320" t="str">
        <f>_xlfn.XLOOKUP(B320,customers!$A$2:$A$195,customers!$B$2:$B$195,,0)</f>
        <v>North</v>
      </c>
      <c r="F320">
        <v>1006</v>
      </c>
      <c r="G320" s="9">
        <f>_xlfn.XLOOKUP(B320,customers!$A$1:$A$195,customers!$C$1:$C$195)</f>
        <v>45039</v>
      </c>
      <c r="H320" s="13">
        <v>45965</v>
      </c>
      <c r="I320">
        <v>4</v>
      </c>
      <c r="J320">
        <v>928.8</v>
      </c>
      <c r="K320">
        <v>313.54</v>
      </c>
      <c r="L320">
        <f>_xlfn.XLOOKUP(F320,Products!$A$2:$A$51,Products!$D$2:$D$51,0)</f>
        <v>232.2</v>
      </c>
      <c r="M320">
        <f t="shared" si="4"/>
        <v>615.26</v>
      </c>
    </row>
    <row r="321" spans="1:13">
      <c r="A321" t="s">
        <v>612</v>
      </c>
      <c r="B321" t="s">
        <v>113</v>
      </c>
      <c r="C321" t="str">
        <f>_xlfn.XLOOKUP(F321,Products!$A$2:$A$51,Products!$C$2:$C$51,0)</f>
        <v>Accessories</v>
      </c>
      <c r="D321" t="str">
        <f>_xlfn.XLOOKUP(F321,Products!$A$2:$A$51,Products!$B$2:$B$51,0)</f>
        <v>Gooseneck Electric Kettle</v>
      </c>
      <c r="E321" t="str">
        <f>_xlfn.XLOOKUP(B321,customers!$A$2:$A$195,customers!$B$2:$B$195,,0)</f>
        <v>North</v>
      </c>
      <c r="F321">
        <v>1037</v>
      </c>
      <c r="G321" s="9">
        <f>_xlfn.XLOOKUP(B321,customers!$A$1:$A$195,customers!$C$1:$C$195)</f>
        <v>45206</v>
      </c>
      <c r="H321" s="13">
        <v>45965</v>
      </c>
      <c r="I321">
        <v>4</v>
      </c>
      <c r="J321">
        <v>139.48</v>
      </c>
      <c r="K321">
        <v>103.88</v>
      </c>
      <c r="L321">
        <f>_xlfn.XLOOKUP(F321,Products!$A$2:$A$51,Products!$D$2:$D$51,0)</f>
        <v>34.87</v>
      </c>
      <c r="M321">
        <f t="shared" si="4"/>
        <v>35.6</v>
      </c>
    </row>
    <row r="322" spans="1:13">
      <c r="A322" t="s">
        <v>613</v>
      </c>
      <c r="B322" t="s">
        <v>151</v>
      </c>
      <c r="C322" t="str">
        <f>_xlfn.XLOOKUP(F322,Products!$A$2:$A$51,Products!$C$2:$C$51,0)</f>
        <v>Grinders &amp; Brewers</v>
      </c>
      <c r="D322" t="str">
        <f>_xlfn.XLOOKUP(F322,Products!$A$2:$A$51,Products!$B$2:$B$51,0)</f>
        <v>High-Capacity French Press</v>
      </c>
      <c r="E322" t="str">
        <f>_xlfn.XLOOKUP(B322,customers!$A$2:$A$195,customers!$B$2:$B$195,,0)</f>
        <v>West</v>
      </c>
      <c r="F322">
        <v>1034</v>
      </c>
      <c r="G322" s="9">
        <f>_xlfn.XLOOKUP(B322,customers!$A$1:$A$195,customers!$C$1:$C$195)</f>
        <v>45047</v>
      </c>
      <c r="H322" s="13">
        <v>45965</v>
      </c>
      <c r="I322">
        <v>3</v>
      </c>
      <c r="J322">
        <v>1015.08</v>
      </c>
      <c r="K322">
        <v>444.51</v>
      </c>
      <c r="L322">
        <f>_xlfn.XLOOKUP(F322,Products!$A$2:$A$51,Products!$D$2:$D$51,0)</f>
        <v>338.36</v>
      </c>
      <c r="M322">
        <f t="shared" si="4"/>
        <v>570.57</v>
      </c>
    </row>
    <row r="323" spans="1:13">
      <c r="A323" t="s">
        <v>614</v>
      </c>
      <c r="B323" t="s">
        <v>179</v>
      </c>
      <c r="C323" t="str">
        <f>_xlfn.XLOOKUP(F323,Products!$A$2:$A$51,Products!$C$2:$C$51,0)</f>
        <v>Merchandise</v>
      </c>
      <c r="D323" t="str">
        <f>_xlfn.XLOOKUP(F323,Products!$A$2:$A$51,Products!$B$2:$B$51,0)</f>
        <v>Logo Hoodie (Black)</v>
      </c>
      <c r="E323" t="str">
        <f>_xlfn.XLOOKUP(B323,customers!$A$2:$A$195,customers!$B$2:$B$195,,0)</f>
        <v>South</v>
      </c>
      <c r="F323">
        <v>1042</v>
      </c>
      <c r="G323" s="9">
        <f>_xlfn.XLOOKUP(B323,customers!$A$1:$A$195,customers!$C$1:$C$195)</f>
        <v>45221</v>
      </c>
      <c r="H323" s="13">
        <v>45995</v>
      </c>
      <c r="I323">
        <v>2</v>
      </c>
      <c r="J323">
        <v>30.46</v>
      </c>
      <c r="K323">
        <v>26.8</v>
      </c>
      <c r="L323">
        <f>_xlfn.XLOOKUP(F323,Products!$A$2:$A$51,Products!$D$2:$D$51,0)</f>
        <v>15.23</v>
      </c>
      <c r="M323">
        <f t="shared" ref="M323:M386" si="5">J323-K323</f>
        <v>3.66</v>
      </c>
    </row>
    <row r="324" spans="1:13">
      <c r="A324" t="s">
        <v>615</v>
      </c>
      <c r="B324" t="s">
        <v>30</v>
      </c>
      <c r="C324" t="str">
        <f>_xlfn.XLOOKUP(F324,Products!$A$2:$A$51,Products!$C$2:$C$51,0)</f>
        <v>Subscriptions</v>
      </c>
      <c r="D324" t="str">
        <f>_xlfn.XLOOKUP(F324,Products!$A$2:$A$51,Products!$B$2:$B$51,0)</f>
        <v>Subscription Renewal Service</v>
      </c>
      <c r="E324" t="str">
        <f>_xlfn.XLOOKUP(B324,customers!$A$2:$A$195,customers!$B$2:$B$195,,0)</f>
        <v>East</v>
      </c>
      <c r="F324">
        <v>1025</v>
      </c>
      <c r="G324" s="9">
        <f>_xlfn.XLOOKUP(B324,customers!$A$1:$A$195,customers!$C$1:$C$195)</f>
        <v>45276</v>
      </c>
      <c r="H324" s="13" t="s">
        <v>616</v>
      </c>
      <c r="I324">
        <v>3</v>
      </c>
      <c r="J324">
        <v>220.23</v>
      </c>
      <c r="K324">
        <v>81.87</v>
      </c>
      <c r="L324">
        <f>_xlfn.XLOOKUP(F324,Products!$A$2:$A$51,Products!$D$2:$D$51,0)</f>
        <v>73.41</v>
      </c>
      <c r="M324">
        <f t="shared" si="5"/>
        <v>138.36</v>
      </c>
    </row>
    <row r="325" spans="1:13">
      <c r="A325" t="s">
        <v>617</v>
      </c>
      <c r="B325" t="s">
        <v>44</v>
      </c>
      <c r="C325" t="str">
        <f>_xlfn.XLOOKUP(F325,Products!$A$2:$A$51,Products!$C$2:$C$51,0)</f>
        <v>Accessories</v>
      </c>
      <c r="D325" t="str">
        <f>_xlfn.XLOOKUP(F325,Products!$A$2:$A$51,Products!$B$2:$B$51,0)</f>
        <v>Refillable Coffee Pods</v>
      </c>
      <c r="E325" t="str">
        <f>_xlfn.XLOOKUP(B325,customers!$A$2:$A$195,customers!$B$2:$B$195,,0)</f>
        <v>East</v>
      </c>
      <c r="F325">
        <v>1040</v>
      </c>
      <c r="G325" s="9">
        <f>_xlfn.XLOOKUP(B325,customers!$A$1:$A$195,customers!$C$1:$C$195)</f>
        <v>45171</v>
      </c>
      <c r="H325" s="13" t="s">
        <v>616</v>
      </c>
      <c r="I325">
        <v>1</v>
      </c>
      <c r="J325">
        <v>24.13</v>
      </c>
      <c r="K325">
        <v>9.3</v>
      </c>
      <c r="L325">
        <f>_xlfn.XLOOKUP(F325,Products!$A$2:$A$51,Products!$D$2:$D$51,0)</f>
        <v>24.13</v>
      </c>
      <c r="M325">
        <f t="shared" si="5"/>
        <v>14.83</v>
      </c>
    </row>
    <row r="326" spans="1:13">
      <c r="A326" t="s">
        <v>618</v>
      </c>
      <c r="B326" t="s">
        <v>65</v>
      </c>
      <c r="C326" t="str">
        <f>_xlfn.XLOOKUP(F326,Products!$A$2:$A$51,Products!$C$2:$C$51,0)</f>
        <v>Consumables</v>
      </c>
      <c r="D326" t="str">
        <f>_xlfn.XLOOKUP(F326,Products!$A$2:$A$51,Products!$B$2:$B$51,0)</f>
        <v>Cold Brew Concentrate</v>
      </c>
      <c r="E326" t="str">
        <f>_xlfn.XLOOKUP(B326,customers!$A$2:$A$195,customers!$B$2:$B$195,,0)</f>
        <v>West</v>
      </c>
      <c r="F326">
        <v>1029</v>
      </c>
      <c r="G326" s="9">
        <f>_xlfn.XLOOKUP(B326,customers!$A$1:$A$195,customers!$C$1:$C$195)</f>
        <v>44939</v>
      </c>
      <c r="H326" s="13" t="s">
        <v>616</v>
      </c>
      <c r="I326">
        <v>1</v>
      </c>
      <c r="J326">
        <v>23.49</v>
      </c>
      <c r="K326">
        <v>10.09</v>
      </c>
      <c r="L326">
        <f>_xlfn.XLOOKUP(F326,Products!$A$2:$A$51,Products!$D$2:$D$51,0)</f>
        <v>23.49</v>
      </c>
      <c r="M326">
        <f t="shared" si="5"/>
        <v>13.4</v>
      </c>
    </row>
    <row r="327" spans="1:13">
      <c r="A327" t="s">
        <v>619</v>
      </c>
      <c r="B327" t="s">
        <v>90</v>
      </c>
      <c r="C327" t="str">
        <f>_xlfn.XLOOKUP(F327,Products!$A$2:$A$51,Products!$C$2:$C$51,0)</f>
        <v>Grinders &amp; Brewers</v>
      </c>
      <c r="D327" t="str">
        <f>_xlfn.XLOOKUP(F327,Products!$A$2:$A$51,Products!$B$2:$B$51,0)</f>
        <v>High-Capacity French Press</v>
      </c>
      <c r="E327" t="str">
        <f>_xlfn.XLOOKUP(B327,customers!$A$2:$A$195,customers!$B$2:$B$195,,0)</f>
        <v>East</v>
      </c>
      <c r="F327">
        <v>1034</v>
      </c>
      <c r="G327" s="9">
        <f>_xlfn.XLOOKUP(B327,customers!$A$1:$A$195,customers!$C$1:$C$195)</f>
        <v>45043</v>
      </c>
      <c r="H327" s="13" t="s">
        <v>616</v>
      </c>
      <c r="I327">
        <v>1</v>
      </c>
      <c r="J327">
        <v>338.36</v>
      </c>
      <c r="K327">
        <v>148.17</v>
      </c>
      <c r="L327">
        <f>_xlfn.XLOOKUP(F327,Products!$A$2:$A$51,Products!$D$2:$D$51,0)</f>
        <v>338.36</v>
      </c>
      <c r="M327">
        <f t="shared" si="5"/>
        <v>190.19</v>
      </c>
    </row>
    <row r="328" spans="1:13">
      <c r="A328" t="s">
        <v>620</v>
      </c>
      <c r="B328" t="s">
        <v>91</v>
      </c>
      <c r="C328" t="str">
        <f>_xlfn.XLOOKUP(F328,Products!$A$2:$A$51,Products!$C$2:$C$51,0)</f>
        <v>Subscriptions</v>
      </c>
      <c r="D328" t="str">
        <f>_xlfn.XLOOKUP(F328,Products!$A$2:$A$51,Products!$B$2:$B$51,0)</f>
        <v>Three-Month Gift Subscription</v>
      </c>
      <c r="E328" t="str">
        <f>_xlfn.XLOOKUP(B328,customers!$A$2:$A$195,customers!$B$2:$B$195,,0)</f>
        <v>South</v>
      </c>
      <c r="F328">
        <v>1023</v>
      </c>
      <c r="G328" s="9">
        <f>_xlfn.XLOOKUP(B328,customers!$A$1:$A$195,customers!$C$1:$C$195)</f>
        <v>45026</v>
      </c>
      <c r="H328" s="13" t="s">
        <v>616</v>
      </c>
      <c r="I328">
        <v>4</v>
      </c>
      <c r="J328">
        <v>260.84</v>
      </c>
      <c r="K328">
        <v>110.44</v>
      </c>
      <c r="L328">
        <f>_xlfn.XLOOKUP(F328,Products!$A$2:$A$51,Products!$D$2:$D$51,0)</f>
        <v>65.21</v>
      </c>
      <c r="M328">
        <f t="shared" si="5"/>
        <v>150.4</v>
      </c>
    </row>
    <row r="329" spans="1:13">
      <c r="A329" t="s">
        <v>621</v>
      </c>
      <c r="B329" t="s">
        <v>155</v>
      </c>
      <c r="C329" t="str">
        <f>_xlfn.XLOOKUP(F329,Products!$A$2:$A$51,Products!$C$2:$C$51,0)</f>
        <v>Merchandise</v>
      </c>
      <c r="D329" t="str">
        <f>_xlfn.XLOOKUP(F329,Products!$A$2:$A$51,Products!$B$2:$B$51,0)</f>
        <v>Branded Ceramic Mug (Large)</v>
      </c>
      <c r="E329" t="str">
        <f>_xlfn.XLOOKUP(B329,customers!$A$2:$A$195,customers!$B$2:$B$195,,0)</f>
        <v>East</v>
      </c>
      <c r="F329">
        <v>1016</v>
      </c>
      <c r="G329" s="9">
        <f>_xlfn.XLOOKUP(B329,customers!$A$1:$A$195,customers!$C$1:$C$195)</f>
        <v>45204</v>
      </c>
      <c r="H329" s="13" t="s">
        <v>616</v>
      </c>
      <c r="I329">
        <v>3</v>
      </c>
      <c r="J329">
        <v>129.6</v>
      </c>
      <c r="K329">
        <v>93.32</v>
      </c>
      <c r="L329">
        <f>_xlfn.XLOOKUP(F329,Products!$A$2:$A$51,Products!$D$2:$D$51,0)</f>
        <v>43.2</v>
      </c>
      <c r="M329">
        <f t="shared" si="5"/>
        <v>36.28</v>
      </c>
    </row>
    <row r="330" spans="1:13">
      <c r="A330" t="s">
        <v>622</v>
      </c>
      <c r="B330" t="s">
        <v>186</v>
      </c>
      <c r="C330" t="str">
        <f>_xlfn.XLOOKUP(F330,Products!$A$2:$A$51,Products!$C$2:$C$51,0)</f>
        <v>Grinders &amp; Brewers</v>
      </c>
      <c r="D330" t="str">
        <f>_xlfn.XLOOKUP(F330,Products!$A$2:$A$51,Products!$B$2:$B$51,0)</f>
        <v>Automated Drip Brewer</v>
      </c>
      <c r="E330" t="str">
        <f>_xlfn.XLOOKUP(B330,customers!$A$2:$A$195,customers!$B$2:$B$195,,0)</f>
        <v>West</v>
      </c>
      <c r="F330">
        <v>1008</v>
      </c>
      <c r="G330" s="9">
        <f>_xlfn.XLOOKUP(B330,customers!$A$1:$A$195,customers!$C$1:$C$195)</f>
        <v>45283</v>
      </c>
      <c r="H330" s="13" t="s">
        <v>616</v>
      </c>
      <c r="I330">
        <v>3</v>
      </c>
      <c r="J330">
        <v>707.28</v>
      </c>
      <c r="K330">
        <v>397.45</v>
      </c>
      <c r="L330">
        <f>_xlfn.XLOOKUP(F330,Products!$A$2:$A$51,Products!$D$2:$D$51,0)</f>
        <v>235.76</v>
      </c>
      <c r="M330">
        <f t="shared" si="5"/>
        <v>309.83</v>
      </c>
    </row>
    <row r="331" spans="1:13">
      <c r="A331" t="s">
        <v>623</v>
      </c>
      <c r="B331" t="s">
        <v>32</v>
      </c>
      <c r="C331" t="str">
        <f>_xlfn.XLOOKUP(F331,Products!$A$2:$A$51,Products!$C$2:$C$51,0)</f>
        <v>Grinders &amp; Brewers</v>
      </c>
      <c r="D331" t="str">
        <f>_xlfn.XLOOKUP(F331,Products!$A$2:$A$51,Products!$B$2:$B$51,0)</f>
        <v>Automated Drip Brewer</v>
      </c>
      <c r="E331" t="str">
        <f>_xlfn.XLOOKUP(B331,customers!$A$2:$A$195,customers!$B$2:$B$195,,0)</f>
        <v>East</v>
      </c>
      <c r="F331">
        <v>1033</v>
      </c>
      <c r="G331" s="9">
        <f>_xlfn.XLOOKUP(B331,customers!$A$1:$A$195,customers!$C$1:$C$195)</f>
        <v>45037</v>
      </c>
      <c r="H331" s="13" t="s">
        <v>624</v>
      </c>
      <c r="I331">
        <v>4</v>
      </c>
      <c r="J331">
        <v>943.04</v>
      </c>
      <c r="K331">
        <v>529.94</v>
      </c>
      <c r="L331">
        <f>_xlfn.XLOOKUP(F331,Products!$A$2:$A$51,Products!$D$2:$D$51,0)</f>
        <v>235.76</v>
      </c>
      <c r="M331">
        <f t="shared" si="5"/>
        <v>413.1</v>
      </c>
    </row>
    <row r="332" spans="1:13">
      <c r="A332" t="s">
        <v>625</v>
      </c>
      <c r="B332" t="s">
        <v>50</v>
      </c>
      <c r="C332" t="str">
        <f>_xlfn.XLOOKUP(F332,Products!$A$2:$A$51,Products!$C$2:$C$51,0)</f>
        <v>Grinders &amp; Brewers</v>
      </c>
      <c r="D332" t="str">
        <f>_xlfn.XLOOKUP(F332,Products!$A$2:$A$51,Products!$B$2:$B$51,0)</f>
        <v>High-Capacity French Press</v>
      </c>
      <c r="E332" t="str">
        <f>_xlfn.XLOOKUP(B332,customers!$A$2:$A$195,customers!$B$2:$B$195,,0)</f>
        <v>West</v>
      </c>
      <c r="F332">
        <v>1034</v>
      </c>
      <c r="G332" s="9">
        <f>_xlfn.XLOOKUP(B332,customers!$A$1:$A$195,customers!$C$1:$C$195)</f>
        <v>44999</v>
      </c>
      <c r="H332" s="13" t="s">
        <v>624</v>
      </c>
      <c r="I332">
        <v>2</v>
      </c>
      <c r="J332">
        <v>676.72</v>
      </c>
      <c r="K332">
        <v>296.34</v>
      </c>
      <c r="L332">
        <f>_xlfn.XLOOKUP(F332,Products!$A$2:$A$51,Products!$D$2:$D$51,0)</f>
        <v>338.36</v>
      </c>
      <c r="M332">
        <f t="shared" si="5"/>
        <v>380.38</v>
      </c>
    </row>
    <row r="333" spans="1:13">
      <c r="A333" t="s">
        <v>626</v>
      </c>
      <c r="B333" t="s">
        <v>181</v>
      </c>
      <c r="C333" t="str">
        <f>_xlfn.XLOOKUP(F333,Products!$A$2:$A$51,Products!$C$2:$C$51,0)</f>
        <v>Merchandise</v>
      </c>
      <c r="D333" t="str">
        <f>_xlfn.XLOOKUP(F333,Products!$A$2:$A$51,Products!$B$2:$B$51,0)</f>
        <v>Logo Hoodie (Black)</v>
      </c>
      <c r="E333" t="str">
        <f>_xlfn.XLOOKUP(B333,customers!$A$2:$A$195,customers!$B$2:$B$195,,0)</f>
        <v>East</v>
      </c>
      <c r="F333">
        <v>1042</v>
      </c>
      <c r="G333" s="9">
        <f>_xlfn.XLOOKUP(B333,customers!$A$1:$A$195,customers!$C$1:$C$195)</f>
        <v>45125</v>
      </c>
      <c r="H333" s="13" t="s">
        <v>624</v>
      </c>
      <c r="I333">
        <v>3</v>
      </c>
      <c r="J333">
        <v>45.69</v>
      </c>
      <c r="K333">
        <v>40.19</v>
      </c>
      <c r="L333">
        <f>_xlfn.XLOOKUP(F333,Products!$A$2:$A$51,Products!$D$2:$D$51,0)</f>
        <v>15.23</v>
      </c>
      <c r="M333">
        <f t="shared" si="5"/>
        <v>5.5</v>
      </c>
    </row>
    <row r="334" spans="1:13">
      <c r="A334" t="s">
        <v>627</v>
      </c>
      <c r="B334" t="s">
        <v>200</v>
      </c>
      <c r="C334" t="str">
        <f>_xlfn.XLOOKUP(F334,Products!$A$2:$A$51,Products!$C$2:$C$51,0)</f>
        <v>Subscriptions</v>
      </c>
      <c r="D334" t="str">
        <f>_xlfn.XLOOKUP(F334,Products!$A$2:$A$51,Products!$B$2:$B$51,0)</f>
        <v>Subscription Renewal Service</v>
      </c>
      <c r="E334" t="str">
        <f>_xlfn.XLOOKUP(B334,customers!$A$2:$A$195,customers!$B$2:$B$195,,0)</f>
        <v>North</v>
      </c>
      <c r="F334">
        <v>1025</v>
      </c>
      <c r="G334" s="9">
        <f>_xlfn.XLOOKUP(B334,customers!$A$1:$A$195,customers!$C$1:$C$195)</f>
        <v>44947</v>
      </c>
      <c r="H334" s="13" t="s">
        <v>624</v>
      </c>
      <c r="I334">
        <v>2</v>
      </c>
      <c r="J334">
        <v>146.82</v>
      </c>
      <c r="K334">
        <v>54.58</v>
      </c>
      <c r="L334">
        <f>_xlfn.XLOOKUP(F334,Products!$A$2:$A$51,Products!$D$2:$D$51,0)</f>
        <v>73.41</v>
      </c>
      <c r="M334">
        <f t="shared" si="5"/>
        <v>92.24</v>
      </c>
    </row>
    <row r="335" spans="1:13">
      <c r="A335" t="s">
        <v>628</v>
      </c>
      <c r="B335" t="s">
        <v>37</v>
      </c>
      <c r="C335" t="str">
        <f>_xlfn.XLOOKUP(F335,Products!$A$2:$A$51,Products!$C$2:$C$51,0)</f>
        <v>Merchandise</v>
      </c>
      <c r="D335" t="str">
        <f>_xlfn.XLOOKUP(F335,Products!$A$2:$A$51,Products!$B$2:$B$51,0)</f>
        <v>Daily Grind T-Shirt</v>
      </c>
      <c r="E335" t="str">
        <f>_xlfn.XLOOKUP(B335,customers!$A$2:$A$195,customers!$B$2:$B$195,,0)</f>
        <v>South</v>
      </c>
      <c r="F335">
        <v>1044</v>
      </c>
      <c r="G335" s="9">
        <f>_xlfn.XLOOKUP(B335,customers!$A$1:$A$195,customers!$C$1:$C$195)</f>
        <v>45059</v>
      </c>
      <c r="H335" s="13" t="s">
        <v>629</v>
      </c>
      <c r="I335">
        <v>2</v>
      </c>
      <c r="J335">
        <v>42.74</v>
      </c>
      <c r="K335">
        <v>16.52</v>
      </c>
      <c r="L335">
        <f>_xlfn.XLOOKUP(F335,Products!$A$2:$A$51,Products!$D$2:$D$51,0)</f>
        <v>21.37</v>
      </c>
      <c r="M335">
        <f t="shared" si="5"/>
        <v>26.22</v>
      </c>
    </row>
    <row r="336" spans="1:13">
      <c r="A336" t="s">
        <v>630</v>
      </c>
      <c r="B336" t="s">
        <v>41</v>
      </c>
      <c r="C336" t="str">
        <f>_xlfn.XLOOKUP(F336,Products!$A$2:$A$51,Products!$C$2:$C$51,0)</f>
        <v>Subscriptions</v>
      </c>
      <c r="D336" t="str">
        <f>_xlfn.XLOOKUP(F336,Products!$A$2:$A$51,Products!$B$2:$B$51,0)</f>
        <v>Monthly Dark Roast Subscription</v>
      </c>
      <c r="E336" t="str">
        <f>_xlfn.XLOOKUP(B336,customers!$A$2:$A$195,customers!$B$2:$B$195,,0)</f>
        <v>West</v>
      </c>
      <c r="F336">
        <v>1046</v>
      </c>
      <c r="G336" s="9">
        <f>_xlfn.XLOOKUP(B336,customers!$A$1:$A$195,customers!$C$1:$C$195)</f>
        <v>44960</v>
      </c>
      <c r="H336" s="13" t="s">
        <v>629</v>
      </c>
      <c r="I336">
        <v>3</v>
      </c>
      <c r="J336">
        <v>183.78</v>
      </c>
      <c r="K336">
        <v>105.44</v>
      </c>
      <c r="L336">
        <f>_xlfn.XLOOKUP(F336,Products!$A$2:$A$51,Products!$D$2:$D$51,0)</f>
        <v>61.26</v>
      </c>
      <c r="M336">
        <f t="shared" si="5"/>
        <v>78.34</v>
      </c>
    </row>
    <row r="337" spans="1:13">
      <c r="A337" t="s">
        <v>631</v>
      </c>
      <c r="B337" t="s">
        <v>108</v>
      </c>
      <c r="C337" t="str">
        <f>_xlfn.XLOOKUP(F337,Products!$A$2:$A$51,Products!$C$2:$C$51,0)</f>
        <v>Grinders &amp; Brewers</v>
      </c>
      <c r="D337" t="str">
        <f>_xlfn.XLOOKUP(F337,Products!$A$2:$A$51,Products!$B$2:$B$51,0)</f>
        <v>Pour-Over Starter Kit</v>
      </c>
      <c r="E337" t="str">
        <f>_xlfn.XLOOKUP(B337,customers!$A$2:$A$195,customers!$B$2:$B$195,,0)</f>
        <v>East</v>
      </c>
      <c r="F337">
        <v>1035</v>
      </c>
      <c r="G337" s="9">
        <f>_xlfn.XLOOKUP(B337,customers!$A$1:$A$195,customers!$C$1:$C$195)</f>
        <v>45194</v>
      </c>
      <c r="H337" s="13" t="s">
        <v>629</v>
      </c>
      <c r="I337">
        <v>3</v>
      </c>
      <c r="J337">
        <v>315.69</v>
      </c>
      <c r="K337">
        <v>224.24</v>
      </c>
      <c r="L337">
        <f>_xlfn.XLOOKUP(F337,Products!$A$2:$A$51,Products!$D$2:$D$51,0)</f>
        <v>105.23</v>
      </c>
      <c r="M337">
        <f t="shared" si="5"/>
        <v>91.45</v>
      </c>
    </row>
    <row r="338" spans="1:13">
      <c r="A338" t="s">
        <v>632</v>
      </c>
      <c r="B338" t="s">
        <v>157</v>
      </c>
      <c r="C338" t="str">
        <f>_xlfn.XLOOKUP(F338,Products!$A$2:$A$51,Products!$C$2:$C$51,0)</f>
        <v>Grinders &amp; Brewers</v>
      </c>
      <c r="D338" t="str">
        <f>_xlfn.XLOOKUP(F338,Products!$A$2:$A$51,Products!$B$2:$B$51,0)</f>
        <v>Automated Drip Brewer</v>
      </c>
      <c r="E338" t="str">
        <f>_xlfn.XLOOKUP(B338,customers!$A$2:$A$195,customers!$B$2:$B$195,,0)</f>
        <v>West</v>
      </c>
      <c r="F338">
        <v>1033</v>
      </c>
      <c r="G338" s="9">
        <f>_xlfn.XLOOKUP(B338,customers!$A$1:$A$195,customers!$C$1:$C$195)</f>
        <v>45216</v>
      </c>
      <c r="H338" s="13" t="s">
        <v>629</v>
      </c>
      <c r="I338">
        <v>3</v>
      </c>
      <c r="J338">
        <v>707.28</v>
      </c>
      <c r="K338">
        <v>397.45</v>
      </c>
      <c r="L338">
        <f>_xlfn.XLOOKUP(F338,Products!$A$2:$A$51,Products!$D$2:$D$51,0)</f>
        <v>235.76</v>
      </c>
      <c r="M338">
        <f t="shared" si="5"/>
        <v>309.83</v>
      </c>
    </row>
    <row r="339" spans="1:13">
      <c r="A339" t="s">
        <v>633</v>
      </c>
      <c r="B339" t="s">
        <v>170</v>
      </c>
      <c r="C339" t="str">
        <f>_xlfn.XLOOKUP(F339,Products!$A$2:$A$51,Products!$C$2:$C$51,0)</f>
        <v>Grinders &amp; Brewers</v>
      </c>
      <c r="D339" t="str">
        <f>_xlfn.XLOOKUP(F339,Products!$A$2:$A$51,Products!$B$2:$B$51,0)</f>
        <v>Pour-Over Starter Kit</v>
      </c>
      <c r="E339" t="str">
        <f>_xlfn.XLOOKUP(B339,customers!$A$2:$A$195,customers!$B$2:$B$195,,0)</f>
        <v>North</v>
      </c>
      <c r="F339">
        <v>1010</v>
      </c>
      <c r="G339" s="9">
        <f>_xlfn.XLOOKUP(B339,customers!$A$1:$A$195,customers!$C$1:$C$195)</f>
        <v>44969</v>
      </c>
      <c r="H339" s="13" t="s">
        <v>629</v>
      </c>
      <c r="I339">
        <v>4</v>
      </c>
      <c r="J339">
        <v>420.92</v>
      </c>
      <c r="K339">
        <v>298.98</v>
      </c>
      <c r="L339">
        <f>_xlfn.XLOOKUP(F339,Products!$A$2:$A$51,Products!$D$2:$D$51,0)</f>
        <v>105.23</v>
      </c>
      <c r="M339">
        <f t="shared" si="5"/>
        <v>121.94</v>
      </c>
    </row>
    <row r="340" spans="1:13">
      <c r="A340" t="s">
        <v>634</v>
      </c>
      <c r="B340" t="s">
        <v>198</v>
      </c>
      <c r="C340" t="str">
        <f>_xlfn.XLOOKUP(F340,Products!$A$2:$A$51,Products!$C$2:$C$51,0)</f>
        <v>Merchandise</v>
      </c>
      <c r="D340" t="str">
        <f>_xlfn.XLOOKUP(F340,Products!$A$2:$A$51,Products!$B$2:$B$51,0)</f>
        <v>Insulated Travel Tumbler</v>
      </c>
      <c r="E340" t="str">
        <f>_xlfn.XLOOKUP(B340,customers!$A$2:$A$195,customers!$B$2:$B$195,,0)</f>
        <v>East</v>
      </c>
      <c r="F340">
        <v>1043</v>
      </c>
      <c r="G340" s="9">
        <f>_xlfn.XLOOKUP(B340,customers!$A$1:$A$195,customers!$C$1:$C$195)</f>
        <v>45115</v>
      </c>
      <c r="H340" s="13" t="s">
        <v>629</v>
      </c>
      <c r="I340">
        <v>3</v>
      </c>
      <c r="J340">
        <v>129.84</v>
      </c>
      <c r="K340">
        <v>62.47</v>
      </c>
      <c r="L340">
        <f>_xlfn.XLOOKUP(F340,Products!$A$2:$A$51,Products!$D$2:$D$51,0)</f>
        <v>43.28</v>
      </c>
      <c r="M340">
        <f t="shared" si="5"/>
        <v>67.37</v>
      </c>
    </row>
    <row r="341" spans="1:13">
      <c r="A341" t="s">
        <v>635</v>
      </c>
      <c r="B341" t="s">
        <v>198</v>
      </c>
      <c r="C341" t="str">
        <f>_xlfn.XLOOKUP(F341,Products!$A$2:$A$51,Products!$C$2:$C$51,0)</f>
        <v>Grinders &amp; Brewers</v>
      </c>
      <c r="D341" t="str">
        <f>_xlfn.XLOOKUP(F341,Products!$A$2:$A$51,Products!$B$2:$B$51,0)</f>
        <v>Hand Grinder (Travel Size)</v>
      </c>
      <c r="E341" t="str">
        <f>_xlfn.XLOOKUP(B341,customers!$A$2:$A$195,customers!$B$2:$B$195,,0)</f>
        <v>East</v>
      </c>
      <c r="F341">
        <v>1032</v>
      </c>
      <c r="G341" s="9">
        <f>_xlfn.XLOOKUP(B341,customers!$A$1:$A$195,customers!$C$1:$C$195)</f>
        <v>45115</v>
      </c>
      <c r="H341" s="13" t="s">
        <v>629</v>
      </c>
      <c r="I341">
        <v>2</v>
      </c>
      <c r="J341">
        <v>509.44</v>
      </c>
      <c r="K341">
        <v>260.57</v>
      </c>
      <c r="L341">
        <f>_xlfn.XLOOKUP(F341,Products!$A$2:$A$51,Products!$D$2:$D$51,0)</f>
        <v>254.72</v>
      </c>
      <c r="M341">
        <f t="shared" si="5"/>
        <v>248.87</v>
      </c>
    </row>
    <row r="342" spans="1:13">
      <c r="A342" t="s">
        <v>636</v>
      </c>
      <c r="B342" t="s">
        <v>107</v>
      </c>
      <c r="C342" t="str">
        <f>_xlfn.XLOOKUP(F342,Products!$A$2:$A$51,Products!$C$2:$C$51,0)</f>
        <v>Accessories</v>
      </c>
      <c r="D342" t="str">
        <f>_xlfn.XLOOKUP(F342,Products!$A$2:$A$51,Products!$B$2:$B$51,0)</f>
        <v>Digital Coffee Scale</v>
      </c>
      <c r="E342" t="str">
        <f>_xlfn.XLOOKUP(B342,customers!$A$2:$A$195,customers!$B$2:$B$195,,0)</f>
        <v>North</v>
      </c>
      <c r="F342">
        <v>1011</v>
      </c>
      <c r="G342" s="9">
        <f>_xlfn.XLOOKUP(B342,customers!$A$1:$A$195,customers!$C$1:$C$195)</f>
        <v>45039</v>
      </c>
      <c r="H342" s="13" t="s">
        <v>637</v>
      </c>
      <c r="I342">
        <v>2</v>
      </c>
      <c r="J342">
        <v>53.66</v>
      </c>
      <c r="K342">
        <v>29.3</v>
      </c>
      <c r="L342">
        <f>_xlfn.XLOOKUP(F342,Products!$A$2:$A$51,Products!$D$2:$D$51,0)</f>
        <v>26.83</v>
      </c>
      <c r="M342">
        <f t="shared" si="5"/>
        <v>24.36</v>
      </c>
    </row>
    <row r="343" spans="1:13">
      <c r="A343" t="s">
        <v>638</v>
      </c>
      <c r="B343" t="s">
        <v>119</v>
      </c>
      <c r="C343" t="str">
        <f>_xlfn.XLOOKUP(F343,Products!$A$2:$A$51,Products!$C$2:$C$51,0)</f>
        <v>Merchandise</v>
      </c>
      <c r="D343" t="str">
        <f>_xlfn.XLOOKUP(F343,Products!$A$2:$A$51,Products!$B$2:$B$51,0)</f>
        <v>Logo Hoodie (Black)</v>
      </c>
      <c r="E343" t="str">
        <f>_xlfn.XLOOKUP(B343,customers!$A$2:$A$195,customers!$B$2:$B$195,,0)</f>
        <v>West</v>
      </c>
      <c r="F343">
        <v>1017</v>
      </c>
      <c r="G343" s="9">
        <f>_xlfn.XLOOKUP(B343,customers!$A$1:$A$195,customers!$C$1:$C$195)</f>
        <v>44960</v>
      </c>
      <c r="H343" s="13" t="s">
        <v>637</v>
      </c>
      <c r="I343">
        <v>3</v>
      </c>
      <c r="J343">
        <v>45.69</v>
      </c>
      <c r="K343">
        <v>40.19</v>
      </c>
      <c r="L343">
        <f>_xlfn.XLOOKUP(F343,Products!$A$2:$A$51,Products!$D$2:$D$51,0)</f>
        <v>15.23</v>
      </c>
      <c r="M343">
        <f t="shared" si="5"/>
        <v>5.5</v>
      </c>
    </row>
    <row r="344" spans="1:13">
      <c r="A344" t="s">
        <v>639</v>
      </c>
      <c r="B344" t="s">
        <v>143</v>
      </c>
      <c r="C344" t="str">
        <f>_xlfn.XLOOKUP(F344,Products!$A$2:$A$51,Products!$C$2:$C$51,0)</f>
        <v>Subscriptions</v>
      </c>
      <c r="D344" t="str">
        <f>_xlfn.XLOOKUP(F344,Products!$A$2:$A$51,Products!$B$2:$B$51,0)</f>
        <v>Three-Month Gift Subscription</v>
      </c>
      <c r="E344" t="str">
        <f>_xlfn.XLOOKUP(B344,customers!$A$2:$A$195,customers!$B$2:$B$195,,0)</f>
        <v>West</v>
      </c>
      <c r="F344">
        <v>1048</v>
      </c>
      <c r="G344" s="9">
        <f>_xlfn.XLOOKUP(B344,customers!$A$1:$A$195,customers!$C$1:$C$195)</f>
        <v>45193</v>
      </c>
      <c r="H344" s="13" t="s">
        <v>637</v>
      </c>
      <c r="I344">
        <v>1</v>
      </c>
      <c r="J344">
        <v>65.21</v>
      </c>
      <c r="K344">
        <v>27.61</v>
      </c>
      <c r="L344">
        <f>_xlfn.XLOOKUP(F344,Products!$A$2:$A$51,Products!$D$2:$D$51,0)</f>
        <v>65.21</v>
      </c>
      <c r="M344">
        <f t="shared" si="5"/>
        <v>37.6</v>
      </c>
    </row>
    <row r="345" spans="1:13">
      <c r="A345" t="s">
        <v>640</v>
      </c>
      <c r="B345" t="s">
        <v>161</v>
      </c>
      <c r="C345" t="str">
        <f>_xlfn.XLOOKUP(F345,Products!$A$2:$A$51,Products!$C$2:$C$51,0)</f>
        <v>Subscriptions</v>
      </c>
      <c r="D345" t="str">
        <f>_xlfn.XLOOKUP(F345,Products!$A$2:$A$51,Products!$B$2:$B$51,0)</f>
        <v>Subscription Renewal Service</v>
      </c>
      <c r="E345" t="str">
        <f>_xlfn.XLOOKUP(B345,customers!$A$2:$A$195,customers!$B$2:$B$195,,0)</f>
        <v>South</v>
      </c>
      <c r="F345">
        <v>1050</v>
      </c>
      <c r="G345" s="9">
        <f>_xlfn.XLOOKUP(B345,customers!$A$1:$A$195,customers!$C$1:$C$195)</f>
        <v>45203</v>
      </c>
      <c r="H345" s="13" t="s">
        <v>637</v>
      </c>
      <c r="I345">
        <v>1</v>
      </c>
      <c r="J345">
        <v>73.41</v>
      </c>
      <c r="K345">
        <v>27.29</v>
      </c>
      <c r="L345">
        <f>_xlfn.XLOOKUP(F345,Products!$A$2:$A$51,Products!$D$2:$D$51,0)</f>
        <v>73.41</v>
      </c>
      <c r="M345">
        <f t="shared" si="5"/>
        <v>46.12</v>
      </c>
    </row>
    <row r="346" spans="1:13">
      <c r="A346" t="s">
        <v>641</v>
      </c>
      <c r="B346" t="s">
        <v>177</v>
      </c>
      <c r="C346" t="str">
        <f>_xlfn.XLOOKUP(F346,Products!$A$2:$A$51,Products!$C$2:$C$51,0)</f>
        <v>Accessories</v>
      </c>
      <c r="D346" t="str">
        <f>_xlfn.XLOOKUP(F346,Products!$A$2:$A$51,Products!$B$2:$B$51,0)</f>
        <v>Chemex Filters (100 pack)</v>
      </c>
      <c r="E346" t="str">
        <f>_xlfn.XLOOKUP(B346,customers!$A$2:$A$195,customers!$B$2:$B$195,,0)</f>
        <v>East</v>
      </c>
      <c r="F346">
        <v>1039</v>
      </c>
      <c r="G346" s="9">
        <f>_xlfn.XLOOKUP(B346,customers!$A$1:$A$195,customers!$C$1:$C$195)</f>
        <v>44986</v>
      </c>
      <c r="H346" s="13" t="s">
        <v>637</v>
      </c>
      <c r="I346">
        <v>1</v>
      </c>
      <c r="J346">
        <v>24.1</v>
      </c>
      <c r="K346">
        <v>21.21</v>
      </c>
      <c r="L346">
        <f>_xlfn.XLOOKUP(F346,Products!$A$2:$A$51,Products!$D$2:$D$51,0)</f>
        <v>24.1</v>
      </c>
      <c r="M346">
        <f t="shared" si="5"/>
        <v>2.89</v>
      </c>
    </row>
    <row r="347" spans="1:13">
      <c r="A347" t="s">
        <v>642</v>
      </c>
      <c r="B347" t="s">
        <v>188</v>
      </c>
      <c r="C347" t="str">
        <f>_xlfn.XLOOKUP(F347,Products!$A$2:$A$51,Products!$C$2:$C$51,0)</f>
        <v>Accessories</v>
      </c>
      <c r="D347" t="str">
        <f>_xlfn.XLOOKUP(F347,Products!$A$2:$A$51,Products!$B$2:$B$51,0)</f>
        <v>Airtight Storage Container</v>
      </c>
      <c r="E347" t="str">
        <f>_xlfn.XLOOKUP(B347,customers!$A$2:$A$195,customers!$B$2:$B$195,,0)</f>
        <v>West</v>
      </c>
      <c r="F347">
        <v>1038</v>
      </c>
      <c r="G347" s="9">
        <f>_xlfn.XLOOKUP(B347,customers!$A$1:$A$195,customers!$C$1:$C$195)</f>
        <v>45003</v>
      </c>
      <c r="H347" s="13" t="s">
        <v>637</v>
      </c>
      <c r="I347">
        <v>4</v>
      </c>
      <c r="J347">
        <v>244.16</v>
      </c>
      <c r="K347">
        <v>102.83</v>
      </c>
      <c r="L347">
        <f>_xlfn.XLOOKUP(F347,Products!$A$2:$A$51,Products!$D$2:$D$51,0)</f>
        <v>61.04</v>
      </c>
      <c r="M347">
        <f t="shared" si="5"/>
        <v>141.33</v>
      </c>
    </row>
    <row r="348" spans="1:13">
      <c r="A348" t="s">
        <v>643</v>
      </c>
      <c r="B348" t="s">
        <v>25</v>
      </c>
      <c r="C348" t="str">
        <f>_xlfn.XLOOKUP(F348,Products!$A$2:$A$51,Products!$C$2:$C$51,0)</f>
        <v>Accessories</v>
      </c>
      <c r="D348" t="str">
        <f>_xlfn.XLOOKUP(F348,Products!$A$2:$A$51,Products!$B$2:$B$51,0)</f>
        <v>Digital Coffee Scale</v>
      </c>
      <c r="E348" t="str">
        <f>_xlfn.XLOOKUP(B348,customers!$A$2:$A$195,customers!$B$2:$B$195,,0)</f>
        <v>North</v>
      </c>
      <c r="F348">
        <v>1011</v>
      </c>
      <c r="G348" s="9">
        <f>_xlfn.XLOOKUP(B348,customers!$A$1:$A$195,customers!$C$1:$C$195)</f>
        <v>45187</v>
      </c>
      <c r="H348" s="13" t="s">
        <v>644</v>
      </c>
      <c r="I348">
        <v>2</v>
      </c>
      <c r="J348">
        <v>53.66</v>
      </c>
      <c r="K348">
        <v>29.3</v>
      </c>
      <c r="L348">
        <f>_xlfn.XLOOKUP(F348,Products!$A$2:$A$51,Products!$D$2:$D$51,0)</f>
        <v>26.83</v>
      </c>
      <c r="M348">
        <f t="shared" si="5"/>
        <v>24.36</v>
      </c>
    </row>
    <row r="349" spans="1:13">
      <c r="A349" t="s">
        <v>645</v>
      </c>
      <c r="B349" t="s">
        <v>39</v>
      </c>
      <c r="C349" t="str">
        <f>_xlfn.XLOOKUP(F349,Products!$A$2:$A$51,Products!$C$2:$C$51,0)</f>
        <v>Subscriptions</v>
      </c>
      <c r="D349" t="str">
        <f>_xlfn.XLOOKUP(F349,Products!$A$2:$A$51,Products!$B$2:$B$51,0)</f>
        <v>Three-Month Gift Subscription</v>
      </c>
      <c r="E349" t="str">
        <f>_xlfn.XLOOKUP(B349,customers!$A$2:$A$195,customers!$B$2:$B$195,,0)</f>
        <v>North</v>
      </c>
      <c r="F349">
        <v>1023</v>
      </c>
      <c r="G349" s="9">
        <f>_xlfn.XLOOKUP(B349,customers!$A$1:$A$195,customers!$C$1:$C$195)</f>
        <v>45037</v>
      </c>
      <c r="H349" s="13" t="s">
        <v>644</v>
      </c>
      <c r="I349">
        <v>2</v>
      </c>
      <c r="J349">
        <v>130.42</v>
      </c>
      <c r="K349">
        <v>55.22</v>
      </c>
      <c r="L349">
        <f>_xlfn.XLOOKUP(F349,Products!$A$2:$A$51,Products!$D$2:$D$51,0)</f>
        <v>65.21</v>
      </c>
      <c r="M349">
        <f t="shared" si="5"/>
        <v>75.2</v>
      </c>
    </row>
    <row r="350" spans="1:13">
      <c r="A350" t="s">
        <v>646</v>
      </c>
      <c r="B350" t="s">
        <v>71</v>
      </c>
      <c r="C350" t="str">
        <f>_xlfn.XLOOKUP(F350,Products!$A$2:$A$51,Products!$C$2:$C$51,0)</f>
        <v>Subscriptions</v>
      </c>
      <c r="D350" t="str">
        <f>_xlfn.XLOOKUP(F350,Products!$A$2:$A$51,Products!$B$2:$B$51,0)</f>
        <v>Bi-Weekly Sampler Box</v>
      </c>
      <c r="E350" t="str">
        <f>_xlfn.XLOOKUP(B350,customers!$A$2:$A$195,customers!$B$2:$B$195,,0)</f>
        <v>South</v>
      </c>
      <c r="F350">
        <v>1022</v>
      </c>
      <c r="G350" s="9">
        <f>_xlfn.XLOOKUP(B350,customers!$A$1:$A$195,customers!$C$1:$C$195)</f>
        <v>44993</v>
      </c>
      <c r="H350" s="13" t="s">
        <v>644</v>
      </c>
      <c r="I350">
        <v>4</v>
      </c>
      <c r="J350">
        <v>355.08</v>
      </c>
      <c r="K350">
        <v>95.44</v>
      </c>
      <c r="L350">
        <f>_xlfn.XLOOKUP(F350,Products!$A$2:$A$51,Products!$D$2:$D$51,0)</f>
        <v>88.77</v>
      </c>
      <c r="M350">
        <f t="shared" si="5"/>
        <v>259.64</v>
      </c>
    </row>
    <row r="351" spans="1:13">
      <c r="A351" t="s">
        <v>647</v>
      </c>
      <c r="B351" t="s">
        <v>103</v>
      </c>
      <c r="C351" t="str">
        <f>_xlfn.XLOOKUP(F351,Products!$A$2:$A$51,Products!$C$2:$C$51,0)</f>
        <v>Consumables</v>
      </c>
      <c r="D351" t="str">
        <f>_xlfn.XLOOKUP(F351,Products!$A$2:$A$51,Products!$B$2:$B$51,0)</f>
        <v>Cold Brew Concentrate</v>
      </c>
      <c r="E351" t="str">
        <f>_xlfn.XLOOKUP(B351,customers!$A$2:$A$195,customers!$B$2:$B$195,,0)</f>
        <v>West</v>
      </c>
      <c r="F351">
        <v>1029</v>
      </c>
      <c r="G351" s="9">
        <f>_xlfn.XLOOKUP(B351,customers!$A$1:$A$195,customers!$C$1:$C$195)</f>
        <v>45132</v>
      </c>
      <c r="H351" s="13" t="s">
        <v>644</v>
      </c>
      <c r="I351">
        <v>4</v>
      </c>
      <c r="J351">
        <v>93.96</v>
      </c>
      <c r="K351">
        <v>40.35</v>
      </c>
      <c r="L351">
        <f>_xlfn.XLOOKUP(F351,Products!$A$2:$A$51,Products!$D$2:$D$51,0)</f>
        <v>23.49</v>
      </c>
      <c r="M351">
        <f t="shared" si="5"/>
        <v>53.61</v>
      </c>
    </row>
    <row r="352" spans="1:13">
      <c r="A352" t="s">
        <v>648</v>
      </c>
      <c r="B352" t="s">
        <v>109</v>
      </c>
      <c r="C352" t="str">
        <f>_xlfn.XLOOKUP(F352,Products!$A$2:$A$51,Products!$C$2:$C$51,0)</f>
        <v>Consumables</v>
      </c>
      <c r="D352" t="str">
        <f>_xlfn.XLOOKUP(F352,Products!$A$2:$A$51,Products!$B$2:$B$51,0)</f>
        <v>Cold Brew Concentrate</v>
      </c>
      <c r="E352" t="str">
        <f>_xlfn.XLOOKUP(B352,customers!$A$2:$A$195,customers!$B$2:$B$195,,0)</f>
        <v>North</v>
      </c>
      <c r="F352">
        <v>1029</v>
      </c>
      <c r="G352" s="9">
        <f>_xlfn.XLOOKUP(B352,customers!$A$1:$A$195,customers!$C$1:$C$195)</f>
        <v>45129</v>
      </c>
      <c r="H352" s="13" t="s">
        <v>644</v>
      </c>
      <c r="I352">
        <v>3</v>
      </c>
      <c r="J352">
        <v>70.47</v>
      </c>
      <c r="K352">
        <v>30.26</v>
      </c>
      <c r="L352">
        <f>_xlfn.XLOOKUP(F352,Products!$A$2:$A$51,Products!$D$2:$D$51,0)</f>
        <v>23.49</v>
      </c>
      <c r="M352">
        <f t="shared" si="5"/>
        <v>40.21</v>
      </c>
    </row>
    <row r="353" spans="1:13">
      <c r="A353" t="s">
        <v>649</v>
      </c>
      <c r="B353" t="s">
        <v>155</v>
      </c>
      <c r="C353" t="str">
        <f>_xlfn.XLOOKUP(F353,Products!$A$2:$A$51,Products!$C$2:$C$51,0)</f>
        <v>Subscriptions</v>
      </c>
      <c r="D353" t="str">
        <f>_xlfn.XLOOKUP(F353,Products!$A$2:$A$51,Products!$B$2:$B$51,0)</f>
        <v>Bi-Weekly Sampler Box</v>
      </c>
      <c r="E353" t="str">
        <f>_xlfn.XLOOKUP(B353,customers!$A$2:$A$195,customers!$B$2:$B$195,,0)</f>
        <v>East</v>
      </c>
      <c r="F353">
        <v>1047</v>
      </c>
      <c r="G353" s="9">
        <f>_xlfn.XLOOKUP(B353,customers!$A$1:$A$195,customers!$C$1:$C$195)</f>
        <v>45204</v>
      </c>
      <c r="H353" s="13" t="s">
        <v>644</v>
      </c>
      <c r="I353">
        <v>3</v>
      </c>
      <c r="J353">
        <v>266.31</v>
      </c>
      <c r="K353">
        <v>71.58</v>
      </c>
      <c r="L353">
        <f>_xlfn.XLOOKUP(F353,Products!$A$2:$A$51,Products!$D$2:$D$51,0)</f>
        <v>88.77</v>
      </c>
      <c r="M353">
        <f t="shared" si="5"/>
        <v>194.73</v>
      </c>
    </row>
    <row r="354" spans="1:13">
      <c r="A354" t="s">
        <v>650</v>
      </c>
      <c r="B354" t="s">
        <v>168</v>
      </c>
      <c r="C354" t="str">
        <f>_xlfn.XLOOKUP(F354,Products!$A$2:$A$51,Products!$C$2:$C$51,0)</f>
        <v>Consumables</v>
      </c>
      <c r="D354" t="str">
        <f>_xlfn.XLOOKUP(F354,Products!$A$2:$A$51,Products!$B$2:$B$51,0)</f>
        <v>Seasonal Blend Light Roast</v>
      </c>
      <c r="E354" t="str">
        <f>_xlfn.XLOOKUP(B354,customers!$A$2:$A$195,customers!$B$2:$B$195,,0)</f>
        <v>West</v>
      </c>
      <c r="F354">
        <v>1027</v>
      </c>
      <c r="G354" s="9">
        <f>_xlfn.XLOOKUP(B354,customers!$A$1:$A$195,customers!$C$1:$C$195)</f>
        <v>45128</v>
      </c>
      <c r="H354" s="13" t="s">
        <v>644</v>
      </c>
      <c r="I354">
        <v>4</v>
      </c>
      <c r="J354">
        <v>142.12</v>
      </c>
      <c r="K354">
        <v>23.72</v>
      </c>
      <c r="L354">
        <f>_xlfn.XLOOKUP(F354,Products!$A$2:$A$51,Products!$D$2:$D$51,0)</f>
        <v>35.53</v>
      </c>
      <c r="M354">
        <f t="shared" si="5"/>
        <v>118.4</v>
      </c>
    </row>
    <row r="355" spans="1:13">
      <c r="A355" t="s">
        <v>651</v>
      </c>
      <c r="B355" t="s">
        <v>133</v>
      </c>
      <c r="C355" t="str">
        <f>_xlfn.XLOOKUP(F355,Products!$A$2:$A$51,Products!$C$2:$C$51,0)</f>
        <v>Consumables</v>
      </c>
      <c r="D355" t="str">
        <f>_xlfn.XLOOKUP(F355,Products!$A$2:$A$51,Products!$B$2:$B$51,0)</f>
        <v>Cold Brew Concentrate</v>
      </c>
      <c r="E355" t="str">
        <f>_xlfn.XLOOKUP(B355,customers!$A$2:$A$195,customers!$B$2:$B$195,,0)</f>
        <v>West</v>
      </c>
      <c r="F355">
        <v>1004</v>
      </c>
      <c r="G355" s="9">
        <f>_xlfn.XLOOKUP(B355,customers!$A$1:$A$195,customers!$C$1:$C$195)</f>
        <v>45248</v>
      </c>
      <c r="H355" s="13" t="s">
        <v>652</v>
      </c>
      <c r="I355">
        <v>1</v>
      </c>
      <c r="J355">
        <v>23.49</v>
      </c>
      <c r="K355">
        <v>10.09</v>
      </c>
      <c r="L355">
        <f>_xlfn.XLOOKUP(F355,Products!$A$2:$A$51,Products!$D$2:$D$51,0)</f>
        <v>23.49</v>
      </c>
      <c r="M355">
        <f t="shared" si="5"/>
        <v>13.4</v>
      </c>
    </row>
    <row r="356" spans="1:13">
      <c r="A356" t="s">
        <v>653</v>
      </c>
      <c r="B356" t="s">
        <v>152</v>
      </c>
      <c r="C356" t="str">
        <f>_xlfn.XLOOKUP(F356,Products!$A$2:$A$51,Products!$C$2:$C$51,0)</f>
        <v>Subscriptions</v>
      </c>
      <c r="D356" t="str">
        <f>_xlfn.XLOOKUP(F356,Products!$A$2:$A$51,Products!$B$2:$B$51,0)</f>
        <v>Bi-Weekly Sampler Box</v>
      </c>
      <c r="E356" t="str">
        <f>_xlfn.XLOOKUP(B356,customers!$A$2:$A$195,customers!$B$2:$B$195,,0)</f>
        <v>East</v>
      </c>
      <c r="F356">
        <v>1022</v>
      </c>
      <c r="G356" s="9">
        <f>_xlfn.XLOOKUP(B356,customers!$A$1:$A$195,customers!$C$1:$C$195)</f>
        <v>44949</v>
      </c>
      <c r="H356" s="13" t="s">
        <v>652</v>
      </c>
      <c r="I356">
        <v>4</v>
      </c>
      <c r="J356">
        <v>355.08</v>
      </c>
      <c r="K356">
        <v>95.44</v>
      </c>
      <c r="L356">
        <f>_xlfn.XLOOKUP(F356,Products!$A$2:$A$51,Products!$D$2:$D$51,0)</f>
        <v>88.77</v>
      </c>
      <c r="M356">
        <f t="shared" si="5"/>
        <v>259.64</v>
      </c>
    </row>
    <row r="357" spans="1:13">
      <c r="A357" t="s">
        <v>654</v>
      </c>
      <c r="B357" t="s">
        <v>182</v>
      </c>
      <c r="C357" t="str">
        <f>_xlfn.XLOOKUP(F357,Products!$A$2:$A$51,Products!$C$2:$C$51,0)</f>
        <v>Consumables</v>
      </c>
      <c r="D357" t="str">
        <f>_xlfn.XLOOKUP(F357,Products!$A$2:$A$51,Products!$B$2:$B$51,0)</f>
        <v>Seasonal Blend Light Roast</v>
      </c>
      <c r="E357" t="str">
        <f>_xlfn.XLOOKUP(B357,customers!$A$2:$A$195,customers!$B$2:$B$195,,0)</f>
        <v>East</v>
      </c>
      <c r="F357">
        <v>1027</v>
      </c>
      <c r="G357" s="9">
        <f>_xlfn.XLOOKUP(B357,customers!$A$1:$A$195,customers!$C$1:$C$195)</f>
        <v>44998</v>
      </c>
      <c r="H357" s="13" t="s">
        <v>652</v>
      </c>
      <c r="I357">
        <v>4</v>
      </c>
      <c r="J357">
        <v>142.12</v>
      </c>
      <c r="K357">
        <v>23.72</v>
      </c>
      <c r="L357">
        <f>_xlfn.XLOOKUP(F357,Products!$A$2:$A$51,Products!$D$2:$D$51,0)</f>
        <v>35.53</v>
      </c>
      <c r="M357">
        <f t="shared" si="5"/>
        <v>118.4</v>
      </c>
    </row>
    <row r="358" spans="1:13">
      <c r="A358" t="s">
        <v>655</v>
      </c>
      <c r="B358" t="s">
        <v>32</v>
      </c>
      <c r="C358" t="str">
        <f>_xlfn.XLOOKUP(F358,Products!$A$2:$A$51,Products!$C$2:$C$51,0)</f>
        <v>Consumables</v>
      </c>
      <c r="D358" t="str">
        <f>_xlfn.XLOOKUP(F358,Products!$A$2:$A$51,Products!$B$2:$B$51,0)</f>
        <v>Seasonal Blend Light Roast</v>
      </c>
      <c r="E358" t="str">
        <f>_xlfn.XLOOKUP(B358,customers!$A$2:$A$195,customers!$B$2:$B$195,,0)</f>
        <v>East</v>
      </c>
      <c r="F358">
        <v>1002</v>
      </c>
      <c r="G358" s="9">
        <f>_xlfn.XLOOKUP(B358,customers!$A$1:$A$195,customers!$C$1:$C$195)</f>
        <v>45037</v>
      </c>
      <c r="H358" s="13" t="s">
        <v>656</v>
      </c>
      <c r="I358">
        <v>2</v>
      </c>
      <c r="J358">
        <v>71.06</v>
      </c>
      <c r="K358">
        <v>11.86</v>
      </c>
      <c r="L358">
        <f>_xlfn.XLOOKUP(F358,Products!$A$2:$A$51,Products!$D$2:$D$51,0)</f>
        <v>35.53</v>
      </c>
      <c r="M358">
        <f t="shared" si="5"/>
        <v>59.2</v>
      </c>
    </row>
    <row r="359" spans="1:13">
      <c r="A359" t="s">
        <v>657</v>
      </c>
      <c r="B359" t="s">
        <v>193</v>
      </c>
      <c r="C359" t="str">
        <f>_xlfn.XLOOKUP(F359,Products!$A$2:$A$51,Products!$C$2:$C$51,0)</f>
        <v>Merchandise</v>
      </c>
      <c r="D359" t="str">
        <f>_xlfn.XLOOKUP(F359,Products!$A$2:$A$51,Products!$B$2:$B$51,0)</f>
        <v>Minimalist Keychain</v>
      </c>
      <c r="E359" t="str">
        <f>_xlfn.XLOOKUP(B359,customers!$A$2:$A$195,customers!$B$2:$B$195,,0)</f>
        <v>East</v>
      </c>
      <c r="F359">
        <v>1020</v>
      </c>
      <c r="G359" s="9">
        <f>_xlfn.XLOOKUP(B359,customers!$A$1:$A$195,customers!$C$1:$C$195)</f>
        <v>45255</v>
      </c>
      <c r="H359" s="13" t="s">
        <v>656</v>
      </c>
      <c r="I359">
        <v>1</v>
      </c>
      <c r="J359">
        <v>27.37</v>
      </c>
      <c r="K359">
        <v>24.09</v>
      </c>
      <c r="L359">
        <f>_xlfn.XLOOKUP(F359,Products!$A$2:$A$51,Products!$D$2:$D$51,0)</f>
        <v>27.37</v>
      </c>
      <c r="M359">
        <f t="shared" si="5"/>
        <v>3.28</v>
      </c>
    </row>
    <row r="360" spans="1:13">
      <c r="A360" t="s">
        <v>658</v>
      </c>
      <c r="B360" t="s">
        <v>27</v>
      </c>
      <c r="C360" t="str">
        <f>_xlfn.XLOOKUP(F360,Products!$A$2:$A$51,Products!$C$2:$C$51,0)</f>
        <v>Accessories</v>
      </c>
      <c r="D360" t="str">
        <f>_xlfn.XLOOKUP(F360,Products!$A$2:$A$51,Products!$B$2:$B$51,0)</f>
        <v>Digital Coffee Scale</v>
      </c>
      <c r="E360" t="str">
        <f>_xlfn.XLOOKUP(B360,customers!$A$2:$A$195,customers!$B$2:$B$195,,0)</f>
        <v>West</v>
      </c>
      <c r="F360">
        <v>1011</v>
      </c>
      <c r="G360" s="9">
        <f>_xlfn.XLOOKUP(B360,customers!$A$1:$A$195,customers!$C$1:$C$195)</f>
        <v>45093</v>
      </c>
      <c r="H360" s="13" t="s">
        <v>659</v>
      </c>
      <c r="I360">
        <v>3</v>
      </c>
      <c r="J360">
        <v>80.49</v>
      </c>
      <c r="K360">
        <v>43.96</v>
      </c>
      <c r="L360">
        <f>_xlfn.XLOOKUP(F360,Products!$A$2:$A$51,Products!$D$2:$D$51,0)</f>
        <v>26.83</v>
      </c>
      <c r="M360">
        <f t="shared" si="5"/>
        <v>36.53</v>
      </c>
    </row>
    <row r="361" spans="1:13">
      <c r="A361" t="s">
        <v>660</v>
      </c>
      <c r="B361" t="s">
        <v>29</v>
      </c>
      <c r="C361" t="str">
        <f>_xlfn.XLOOKUP(F361,Products!$A$2:$A$51,Products!$C$2:$C$51,0)</f>
        <v>Grinders &amp; Brewers</v>
      </c>
      <c r="D361" t="str">
        <f>_xlfn.XLOOKUP(F361,Products!$A$2:$A$51,Products!$B$2:$B$51,0)</f>
        <v>Pour-Over Starter Kit</v>
      </c>
      <c r="E361" t="str">
        <f>_xlfn.XLOOKUP(B361,customers!$A$2:$A$195,customers!$B$2:$B$195,,0)</f>
        <v>West</v>
      </c>
      <c r="F361">
        <v>1035</v>
      </c>
      <c r="G361" s="9">
        <f>_xlfn.XLOOKUP(B361,customers!$A$1:$A$195,customers!$C$1:$C$195)</f>
        <v>45207</v>
      </c>
      <c r="H361" s="13" t="s">
        <v>659</v>
      </c>
      <c r="I361">
        <v>4</v>
      </c>
      <c r="J361">
        <v>420.92</v>
      </c>
      <c r="K361">
        <v>298.98</v>
      </c>
      <c r="L361">
        <f>_xlfn.XLOOKUP(F361,Products!$A$2:$A$51,Products!$D$2:$D$51,0)</f>
        <v>105.23</v>
      </c>
      <c r="M361">
        <f t="shared" si="5"/>
        <v>121.94</v>
      </c>
    </row>
    <row r="362" spans="1:13">
      <c r="A362" t="s">
        <v>661</v>
      </c>
      <c r="B362" t="s">
        <v>166</v>
      </c>
      <c r="C362" t="str">
        <f>_xlfn.XLOOKUP(F362,Products!$A$2:$A$51,Products!$C$2:$C$51,0)</f>
        <v>Grinders &amp; Brewers</v>
      </c>
      <c r="D362" t="str">
        <f>_xlfn.XLOOKUP(F362,Products!$A$2:$A$51,Products!$B$2:$B$51,0)</f>
        <v>High-Capacity French Press</v>
      </c>
      <c r="E362" t="str">
        <f>_xlfn.XLOOKUP(B362,customers!$A$2:$A$195,customers!$B$2:$B$195,,0)</f>
        <v>North</v>
      </c>
      <c r="F362">
        <v>1034</v>
      </c>
      <c r="G362" s="9">
        <f>_xlfn.XLOOKUP(B362,customers!$A$1:$A$195,customers!$C$1:$C$195)</f>
        <v>45164</v>
      </c>
      <c r="H362" s="13" t="s">
        <v>659</v>
      </c>
      <c r="I362">
        <v>1</v>
      </c>
      <c r="J362">
        <v>338.36</v>
      </c>
      <c r="K362">
        <v>148.17</v>
      </c>
      <c r="L362">
        <f>_xlfn.XLOOKUP(F362,Products!$A$2:$A$51,Products!$D$2:$D$51,0)</f>
        <v>338.36</v>
      </c>
      <c r="M362">
        <f t="shared" si="5"/>
        <v>190.19</v>
      </c>
    </row>
    <row r="363" spans="1:13">
      <c r="A363" t="s">
        <v>662</v>
      </c>
      <c r="B363" t="s">
        <v>51</v>
      </c>
      <c r="C363" t="str">
        <f>_xlfn.XLOOKUP(F363,Products!$A$2:$A$51,Products!$C$2:$C$51,0)</f>
        <v>Consumables</v>
      </c>
      <c r="D363" t="str">
        <f>_xlfn.XLOOKUP(F363,Products!$A$2:$A$51,Products!$B$2:$B$51,0)</f>
        <v>Decaf Blend (1kg)</v>
      </c>
      <c r="E363" t="str">
        <f>_xlfn.XLOOKUP(B363,customers!$A$2:$A$195,customers!$B$2:$B$195,,0)</f>
        <v>South</v>
      </c>
      <c r="F363">
        <v>1028</v>
      </c>
      <c r="G363" s="9">
        <f>_xlfn.XLOOKUP(B363,customers!$A$1:$A$195,customers!$C$1:$C$195)</f>
        <v>45096</v>
      </c>
      <c r="H363" s="13" t="s">
        <v>663</v>
      </c>
      <c r="I363">
        <v>3</v>
      </c>
      <c r="J363">
        <v>121.05</v>
      </c>
      <c r="K363">
        <v>38.58</v>
      </c>
      <c r="L363">
        <f>_xlfn.XLOOKUP(F363,Products!$A$2:$A$51,Products!$D$2:$D$51,0)</f>
        <v>40.35</v>
      </c>
      <c r="M363">
        <f t="shared" si="5"/>
        <v>82.47</v>
      </c>
    </row>
    <row r="364" spans="1:13">
      <c r="A364" t="s">
        <v>664</v>
      </c>
      <c r="B364" t="s">
        <v>54</v>
      </c>
      <c r="C364" t="str">
        <f>_xlfn.XLOOKUP(F364,Products!$A$2:$A$51,Products!$C$2:$C$51,0)</f>
        <v>Subscriptions</v>
      </c>
      <c r="D364" t="str">
        <f>_xlfn.XLOOKUP(F364,Products!$A$2:$A$51,Products!$B$2:$B$51,0)</f>
        <v>Subscription Renewal Service</v>
      </c>
      <c r="E364" t="str">
        <f>_xlfn.XLOOKUP(B364,customers!$A$2:$A$195,customers!$B$2:$B$195,,0)</f>
        <v>West</v>
      </c>
      <c r="F364">
        <v>1050</v>
      </c>
      <c r="G364" s="9">
        <f>_xlfn.XLOOKUP(B364,customers!$A$1:$A$195,customers!$C$1:$C$195)</f>
        <v>45201</v>
      </c>
      <c r="H364" s="13" t="s">
        <v>663</v>
      </c>
      <c r="I364">
        <v>1</v>
      </c>
      <c r="J364">
        <v>73.41</v>
      </c>
      <c r="K364">
        <v>27.29</v>
      </c>
      <c r="L364">
        <f>_xlfn.XLOOKUP(F364,Products!$A$2:$A$51,Products!$D$2:$D$51,0)</f>
        <v>73.41</v>
      </c>
      <c r="M364">
        <f t="shared" si="5"/>
        <v>46.12</v>
      </c>
    </row>
    <row r="365" spans="1:13">
      <c r="A365" t="s">
        <v>665</v>
      </c>
      <c r="B365" t="s">
        <v>72</v>
      </c>
      <c r="C365" t="str">
        <f>_xlfn.XLOOKUP(F365,Products!$A$2:$A$51,Products!$C$2:$C$51,0)</f>
        <v>Subscriptions</v>
      </c>
      <c r="D365" t="str">
        <f>_xlfn.XLOOKUP(F365,Products!$A$2:$A$51,Products!$B$2:$B$51,0)</f>
        <v>Bi-Weekly Sampler Box</v>
      </c>
      <c r="E365" t="str">
        <f>_xlfn.XLOOKUP(B365,customers!$A$2:$A$195,customers!$B$2:$B$195,,0)</f>
        <v>South</v>
      </c>
      <c r="F365">
        <v>1022</v>
      </c>
      <c r="G365" s="9">
        <f>_xlfn.XLOOKUP(B365,customers!$A$1:$A$195,customers!$C$1:$C$195)</f>
        <v>45136</v>
      </c>
      <c r="H365" s="13" t="s">
        <v>663</v>
      </c>
      <c r="I365">
        <v>2</v>
      </c>
      <c r="J365">
        <v>177.54</v>
      </c>
      <c r="K365">
        <v>47.72</v>
      </c>
      <c r="L365">
        <f>_xlfn.XLOOKUP(F365,Products!$A$2:$A$51,Products!$D$2:$D$51,0)</f>
        <v>88.77</v>
      </c>
      <c r="M365">
        <f t="shared" si="5"/>
        <v>129.82</v>
      </c>
    </row>
    <row r="366" spans="1:13">
      <c r="A366" t="s">
        <v>666</v>
      </c>
      <c r="B366" t="s">
        <v>116</v>
      </c>
      <c r="C366" t="str">
        <f>_xlfn.XLOOKUP(F366,Products!$A$2:$A$51,Products!$C$2:$C$51,0)</f>
        <v>Merchandise</v>
      </c>
      <c r="D366" t="str">
        <f>_xlfn.XLOOKUP(F366,Products!$A$2:$A$51,Products!$B$2:$B$51,0)</f>
        <v>Daily Grind T-Shirt</v>
      </c>
      <c r="E366" t="str">
        <f>_xlfn.XLOOKUP(B366,customers!$A$2:$A$195,customers!$B$2:$B$195,,0)</f>
        <v>West</v>
      </c>
      <c r="F366">
        <v>1044</v>
      </c>
      <c r="G366" s="9">
        <f>_xlfn.XLOOKUP(B366,customers!$A$1:$A$195,customers!$C$1:$C$195)</f>
        <v>45037</v>
      </c>
      <c r="H366" s="13" t="s">
        <v>663</v>
      </c>
      <c r="I366">
        <v>1</v>
      </c>
      <c r="J366">
        <v>21.37</v>
      </c>
      <c r="K366">
        <v>8.26</v>
      </c>
      <c r="L366">
        <f>_xlfn.XLOOKUP(F366,Products!$A$2:$A$51,Products!$D$2:$D$51,0)</f>
        <v>21.37</v>
      </c>
      <c r="M366">
        <f t="shared" si="5"/>
        <v>13.11</v>
      </c>
    </row>
    <row r="367" spans="1:13">
      <c r="A367" t="s">
        <v>667</v>
      </c>
      <c r="B367" t="s">
        <v>123</v>
      </c>
      <c r="C367" t="str">
        <f>_xlfn.XLOOKUP(F367,Products!$A$2:$A$51,Products!$C$2:$C$51,0)</f>
        <v>Merchandise</v>
      </c>
      <c r="D367" t="str">
        <f>_xlfn.XLOOKUP(F367,Products!$A$2:$A$51,Products!$B$2:$B$51,0)</f>
        <v>Daily Grind T-Shirt</v>
      </c>
      <c r="E367" t="str">
        <f>_xlfn.XLOOKUP(B367,customers!$A$2:$A$195,customers!$B$2:$B$195,,0)</f>
        <v>East</v>
      </c>
      <c r="F367">
        <v>1019</v>
      </c>
      <c r="G367" s="9">
        <f>_xlfn.XLOOKUP(B367,customers!$A$1:$A$195,customers!$C$1:$C$195)</f>
        <v>45264</v>
      </c>
      <c r="H367" s="13" t="s">
        <v>663</v>
      </c>
      <c r="I367">
        <v>4</v>
      </c>
      <c r="J367">
        <v>85.48</v>
      </c>
      <c r="K367">
        <v>33.04</v>
      </c>
      <c r="L367">
        <f>_xlfn.XLOOKUP(F367,Products!$A$2:$A$51,Products!$D$2:$D$51,0)</f>
        <v>21.37</v>
      </c>
      <c r="M367">
        <f t="shared" si="5"/>
        <v>52.44</v>
      </c>
    </row>
    <row r="368" spans="1:13">
      <c r="A368" t="s">
        <v>668</v>
      </c>
      <c r="B368" t="s">
        <v>192</v>
      </c>
      <c r="C368" t="str">
        <f>_xlfn.XLOOKUP(F368,Products!$A$2:$A$51,Products!$C$2:$C$51,0)</f>
        <v>Grinders &amp; Brewers</v>
      </c>
      <c r="D368" t="str">
        <f>_xlfn.XLOOKUP(F368,Products!$A$2:$A$51,Products!$B$2:$B$51,0)</f>
        <v>High-Capacity French Press</v>
      </c>
      <c r="E368" t="str">
        <f>_xlfn.XLOOKUP(B368,customers!$A$2:$A$195,customers!$B$2:$B$195,,0)</f>
        <v>North</v>
      </c>
      <c r="F368">
        <v>1009</v>
      </c>
      <c r="G368" s="9">
        <f>_xlfn.XLOOKUP(B368,customers!$A$1:$A$195,customers!$C$1:$C$195)</f>
        <v>45234</v>
      </c>
      <c r="H368" s="13" t="s">
        <v>663</v>
      </c>
      <c r="I368">
        <v>2</v>
      </c>
      <c r="J368">
        <v>676.72</v>
      </c>
      <c r="K368">
        <v>296.34</v>
      </c>
      <c r="L368">
        <f>_xlfn.XLOOKUP(F368,Products!$A$2:$A$51,Products!$D$2:$D$51,0)</f>
        <v>338.36</v>
      </c>
      <c r="M368">
        <f t="shared" si="5"/>
        <v>380.38</v>
      </c>
    </row>
    <row r="369" spans="1:13">
      <c r="A369" t="s">
        <v>669</v>
      </c>
      <c r="B369" t="s">
        <v>16</v>
      </c>
      <c r="C369" t="str">
        <f>_xlfn.XLOOKUP(F369,Products!$A$2:$A$51,Products!$C$2:$C$51,0)</f>
        <v>Consumables</v>
      </c>
      <c r="D369" t="str">
        <f>_xlfn.XLOOKUP(F369,Products!$A$2:$A$51,Products!$B$2:$B$51,0)</f>
        <v>Decaf Blend (1kg)</v>
      </c>
      <c r="E369" t="str">
        <f>_xlfn.XLOOKUP(B369,customers!$A$2:$A$195,customers!$B$2:$B$195,,0)</f>
        <v>East</v>
      </c>
      <c r="F369">
        <v>1003</v>
      </c>
      <c r="G369" s="9">
        <f>_xlfn.XLOOKUP(B369,customers!$A$1:$A$195,customers!$C$1:$C$195)</f>
        <v>45182</v>
      </c>
      <c r="H369" s="13" t="s">
        <v>670</v>
      </c>
      <c r="I369">
        <v>3</v>
      </c>
      <c r="J369">
        <v>121.05</v>
      </c>
      <c r="K369">
        <v>38.58</v>
      </c>
      <c r="L369">
        <f>_xlfn.XLOOKUP(F369,Products!$A$2:$A$51,Products!$D$2:$D$51,0)</f>
        <v>40.35</v>
      </c>
      <c r="M369">
        <f t="shared" si="5"/>
        <v>82.47</v>
      </c>
    </row>
    <row r="370" spans="1:13">
      <c r="A370" t="s">
        <v>671</v>
      </c>
      <c r="B370" t="s">
        <v>65</v>
      </c>
      <c r="C370" t="str">
        <f>_xlfn.XLOOKUP(F370,Products!$A$2:$A$51,Products!$C$2:$C$51,0)</f>
        <v>Subscriptions</v>
      </c>
      <c r="D370" t="str">
        <f>_xlfn.XLOOKUP(F370,Products!$A$2:$A$51,Products!$B$2:$B$51,0)</f>
        <v>Bi-Weekly Sampler Box</v>
      </c>
      <c r="E370" t="str">
        <f>_xlfn.XLOOKUP(B370,customers!$A$2:$A$195,customers!$B$2:$B$195,,0)</f>
        <v>West</v>
      </c>
      <c r="F370">
        <v>1047</v>
      </c>
      <c r="G370" s="9">
        <f>_xlfn.XLOOKUP(B370,customers!$A$1:$A$195,customers!$C$1:$C$195)</f>
        <v>44939</v>
      </c>
      <c r="H370" s="13" t="s">
        <v>670</v>
      </c>
      <c r="I370">
        <v>2</v>
      </c>
      <c r="J370">
        <v>177.54</v>
      </c>
      <c r="K370">
        <v>47.72</v>
      </c>
      <c r="L370">
        <f>_xlfn.XLOOKUP(F370,Products!$A$2:$A$51,Products!$D$2:$D$51,0)</f>
        <v>88.77</v>
      </c>
      <c r="M370">
        <f t="shared" si="5"/>
        <v>129.82</v>
      </c>
    </row>
    <row r="371" spans="1:13">
      <c r="A371" t="s">
        <v>672</v>
      </c>
      <c r="B371" t="s">
        <v>87</v>
      </c>
      <c r="C371" t="str">
        <f>_xlfn.XLOOKUP(F371,Products!$A$2:$A$51,Products!$C$2:$C$51,0)</f>
        <v>Merchandise</v>
      </c>
      <c r="D371" t="str">
        <f>_xlfn.XLOOKUP(F371,Products!$A$2:$A$51,Products!$B$2:$B$51,0)</f>
        <v>Logo Hoodie (Black)</v>
      </c>
      <c r="E371" t="str">
        <f>_xlfn.XLOOKUP(B371,customers!$A$2:$A$195,customers!$B$2:$B$195,,0)</f>
        <v>South</v>
      </c>
      <c r="F371">
        <v>1017</v>
      </c>
      <c r="G371" s="9">
        <f>_xlfn.XLOOKUP(B371,customers!$A$1:$A$195,customers!$C$1:$C$195)</f>
        <v>45019</v>
      </c>
      <c r="H371" s="13" t="s">
        <v>670</v>
      </c>
      <c r="I371">
        <v>2</v>
      </c>
      <c r="J371">
        <v>30.46</v>
      </c>
      <c r="K371">
        <v>26.8</v>
      </c>
      <c r="L371">
        <f>_xlfn.XLOOKUP(F371,Products!$A$2:$A$51,Products!$D$2:$D$51,0)</f>
        <v>15.23</v>
      </c>
      <c r="M371">
        <f t="shared" si="5"/>
        <v>3.66</v>
      </c>
    </row>
    <row r="372" spans="1:13">
      <c r="A372" t="s">
        <v>673</v>
      </c>
      <c r="B372" t="s">
        <v>114</v>
      </c>
      <c r="C372" t="str">
        <f>_xlfn.XLOOKUP(F372,Products!$A$2:$A$51,Products!$C$2:$C$51,0)</f>
        <v>Subscriptions</v>
      </c>
      <c r="D372" t="str">
        <f>_xlfn.XLOOKUP(F372,Products!$A$2:$A$51,Products!$B$2:$B$51,0)</f>
        <v>Subscription Renewal Service</v>
      </c>
      <c r="E372" t="str">
        <f>_xlfn.XLOOKUP(B372,customers!$A$2:$A$195,customers!$B$2:$B$195,,0)</f>
        <v>South</v>
      </c>
      <c r="F372">
        <v>1025</v>
      </c>
      <c r="G372" s="9">
        <f>_xlfn.XLOOKUP(B372,customers!$A$1:$A$195,customers!$C$1:$C$195)</f>
        <v>45211</v>
      </c>
      <c r="H372" s="13" t="s">
        <v>670</v>
      </c>
      <c r="I372">
        <v>3</v>
      </c>
      <c r="J372">
        <v>220.23</v>
      </c>
      <c r="K372">
        <v>81.87</v>
      </c>
      <c r="L372">
        <f>_xlfn.XLOOKUP(F372,Products!$A$2:$A$51,Products!$D$2:$D$51,0)</f>
        <v>73.41</v>
      </c>
      <c r="M372">
        <f t="shared" si="5"/>
        <v>138.36</v>
      </c>
    </row>
    <row r="373" spans="1:13">
      <c r="A373" t="s">
        <v>674</v>
      </c>
      <c r="B373" t="s">
        <v>167</v>
      </c>
      <c r="C373" t="str">
        <f>_xlfn.XLOOKUP(F373,Products!$A$2:$A$51,Products!$C$2:$C$51,0)</f>
        <v>Subscriptions</v>
      </c>
      <c r="D373" t="str">
        <f>_xlfn.XLOOKUP(F373,Products!$A$2:$A$51,Products!$B$2:$B$51,0)</f>
        <v>Espresso Lovers Quarterly Pack</v>
      </c>
      <c r="E373" t="str">
        <f>_xlfn.XLOOKUP(B373,customers!$A$2:$A$195,customers!$B$2:$B$195,,0)</f>
        <v>North</v>
      </c>
      <c r="F373">
        <v>1049</v>
      </c>
      <c r="G373" s="9">
        <f>_xlfn.XLOOKUP(B373,customers!$A$1:$A$195,customers!$C$1:$C$195)</f>
        <v>45168</v>
      </c>
      <c r="H373" s="13" t="s">
        <v>670</v>
      </c>
      <c r="I373">
        <v>1</v>
      </c>
      <c r="J373">
        <v>74.87</v>
      </c>
      <c r="K373">
        <v>19.2</v>
      </c>
      <c r="L373">
        <f>_xlfn.XLOOKUP(F373,Products!$A$2:$A$51,Products!$D$2:$D$51,0)</f>
        <v>74.87</v>
      </c>
      <c r="M373">
        <f t="shared" si="5"/>
        <v>55.67</v>
      </c>
    </row>
    <row r="374" spans="1:13">
      <c r="A374" t="s">
        <v>675</v>
      </c>
      <c r="B374" t="s">
        <v>177</v>
      </c>
      <c r="C374" t="str">
        <f>_xlfn.XLOOKUP(F374,Products!$A$2:$A$51,Products!$C$2:$C$51,0)</f>
        <v>Merchandise</v>
      </c>
      <c r="D374" t="str">
        <f>_xlfn.XLOOKUP(F374,Products!$A$2:$A$51,Products!$B$2:$B$51,0)</f>
        <v>Insulated Travel Tumbler</v>
      </c>
      <c r="E374" t="str">
        <f>_xlfn.XLOOKUP(B374,customers!$A$2:$A$195,customers!$B$2:$B$195,,0)</f>
        <v>East</v>
      </c>
      <c r="F374">
        <v>1043</v>
      </c>
      <c r="G374" s="9">
        <f>_xlfn.XLOOKUP(B374,customers!$A$1:$A$195,customers!$C$1:$C$195)</f>
        <v>44986</v>
      </c>
      <c r="H374" s="13" t="s">
        <v>670</v>
      </c>
      <c r="I374">
        <v>4</v>
      </c>
      <c r="J374">
        <v>173.12</v>
      </c>
      <c r="K374">
        <v>83.29</v>
      </c>
      <c r="L374">
        <f>_xlfn.XLOOKUP(F374,Products!$A$2:$A$51,Products!$D$2:$D$51,0)</f>
        <v>43.28</v>
      </c>
      <c r="M374">
        <f t="shared" si="5"/>
        <v>89.83</v>
      </c>
    </row>
    <row r="375" spans="1:13">
      <c r="A375" t="s">
        <v>676</v>
      </c>
      <c r="B375" t="s">
        <v>20</v>
      </c>
      <c r="C375" t="str">
        <f>_xlfn.XLOOKUP(F375,Products!$A$2:$A$51,Products!$C$2:$C$51,0)</f>
        <v>Subscriptions</v>
      </c>
      <c r="D375" t="str">
        <f>_xlfn.XLOOKUP(F375,Products!$A$2:$A$51,Products!$B$2:$B$51,0)</f>
        <v>Monthly Dark Roast Subscription</v>
      </c>
      <c r="E375" t="str">
        <f>_xlfn.XLOOKUP(B375,customers!$A$2:$A$195,customers!$B$2:$B$195,,0)</f>
        <v>West</v>
      </c>
      <c r="F375">
        <v>1046</v>
      </c>
      <c r="G375" s="9">
        <f>_xlfn.XLOOKUP(B375,customers!$A$1:$A$195,customers!$C$1:$C$195)</f>
        <v>44982</v>
      </c>
      <c r="H375" s="13" t="s">
        <v>677</v>
      </c>
      <c r="I375">
        <v>4</v>
      </c>
      <c r="J375">
        <v>245.04</v>
      </c>
      <c r="K375">
        <v>140.58</v>
      </c>
      <c r="L375">
        <f>_xlfn.XLOOKUP(F375,Products!$A$2:$A$51,Products!$D$2:$D$51,0)</f>
        <v>61.26</v>
      </c>
      <c r="M375">
        <f t="shared" si="5"/>
        <v>104.46</v>
      </c>
    </row>
    <row r="376" spans="1:13">
      <c r="A376" t="s">
        <v>678</v>
      </c>
      <c r="B376" t="s">
        <v>28</v>
      </c>
      <c r="C376" t="str">
        <f>_xlfn.XLOOKUP(F376,Products!$A$2:$A$51,Products!$C$2:$C$51,0)</f>
        <v>Merchandise</v>
      </c>
      <c r="D376" t="str">
        <f>_xlfn.XLOOKUP(F376,Products!$A$2:$A$51,Products!$B$2:$B$51,0)</f>
        <v>Daily Grind T-Shirt</v>
      </c>
      <c r="E376" t="str">
        <f>_xlfn.XLOOKUP(B376,customers!$A$2:$A$195,customers!$B$2:$B$195,,0)</f>
        <v>East</v>
      </c>
      <c r="F376">
        <v>1019</v>
      </c>
      <c r="G376" s="9">
        <f>_xlfn.XLOOKUP(B376,customers!$A$1:$A$195,customers!$C$1:$C$195)</f>
        <v>45273</v>
      </c>
      <c r="H376" s="13" t="s">
        <v>677</v>
      </c>
      <c r="I376">
        <v>3</v>
      </c>
      <c r="J376">
        <v>64.11</v>
      </c>
      <c r="K376">
        <v>24.78</v>
      </c>
      <c r="L376">
        <f>_xlfn.XLOOKUP(F376,Products!$A$2:$A$51,Products!$D$2:$D$51,0)</f>
        <v>21.37</v>
      </c>
      <c r="M376">
        <f t="shared" si="5"/>
        <v>39.33</v>
      </c>
    </row>
    <row r="377" spans="1:13">
      <c r="A377" t="s">
        <v>679</v>
      </c>
      <c r="B377" t="s">
        <v>28</v>
      </c>
      <c r="C377" t="str">
        <f>_xlfn.XLOOKUP(F377,Products!$A$2:$A$51,Products!$C$2:$C$51,0)</f>
        <v>Subscriptions</v>
      </c>
      <c r="D377" t="str">
        <f>_xlfn.XLOOKUP(F377,Products!$A$2:$A$51,Products!$B$2:$B$51,0)</f>
        <v>Monthly Dark Roast Subscription</v>
      </c>
      <c r="E377" t="str">
        <f>_xlfn.XLOOKUP(B377,customers!$A$2:$A$195,customers!$B$2:$B$195,,0)</f>
        <v>East</v>
      </c>
      <c r="F377">
        <v>1046</v>
      </c>
      <c r="G377" s="9">
        <f>_xlfn.XLOOKUP(B377,customers!$A$1:$A$195,customers!$C$1:$C$195)</f>
        <v>45273</v>
      </c>
      <c r="H377" s="13" t="s">
        <v>677</v>
      </c>
      <c r="I377">
        <v>1</v>
      </c>
      <c r="J377">
        <v>61.26</v>
      </c>
      <c r="K377">
        <v>35.15</v>
      </c>
      <c r="L377">
        <f>_xlfn.XLOOKUP(F377,Products!$A$2:$A$51,Products!$D$2:$D$51,0)</f>
        <v>61.26</v>
      </c>
      <c r="M377">
        <f t="shared" si="5"/>
        <v>26.11</v>
      </c>
    </row>
    <row r="378" spans="1:13">
      <c r="A378" t="s">
        <v>680</v>
      </c>
      <c r="B378" t="s">
        <v>43</v>
      </c>
      <c r="C378" t="str">
        <f>_xlfn.XLOOKUP(F378,Products!$A$2:$A$51,Products!$C$2:$C$51,0)</f>
        <v>Subscriptions</v>
      </c>
      <c r="D378" t="str">
        <f>_xlfn.XLOOKUP(F378,Products!$A$2:$A$51,Products!$B$2:$B$51,0)</f>
        <v>Bi-Weekly Sampler Box</v>
      </c>
      <c r="E378" t="str">
        <f>_xlfn.XLOOKUP(B378,customers!$A$2:$A$195,customers!$B$2:$B$195,,0)</f>
        <v>West</v>
      </c>
      <c r="F378">
        <v>1022</v>
      </c>
      <c r="G378" s="9">
        <f>_xlfn.XLOOKUP(B378,customers!$A$1:$A$195,customers!$C$1:$C$195)</f>
        <v>45197</v>
      </c>
      <c r="H378" s="13" t="s">
        <v>677</v>
      </c>
      <c r="I378">
        <v>2</v>
      </c>
      <c r="J378">
        <v>177.54</v>
      </c>
      <c r="K378">
        <v>47.72</v>
      </c>
      <c r="L378">
        <f>_xlfn.XLOOKUP(F378,Products!$A$2:$A$51,Products!$D$2:$D$51,0)</f>
        <v>88.77</v>
      </c>
      <c r="M378">
        <f t="shared" si="5"/>
        <v>129.82</v>
      </c>
    </row>
    <row r="379" spans="1:13">
      <c r="A379" t="s">
        <v>681</v>
      </c>
      <c r="B379" t="s">
        <v>70</v>
      </c>
      <c r="C379" t="str">
        <f>_xlfn.XLOOKUP(F379,Products!$A$2:$A$51,Products!$C$2:$C$51,0)</f>
        <v>Accessories</v>
      </c>
      <c r="D379" t="str">
        <f>_xlfn.XLOOKUP(F379,Products!$A$2:$A$51,Products!$B$2:$B$51,0)</f>
        <v>Gooseneck Electric Kettle</v>
      </c>
      <c r="E379" t="str">
        <f>_xlfn.XLOOKUP(B379,customers!$A$2:$A$195,customers!$B$2:$B$195,,0)</f>
        <v>West</v>
      </c>
      <c r="F379">
        <v>1037</v>
      </c>
      <c r="G379" s="9">
        <f>_xlfn.XLOOKUP(B379,customers!$A$1:$A$195,customers!$C$1:$C$195)</f>
        <v>45269</v>
      </c>
      <c r="H379" s="13" t="s">
        <v>677</v>
      </c>
      <c r="I379">
        <v>4</v>
      </c>
      <c r="J379">
        <v>139.48</v>
      </c>
      <c r="K379">
        <v>103.88</v>
      </c>
      <c r="L379">
        <f>_xlfn.XLOOKUP(F379,Products!$A$2:$A$51,Products!$D$2:$D$51,0)</f>
        <v>34.87</v>
      </c>
      <c r="M379">
        <f t="shared" si="5"/>
        <v>35.6</v>
      </c>
    </row>
    <row r="380" spans="1:13">
      <c r="A380" t="s">
        <v>682</v>
      </c>
      <c r="B380" t="s">
        <v>80</v>
      </c>
      <c r="C380" t="str">
        <f>_xlfn.XLOOKUP(F380,Products!$A$2:$A$51,Products!$C$2:$C$51,0)</f>
        <v>Consumables</v>
      </c>
      <c r="D380" t="str">
        <f>_xlfn.XLOOKUP(F380,Products!$A$2:$A$51,Products!$B$2:$B$51,0)</f>
        <v>Espresso Bean Sampler Pack</v>
      </c>
      <c r="E380" t="str">
        <f>_xlfn.XLOOKUP(B380,customers!$A$2:$A$195,customers!$B$2:$B$195,,0)</f>
        <v>West</v>
      </c>
      <c r="F380">
        <v>1005</v>
      </c>
      <c r="G380" s="9">
        <f>_xlfn.XLOOKUP(B380,customers!$A$1:$A$195,customers!$C$1:$C$195)</f>
        <v>45200</v>
      </c>
      <c r="H380" s="13" t="s">
        <v>677</v>
      </c>
      <c r="I380">
        <v>1</v>
      </c>
      <c r="J380">
        <v>19.06</v>
      </c>
      <c r="K380">
        <v>11.97</v>
      </c>
      <c r="L380">
        <f>_xlfn.XLOOKUP(F380,Products!$A$2:$A$51,Products!$D$2:$D$51,0)</f>
        <v>19.06</v>
      </c>
      <c r="M380">
        <f t="shared" si="5"/>
        <v>7.09</v>
      </c>
    </row>
    <row r="381" spans="1:13">
      <c r="A381" t="s">
        <v>683</v>
      </c>
      <c r="B381" t="s">
        <v>118</v>
      </c>
      <c r="C381" t="str">
        <f>_xlfn.XLOOKUP(F381,Products!$A$2:$A$51,Products!$C$2:$C$51,0)</f>
        <v>Subscriptions</v>
      </c>
      <c r="D381" t="str">
        <f>_xlfn.XLOOKUP(F381,Products!$A$2:$A$51,Products!$B$2:$B$51,0)</f>
        <v>Subscription Renewal Service</v>
      </c>
      <c r="E381" t="str">
        <f>_xlfn.XLOOKUP(B381,customers!$A$2:$A$195,customers!$B$2:$B$195,,0)</f>
        <v>West</v>
      </c>
      <c r="F381">
        <v>1050</v>
      </c>
      <c r="G381" s="9">
        <f>_xlfn.XLOOKUP(B381,customers!$A$1:$A$195,customers!$C$1:$C$195)</f>
        <v>45218</v>
      </c>
      <c r="H381" s="13" t="s">
        <v>677</v>
      </c>
      <c r="I381">
        <v>4</v>
      </c>
      <c r="J381">
        <v>293.64</v>
      </c>
      <c r="K381">
        <v>109.16</v>
      </c>
      <c r="L381">
        <f>_xlfn.XLOOKUP(F381,Products!$A$2:$A$51,Products!$D$2:$D$51,0)</f>
        <v>73.41</v>
      </c>
      <c r="M381">
        <f t="shared" si="5"/>
        <v>184.48</v>
      </c>
    </row>
    <row r="382" spans="1:13">
      <c r="A382" t="s">
        <v>684</v>
      </c>
      <c r="B382" t="s">
        <v>21</v>
      </c>
      <c r="C382" t="str">
        <f>_xlfn.XLOOKUP(F382,Products!$A$2:$A$51,Products!$C$2:$C$51,0)</f>
        <v>Accessories</v>
      </c>
      <c r="D382" t="str">
        <f>_xlfn.XLOOKUP(F382,Products!$A$2:$A$51,Products!$B$2:$B$51,0)</f>
        <v>Chemex Filters (100 pack)</v>
      </c>
      <c r="E382" t="str">
        <f>_xlfn.XLOOKUP(B382,customers!$A$2:$A$195,customers!$B$2:$B$195,,0)</f>
        <v>East</v>
      </c>
      <c r="F382">
        <v>1014</v>
      </c>
      <c r="G382" s="9">
        <f>_xlfn.XLOOKUP(B382,customers!$A$1:$A$195,customers!$C$1:$C$195)</f>
        <v>45046</v>
      </c>
      <c r="H382" s="13" t="s">
        <v>685</v>
      </c>
      <c r="I382">
        <v>3</v>
      </c>
      <c r="J382">
        <v>72.3</v>
      </c>
      <c r="K382">
        <v>63.62</v>
      </c>
      <c r="L382">
        <f>_xlfn.XLOOKUP(F382,Products!$A$2:$A$51,Products!$D$2:$D$51,0)</f>
        <v>24.1</v>
      </c>
      <c r="M382">
        <f t="shared" si="5"/>
        <v>8.68</v>
      </c>
    </row>
    <row r="383" spans="1:13">
      <c r="A383" t="s">
        <v>686</v>
      </c>
      <c r="B383" t="s">
        <v>24</v>
      </c>
      <c r="C383" t="str">
        <f>_xlfn.XLOOKUP(F383,Products!$A$2:$A$51,Products!$C$2:$C$51,0)</f>
        <v>Merchandise</v>
      </c>
      <c r="D383" t="str">
        <f>_xlfn.XLOOKUP(F383,Products!$A$2:$A$51,Products!$B$2:$B$51,0)</f>
        <v>Logo Hoodie (Black)</v>
      </c>
      <c r="E383" t="str">
        <f>_xlfn.XLOOKUP(B383,customers!$A$2:$A$195,customers!$B$2:$B$195,,0)</f>
        <v>East</v>
      </c>
      <c r="F383">
        <v>1042</v>
      </c>
      <c r="G383" s="9">
        <f>_xlfn.XLOOKUP(B383,customers!$A$1:$A$195,customers!$C$1:$C$195)</f>
        <v>45169</v>
      </c>
      <c r="H383" s="13" t="s">
        <v>685</v>
      </c>
      <c r="I383">
        <v>4</v>
      </c>
      <c r="J383">
        <v>60.92</v>
      </c>
      <c r="K383">
        <v>53.59</v>
      </c>
      <c r="L383">
        <f>_xlfn.XLOOKUP(F383,Products!$A$2:$A$51,Products!$D$2:$D$51,0)</f>
        <v>15.23</v>
      </c>
      <c r="M383">
        <f t="shared" si="5"/>
        <v>7.33</v>
      </c>
    </row>
    <row r="384" spans="1:13">
      <c r="A384" t="s">
        <v>687</v>
      </c>
      <c r="B384" t="s">
        <v>44</v>
      </c>
      <c r="C384" t="str">
        <f>_xlfn.XLOOKUP(F384,Products!$A$2:$A$51,Products!$C$2:$C$51,0)</f>
        <v>Subscriptions</v>
      </c>
      <c r="D384" t="str">
        <f>_xlfn.XLOOKUP(F384,Products!$A$2:$A$51,Products!$B$2:$B$51,0)</f>
        <v>Subscription Renewal Service</v>
      </c>
      <c r="E384" t="str">
        <f>_xlfn.XLOOKUP(B384,customers!$A$2:$A$195,customers!$B$2:$B$195,,0)</f>
        <v>East</v>
      </c>
      <c r="F384">
        <v>1025</v>
      </c>
      <c r="G384" s="9">
        <f>_xlfn.XLOOKUP(B384,customers!$A$1:$A$195,customers!$C$1:$C$195)</f>
        <v>45171</v>
      </c>
      <c r="H384" s="13" t="s">
        <v>685</v>
      </c>
      <c r="I384">
        <v>3</v>
      </c>
      <c r="J384">
        <v>220.23</v>
      </c>
      <c r="K384">
        <v>81.87</v>
      </c>
      <c r="L384">
        <f>_xlfn.XLOOKUP(F384,Products!$A$2:$A$51,Products!$D$2:$D$51,0)</f>
        <v>73.41</v>
      </c>
      <c r="M384">
        <f t="shared" si="5"/>
        <v>138.36</v>
      </c>
    </row>
    <row r="385" spans="1:13">
      <c r="A385" t="s">
        <v>688</v>
      </c>
      <c r="B385" t="s">
        <v>56</v>
      </c>
      <c r="C385" t="str">
        <f>_xlfn.XLOOKUP(F385,Products!$A$2:$A$51,Products!$C$2:$C$51,0)</f>
        <v>Consumables</v>
      </c>
      <c r="D385" t="str">
        <f>_xlfn.XLOOKUP(F385,Products!$A$2:$A$51,Products!$B$2:$B$51,0)</f>
        <v>Espresso Bean Sampler Pack</v>
      </c>
      <c r="E385" t="str">
        <f>_xlfn.XLOOKUP(B385,customers!$A$2:$A$195,customers!$B$2:$B$195,,0)</f>
        <v>East</v>
      </c>
      <c r="F385">
        <v>1030</v>
      </c>
      <c r="G385" s="9">
        <f>_xlfn.XLOOKUP(B385,customers!$A$1:$A$195,customers!$C$1:$C$195)</f>
        <v>45074</v>
      </c>
      <c r="H385" s="13" t="s">
        <v>685</v>
      </c>
      <c r="I385">
        <v>3</v>
      </c>
      <c r="J385">
        <v>57.18</v>
      </c>
      <c r="K385">
        <v>35.9</v>
      </c>
      <c r="L385">
        <f>_xlfn.XLOOKUP(F385,Products!$A$2:$A$51,Products!$D$2:$D$51,0)</f>
        <v>19.06</v>
      </c>
      <c r="M385">
        <f t="shared" si="5"/>
        <v>21.28</v>
      </c>
    </row>
    <row r="386" spans="1:13">
      <c r="A386" t="s">
        <v>689</v>
      </c>
      <c r="B386" t="s">
        <v>60</v>
      </c>
      <c r="C386" t="str">
        <f>_xlfn.XLOOKUP(F386,Products!$A$2:$A$51,Products!$C$2:$C$51,0)</f>
        <v>Accessories</v>
      </c>
      <c r="D386" t="str">
        <f>_xlfn.XLOOKUP(F386,Products!$A$2:$A$51,Products!$B$2:$B$51,0)</f>
        <v>Refillable Coffee Pods</v>
      </c>
      <c r="E386" t="str">
        <f>_xlfn.XLOOKUP(B386,customers!$A$2:$A$195,customers!$B$2:$B$195,,0)</f>
        <v>West</v>
      </c>
      <c r="F386">
        <v>1040</v>
      </c>
      <c r="G386" s="9">
        <f>_xlfn.XLOOKUP(B386,customers!$A$1:$A$195,customers!$C$1:$C$195)</f>
        <v>44943</v>
      </c>
      <c r="H386" s="13" t="s">
        <v>685</v>
      </c>
      <c r="I386">
        <v>1</v>
      </c>
      <c r="J386">
        <v>24.13</v>
      </c>
      <c r="K386">
        <v>9.3</v>
      </c>
      <c r="L386">
        <f>_xlfn.XLOOKUP(F386,Products!$A$2:$A$51,Products!$D$2:$D$51,0)</f>
        <v>24.13</v>
      </c>
      <c r="M386">
        <f t="shared" si="5"/>
        <v>14.83</v>
      </c>
    </row>
    <row r="387" spans="1:13">
      <c r="A387" t="s">
        <v>690</v>
      </c>
      <c r="B387" t="s">
        <v>76</v>
      </c>
      <c r="C387" t="str">
        <f>_xlfn.XLOOKUP(F387,Products!$A$2:$A$51,Products!$C$2:$C$51,0)</f>
        <v>Merchandise</v>
      </c>
      <c r="D387" t="str">
        <f>_xlfn.XLOOKUP(F387,Products!$A$2:$A$51,Products!$B$2:$B$51,0)</f>
        <v>Insulated Travel Tumbler</v>
      </c>
      <c r="E387" t="str">
        <f>_xlfn.XLOOKUP(B387,customers!$A$2:$A$195,customers!$B$2:$B$195,,0)</f>
        <v>East</v>
      </c>
      <c r="F387">
        <v>1018</v>
      </c>
      <c r="G387" s="9">
        <f>_xlfn.XLOOKUP(B387,customers!$A$1:$A$195,customers!$C$1:$C$195)</f>
        <v>45072</v>
      </c>
      <c r="H387" s="13" t="s">
        <v>685</v>
      </c>
      <c r="I387">
        <v>2</v>
      </c>
      <c r="J387">
        <v>86.56</v>
      </c>
      <c r="K387">
        <v>41.65</v>
      </c>
      <c r="L387">
        <f>_xlfn.XLOOKUP(F387,Products!$A$2:$A$51,Products!$D$2:$D$51,0)</f>
        <v>43.28</v>
      </c>
      <c r="M387">
        <f t="shared" ref="M387:M450" si="6">J387-K387</f>
        <v>44.91</v>
      </c>
    </row>
    <row r="388" spans="1:13">
      <c r="A388" t="s">
        <v>691</v>
      </c>
      <c r="B388" t="s">
        <v>171</v>
      </c>
      <c r="C388" t="str">
        <f>_xlfn.XLOOKUP(F388,Products!$A$2:$A$51,Products!$C$2:$C$51,0)</f>
        <v>Consumables</v>
      </c>
      <c r="D388" t="str">
        <f>_xlfn.XLOOKUP(F388,Products!$A$2:$A$51,Products!$B$2:$B$51,0)</f>
        <v>Single-Origin Ethiopian (250g)</v>
      </c>
      <c r="E388" t="str">
        <f>_xlfn.XLOOKUP(B388,customers!$A$2:$A$195,customers!$B$2:$B$195,,0)</f>
        <v>West</v>
      </c>
      <c r="F388">
        <v>1026</v>
      </c>
      <c r="G388" s="9">
        <f>_xlfn.XLOOKUP(B388,customers!$A$1:$A$195,customers!$C$1:$C$195)</f>
        <v>45246</v>
      </c>
      <c r="H388" s="13" t="s">
        <v>685</v>
      </c>
      <c r="I388">
        <v>4</v>
      </c>
      <c r="J388">
        <v>77.96</v>
      </c>
      <c r="K388">
        <v>50.82</v>
      </c>
      <c r="L388">
        <f>_xlfn.XLOOKUP(F388,Products!$A$2:$A$51,Products!$D$2:$D$51,0)</f>
        <v>19.49</v>
      </c>
      <c r="M388">
        <f t="shared" si="6"/>
        <v>27.14</v>
      </c>
    </row>
    <row r="389" spans="1:13">
      <c r="A389" t="s">
        <v>692</v>
      </c>
      <c r="B389" t="s">
        <v>176</v>
      </c>
      <c r="C389" t="str">
        <f>_xlfn.XLOOKUP(F389,Products!$A$2:$A$51,Products!$C$2:$C$51,0)</f>
        <v>Accessories</v>
      </c>
      <c r="D389" t="str">
        <f>_xlfn.XLOOKUP(F389,Products!$A$2:$A$51,Products!$B$2:$B$51,0)</f>
        <v>Digital Coffee Scale</v>
      </c>
      <c r="E389" t="str">
        <f>_xlfn.XLOOKUP(B389,customers!$A$2:$A$195,customers!$B$2:$B$195,,0)</f>
        <v>West</v>
      </c>
      <c r="F389">
        <v>1011</v>
      </c>
      <c r="G389" s="9">
        <f>_xlfn.XLOOKUP(B389,customers!$A$1:$A$195,customers!$C$1:$C$195)</f>
        <v>45206</v>
      </c>
      <c r="H389" s="13" t="s">
        <v>685</v>
      </c>
      <c r="I389">
        <v>2</v>
      </c>
      <c r="J389">
        <v>53.66</v>
      </c>
      <c r="K389">
        <v>29.3</v>
      </c>
      <c r="L389">
        <f>_xlfn.XLOOKUP(F389,Products!$A$2:$A$51,Products!$D$2:$D$51,0)</f>
        <v>26.83</v>
      </c>
      <c r="M389">
        <f t="shared" si="6"/>
        <v>24.36</v>
      </c>
    </row>
    <row r="390" spans="1:13">
      <c r="A390" t="s">
        <v>693</v>
      </c>
      <c r="B390" t="s">
        <v>3</v>
      </c>
      <c r="C390" t="str">
        <f>_xlfn.XLOOKUP(F390,Products!$A$2:$A$51,Products!$C$2:$C$51,0)</f>
        <v>Subscriptions</v>
      </c>
      <c r="D390" t="str">
        <f>_xlfn.XLOOKUP(F390,Products!$A$2:$A$51,Products!$B$2:$B$51,0)</f>
        <v>Bi-Weekly Sampler Box</v>
      </c>
      <c r="E390" t="str">
        <f>_xlfn.XLOOKUP(B390,customers!$A$2:$A$195,customers!$B$2:$B$195,,0)</f>
        <v>East</v>
      </c>
      <c r="F390">
        <v>1022</v>
      </c>
      <c r="G390" s="9">
        <f>_xlfn.XLOOKUP(B390,customers!$A$1:$A$195,customers!$C$1:$C$195)</f>
        <v>45141</v>
      </c>
      <c r="H390" s="13" t="s">
        <v>694</v>
      </c>
      <c r="I390">
        <v>2</v>
      </c>
      <c r="J390">
        <v>177.54</v>
      </c>
      <c r="K390">
        <v>47.72</v>
      </c>
      <c r="L390">
        <f>_xlfn.XLOOKUP(F390,Products!$A$2:$A$51,Products!$D$2:$D$51,0)</f>
        <v>88.77</v>
      </c>
      <c r="M390">
        <f t="shared" si="6"/>
        <v>129.82</v>
      </c>
    </row>
    <row r="391" spans="1:13">
      <c r="A391" t="s">
        <v>695</v>
      </c>
      <c r="B391" t="s">
        <v>12</v>
      </c>
      <c r="C391" t="str">
        <f>_xlfn.XLOOKUP(F391,Products!$A$2:$A$51,Products!$C$2:$C$51,0)</f>
        <v>Grinders &amp; Brewers</v>
      </c>
      <c r="D391" t="str">
        <f>_xlfn.XLOOKUP(F391,Products!$A$2:$A$51,Products!$B$2:$B$51,0)</f>
        <v>Precision Electric Grinder</v>
      </c>
      <c r="E391" t="str">
        <f>_xlfn.XLOOKUP(B391,customers!$A$2:$A$195,customers!$B$2:$B$195,,0)</f>
        <v>West</v>
      </c>
      <c r="F391">
        <v>1006</v>
      </c>
      <c r="G391" s="9">
        <f>_xlfn.XLOOKUP(B391,customers!$A$1:$A$195,customers!$C$1:$C$195)</f>
        <v>45106</v>
      </c>
      <c r="H391" s="13" t="s">
        <v>694</v>
      </c>
      <c r="I391">
        <v>2</v>
      </c>
      <c r="J391">
        <v>464.4</v>
      </c>
      <c r="K391">
        <v>156.77</v>
      </c>
      <c r="L391">
        <f>_xlfn.XLOOKUP(F391,Products!$A$2:$A$51,Products!$D$2:$D$51,0)</f>
        <v>232.2</v>
      </c>
      <c r="M391">
        <f t="shared" si="6"/>
        <v>307.63</v>
      </c>
    </row>
    <row r="392" spans="1:13">
      <c r="A392" t="s">
        <v>696</v>
      </c>
      <c r="B392" t="s">
        <v>10</v>
      </c>
      <c r="C392" t="str">
        <f>_xlfn.XLOOKUP(F392,Products!$A$2:$A$51,Products!$C$2:$C$51,0)</f>
        <v>Merchandise</v>
      </c>
      <c r="D392" t="str">
        <f>_xlfn.XLOOKUP(F392,Products!$A$2:$A$51,Products!$B$2:$B$51,0)</f>
        <v>Branded Ceramic Mug (Large)</v>
      </c>
      <c r="E392" t="str">
        <f>_xlfn.XLOOKUP(B392,customers!$A$2:$A$195,customers!$B$2:$B$195,,0)</f>
        <v>West</v>
      </c>
      <c r="F392">
        <v>1016</v>
      </c>
      <c r="G392" s="9">
        <f>_xlfn.XLOOKUP(B392,customers!$A$1:$A$195,customers!$C$1:$C$195)</f>
        <v>45195</v>
      </c>
      <c r="H392" s="13" t="s">
        <v>697</v>
      </c>
      <c r="I392">
        <v>1</v>
      </c>
      <c r="J392">
        <v>43.2</v>
      </c>
      <c r="K392">
        <v>31.11</v>
      </c>
      <c r="L392">
        <f>_xlfn.XLOOKUP(F392,Products!$A$2:$A$51,Products!$D$2:$D$51,0)</f>
        <v>43.2</v>
      </c>
      <c r="M392">
        <f t="shared" si="6"/>
        <v>12.09</v>
      </c>
    </row>
    <row r="393" spans="1:13">
      <c r="A393" t="s">
        <v>698</v>
      </c>
      <c r="B393" t="s">
        <v>49</v>
      </c>
      <c r="C393" t="str">
        <f>_xlfn.XLOOKUP(F393,Products!$A$2:$A$51,Products!$C$2:$C$51,0)</f>
        <v>Consumables</v>
      </c>
      <c r="D393" t="str">
        <f>_xlfn.XLOOKUP(F393,Products!$A$2:$A$51,Products!$B$2:$B$51,0)</f>
        <v>Cold Brew Concentrate</v>
      </c>
      <c r="E393" t="str">
        <f>_xlfn.XLOOKUP(B393,customers!$A$2:$A$195,customers!$B$2:$B$195,,0)</f>
        <v>West</v>
      </c>
      <c r="F393">
        <v>1029</v>
      </c>
      <c r="G393" s="9">
        <f>_xlfn.XLOOKUP(B393,customers!$A$1:$A$195,customers!$C$1:$C$195)</f>
        <v>45152</v>
      </c>
      <c r="H393" s="13" t="s">
        <v>697</v>
      </c>
      <c r="I393">
        <v>3</v>
      </c>
      <c r="J393">
        <v>70.47</v>
      </c>
      <c r="K393">
        <v>30.26</v>
      </c>
      <c r="L393">
        <f>_xlfn.XLOOKUP(F393,Products!$A$2:$A$51,Products!$D$2:$D$51,0)</f>
        <v>23.49</v>
      </c>
      <c r="M393">
        <f t="shared" si="6"/>
        <v>40.21</v>
      </c>
    </row>
    <row r="394" spans="1:13">
      <c r="A394" t="s">
        <v>699</v>
      </c>
      <c r="B394" t="s">
        <v>99</v>
      </c>
      <c r="C394" t="str">
        <f>_xlfn.XLOOKUP(F394,Products!$A$2:$A$51,Products!$C$2:$C$51,0)</f>
        <v>Accessories</v>
      </c>
      <c r="D394" t="str">
        <f>_xlfn.XLOOKUP(F394,Products!$A$2:$A$51,Products!$B$2:$B$51,0)</f>
        <v>Chemex Filters (100 pack)</v>
      </c>
      <c r="E394" t="str">
        <f>_xlfn.XLOOKUP(B394,customers!$A$2:$A$195,customers!$B$2:$B$195,,0)</f>
        <v>West</v>
      </c>
      <c r="F394">
        <v>1014</v>
      </c>
      <c r="G394" s="9">
        <f>_xlfn.XLOOKUP(B394,customers!$A$1:$A$195,customers!$C$1:$C$195)</f>
        <v>45052</v>
      </c>
      <c r="H394" s="13" t="s">
        <v>697</v>
      </c>
      <c r="I394">
        <v>4</v>
      </c>
      <c r="J394">
        <v>96.4</v>
      </c>
      <c r="K394">
        <v>84.83</v>
      </c>
      <c r="L394">
        <f>_xlfn.XLOOKUP(F394,Products!$A$2:$A$51,Products!$D$2:$D$51,0)</f>
        <v>24.1</v>
      </c>
      <c r="M394">
        <f t="shared" si="6"/>
        <v>11.57</v>
      </c>
    </row>
    <row r="395" spans="1:13">
      <c r="A395" t="s">
        <v>700</v>
      </c>
      <c r="B395" t="s">
        <v>122</v>
      </c>
      <c r="C395" t="str">
        <f>_xlfn.XLOOKUP(F395,Products!$A$2:$A$51,Products!$C$2:$C$51,0)</f>
        <v>Consumables</v>
      </c>
      <c r="D395" t="str">
        <f>_xlfn.XLOOKUP(F395,Products!$A$2:$A$51,Products!$B$2:$B$51,0)</f>
        <v>Single-Origin Ethiopian (250g)</v>
      </c>
      <c r="E395" t="str">
        <f>_xlfn.XLOOKUP(B395,customers!$A$2:$A$195,customers!$B$2:$B$195,,0)</f>
        <v>North</v>
      </c>
      <c r="F395">
        <v>1026</v>
      </c>
      <c r="G395" s="9">
        <f>_xlfn.XLOOKUP(B395,customers!$A$1:$A$195,customers!$C$1:$C$195)</f>
        <v>45015</v>
      </c>
      <c r="H395" s="13" t="s">
        <v>697</v>
      </c>
      <c r="I395">
        <v>4</v>
      </c>
      <c r="J395">
        <v>77.96</v>
      </c>
      <c r="K395">
        <v>50.82</v>
      </c>
      <c r="L395">
        <f>_xlfn.XLOOKUP(F395,Products!$A$2:$A$51,Products!$D$2:$D$51,0)</f>
        <v>19.49</v>
      </c>
      <c r="M395">
        <f t="shared" si="6"/>
        <v>27.14</v>
      </c>
    </row>
    <row r="396" spans="1:13">
      <c r="A396" t="s">
        <v>701</v>
      </c>
      <c r="B396" t="s">
        <v>195</v>
      </c>
      <c r="C396" t="str">
        <f>_xlfn.XLOOKUP(F396,Products!$A$2:$A$51,Products!$C$2:$C$51,0)</f>
        <v>Subscriptions</v>
      </c>
      <c r="D396" t="str">
        <f>_xlfn.XLOOKUP(F396,Products!$A$2:$A$51,Products!$B$2:$B$51,0)</f>
        <v>Bi-Weekly Sampler Box</v>
      </c>
      <c r="E396" t="str">
        <f>_xlfn.XLOOKUP(B396,customers!$A$2:$A$195,customers!$B$2:$B$195,,0)</f>
        <v>West</v>
      </c>
      <c r="F396">
        <v>1022</v>
      </c>
      <c r="G396" s="9">
        <f>_xlfn.XLOOKUP(B396,customers!$A$1:$A$195,customers!$C$1:$C$195)</f>
        <v>44997</v>
      </c>
      <c r="H396" s="13" t="s">
        <v>697</v>
      </c>
      <c r="I396">
        <v>4</v>
      </c>
      <c r="J396">
        <v>355.08</v>
      </c>
      <c r="K396">
        <v>95.44</v>
      </c>
      <c r="L396">
        <f>_xlfn.XLOOKUP(F396,Products!$A$2:$A$51,Products!$D$2:$D$51,0)</f>
        <v>88.77</v>
      </c>
      <c r="M396">
        <f t="shared" si="6"/>
        <v>259.64</v>
      </c>
    </row>
    <row r="397" spans="1:13">
      <c r="A397" t="s">
        <v>702</v>
      </c>
      <c r="B397" t="s">
        <v>197</v>
      </c>
      <c r="C397" t="str">
        <f>_xlfn.XLOOKUP(F397,Products!$A$2:$A$51,Products!$C$2:$C$51,0)</f>
        <v>Merchandise</v>
      </c>
      <c r="D397" t="str">
        <f>_xlfn.XLOOKUP(F397,Products!$A$2:$A$51,Products!$B$2:$B$51,0)</f>
        <v>Minimalist Keychain</v>
      </c>
      <c r="E397" t="str">
        <f>_xlfn.XLOOKUP(B397,customers!$A$2:$A$195,customers!$B$2:$B$195,,0)</f>
        <v>East</v>
      </c>
      <c r="F397">
        <v>1045</v>
      </c>
      <c r="G397" s="9">
        <f>_xlfn.XLOOKUP(B397,customers!$A$1:$A$195,customers!$C$1:$C$195)</f>
        <v>45251</v>
      </c>
      <c r="H397" s="13" t="s">
        <v>697</v>
      </c>
      <c r="I397">
        <v>3</v>
      </c>
      <c r="J397">
        <v>82.11</v>
      </c>
      <c r="K397">
        <v>72.27</v>
      </c>
      <c r="L397">
        <f>_xlfn.XLOOKUP(F397,Products!$A$2:$A$51,Products!$D$2:$D$51,0)</f>
        <v>27.37</v>
      </c>
      <c r="M397">
        <f t="shared" si="6"/>
        <v>9.84</v>
      </c>
    </row>
    <row r="398" spans="1:13">
      <c r="A398" t="s">
        <v>703</v>
      </c>
      <c r="B398" t="s">
        <v>7</v>
      </c>
      <c r="C398" t="str">
        <f>_xlfn.XLOOKUP(F398,Products!$A$2:$A$51,Products!$C$2:$C$51,0)</f>
        <v>Merchandise</v>
      </c>
      <c r="D398" t="str">
        <f>_xlfn.XLOOKUP(F398,Products!$A$2:$A$51,Products!$B$2:$B$51,0)</f>
        <v>Logo Hoodie (Black)</v>
      </c>
      <c r="E398" t="str">
        <f>_xlfn.XLOOKUP(B398,customers!$A$2:$A$195,customers!$B$2:$B$195,,0)</f>
        <v>West</v>
      </c>
      <c r="F398">
        <v>1017</v>
      </c>
      <c r="G398" s="9">
        <f>_xlfn.XLOOKUP(B398,customers!$A$1:$A$195,customers!$C$1:$C$195)</f>
        <v>45177</v>
      </c>
      <c r="H398" s="13" t="s">
        <v>704</v>
      </c>
      <c r="I398">
        <v>4</v>
      </c>
      <c r="J398">
        <v>60.92</v>
      </c>
      <c r="K398">
        <v>53.59</v>
      </c>
      <c r="L398">
        <f>_xlfn.XLOOKUP(F398,Products!$A$2:$A$51,Products!$D$2:$D$51,0)</f>
        <v>15.23</v>
      </c>
      <c r="M398">
        <f t="shared" si="6"/>
        <v>7.33</v>
      </c>
    </row>
    <row r="399" spans="1:13">
      <c r="A399" t="s">
        <v>705</v>
      </c>
      <c r="B399" t="s">
        <v>22</v>
      </c>
      <c r="C399" t="str">
        <f>_xlfn.XLOOKUP(F399,Products!$A$2:$A$51,Products!$C$2:$C$51,0)</f>
        <v>Grinders &amp; Brewers</v>
      </c>
      <c r="D399" t="str">
        <f>_xlfn.XLOOKUP(F399,Products!$A$2:$A$51,Products!$B$2:$B$51,0)</f>
        <v>Pour-Over Starter Kit</v>
      </c>
      <c r="E399" t="str">
        <f>_xlfn.XLOOKUP(B399,customers!$A$2:$A$195,customers!$B$2:$B$195,,0)</f>
        <v>West</v>
      </c>
      <c r="F399">
        <v>1035</v>
      </c>
      <c r="G399" s="9">
        <f>_xlfn.XLOOKUP(B399,customers!$A$1:$A$195,customers!$C$1:$C$195)</f>
        <v>45010</v>
      </c>
      <c r="H399" s="13" t="s">
        <v>704</v>
      </c>
      <c r="I399">
        <v>2</v>
      </c>
      <c r="J399">
        <v>210.46</v>
      </c>
      <c r="K399">
        <v>149.49</v>
      </c>
      <c r="L399">
        <f>_xlfn.XLOOKUP(F399,Products!$A$2:$A$51,Products!$D$2:$D$51,0)</f>
        <v>105.23</v>
      </c>
      <c r="M399">
        <f t="shared" si="6"/>
        <v>60.97</v>
      </c>
    </row>
    <row r="400" spans="1:13">
      <c r="A400" t="s">
        <v>706</v>
      </c>
      <c r="B400" t="s">
        <v>25</v>
      </c>
      <c r="C400" t="str">
        <f>_xlfn.XLOOKUP(F400,Products!$A$2:$A$51,Products!$C$2:$C$51,0)</f>
        <v>Consumables</v>
      </c>
      <c r="D400" t="str">
        <f>_xlfn.XLOOKUP(F400,Products!$A$2:$A$51,Products!$B$2:$B$51,0)</f>
        <v>Cold Brew Concentrate</v>
      </c>
      <c r="E400" t="str">
        <f>_xlfn.XLOOKUP(B400,customers!$A$2:$A$195,customers!$B$2:$B$195,,0)</f>
        <v>North</v>
      </c>
      <c r="F400">
        <v>1029</v>
      </c>
      <c r="G400" s="9">
        <f>_xlfn.XLOOKUP(B400,customers!$A$1:$A$195,customers!$C$1:$C$195)</f>
        <v>45187</v>
      </c>
      <c r="H400" s="13" t="s">
        <v>704</v>
      </c>
      <c r="I400">
        <v>1</v>
      </c>
      <c r="J400">
        <v>23.49</v>
      </c>
      <c r="K400">
        <v>10.09</v>
      </c>
      <c r="L400">
        <f>_xlfn.XLOOKUP(F400,Products!$A$2:$A$51,Products!$D$2:$D$51,0)</f>
        <v>23.49</v>
      </c>
      <c r="M400">
        <f t="shared" si="6"/>
        <v>13.4</v>
      </c>
    </row>
    <row r="401" spans="1:13">
      <c r="A401" t="s">
        <v>707</v>
      </c>
      <c r="B401" t="s">
        <v>127</v>
      </c>
      <c r="C401" t="str">
        <f>_xlfn.XLOOKUP(F401,Products!$A$2:$A$51,Products!$C$2:$C$51,0)</f>
        <v>Merchandise</v>
      </c>
      <c r="D401" t="str">
        <f>_xlfn.XLOOKUP(F401,Products!$A$2:$A$51,Products!$B$2:$B$51,0)</f>
        <v>Branded Ceramic Mug (Large)</v>
      </c>
      <c r="E401" t="str">
        <f>_xlfn.XLOOKUP(B401,customers!$A$2:$A$195,customers!$B$2:$B$195,,0)</f>
        <v>North</v>
      </c>
      <c r="F401">
        <v>1016</v>
      </c>
      <c r="G401" s="9">
        <f>_xlfn.XLOOKUP(B401,customers!$A$1:$A$195,customers!$C$1:$C$195)</f>
        <v>45070</v>
      </c>
      <c r="H401" s="13" t="s">
        <v>704</v>
      </c>
      <c r="I401">
        <v>2</v>
      </c>
      <c r="J401">
        <v>86.4</v>
      </c>
      <c r="K401">
        <v>62.22</v>
      </c>
      <c r="L401">
        <f>_xlfn.XLOOKUP(F401,Products!$A$2:$A$51,Products!$D$2:$D$51,0)</f>
        <v>43.2</v>
      </c>
      <c r="M401">
        <f t="shared" si="6"/>
        <v>24.18</v>
      </c>
    </row>
    <row r="402" spans="1:13">
      <c r="A402" t="s">
        <v>708</v>
      </c>
      <c r="B402" t="s">
        <v>167</v>
      </c>
      <c r="C402" t="str">
        <f>_xlfn.XLOOKUP(F402,Products!$A$2:$A$51,Products!$C$2:$C$51,0)</f>
        <v>Accessories</v>
      </c>
      <c r="D402" t="str">
        <f>_xlfn.XLOOKUP(F402,Products!$A$2:$A$51,Products!$B$2:$B$51,0)</f>
        <v>Gooseneck Electric Kettle</v>
      </c>
      <c r="E402" t="str">
        <f>_xlfn.XLOOKUP(B402,customers!$A$2:$A$195,customers!$B$2:$B$195,,0)</f>
        <v>North</v>
      </c>
      <c r="F402">
        <v>1012</v>
      </c>
      <c r="G402" s="9">
        <f>_xlfn.XLOOKUP(B402,customers!$A$1:$A$195,customers!$C$1:$C$195)</f>
        <v>45168</v>
      </c>
      <c r="H402" s="13" t="s">
        <v>704</v>
      </c>
      <c r="I402">
        <v>3</v>
      </c>
      <c r="J402">
        <v>104.61</v>
      </c>
      <c r="K402">
        <v>77.91</v>
      </c>
      <c r="L402">
        <f>_xlfn.XLOOKUP(F402,Products!$A$2:$A$51,Products!$D$2:$D$51,0)</f>
        <v>34.87</v>
      </c>
      <c r="M402">
        <f t="shared" si="6"/>
        <v>26.7</v>
      </c>
    </row>
    <row r="403" spans="1:13">
      <c r="A403" t="s">
        <v>709</v>
      </c>
      <c r="B403" t="s">
        <v>14</v>
      </c>
      <c r="C403" t="str">
        <f>_xlfn.XLOOKUP(F403,Products!$A$2:$A$51,Products!$C$2:$C$51,0)</f>
        <v>Merchandise</v>
      </c>
      <c r="D403" t="str">
        <f>_xlfn.XLOOKUP(F403,Products!$A$2:$A$51,Products!$B$2:$B$51,0)</f>
        <v>Daily Grind T-Shirt</v>
      </c>
      <c r="E403" t="str">
        <f>_xlfn.XLOOKUP(B403,customers!$A$2:$A$195,customers!$B$2:$B$195,,0)</f>
        <v>West</v>
      </c>
      <c r="F403">
        <v>1019</v>
      </c>
      <c r="G403" s="9">
        <f>_xlfn.XLOOKUP(B403,customers!$A$1:$A$195,customers!$C$1:$C$195)</f>
        <v>45134</v>
      </c>
      <c r="H403" s="13" t="s">
        <v>710</v>
      </c>
      <c r="I403">
        <v>2</v>
      </c>
      <c r="J403">
        <v>42.74</v>
      </c>
      <c r="K403">
        <v>16.52</v>
      </c>
      <c r="L403">
        <f>_xlfn.XLOOKUP(F403,Products!$A$2:$A$51,Products!$D$2:$D$51,0)</f>
        <v>21.37</v>
      </c>
      <c r="M403">
        <f t="shared" si="6"/>
        <v>26.22</v>
      </c>
    </row>
    <row r="404" spans="1:13">
      <c r="A404" t="s">
        <v>711</v>
      </c>
      <c r="B404" t="s">
        <v>18</v>
      </c>
      <c r="C404" t="str">
        <f>_xlfn.XLOOKUP(F404,Products!$A$2:$A$51,Products!$C$2:$C$51,0)</f>
        <v>Accessories</v>
      </c>
      <c r="D404" t="str">
        <f>_xlfn.XLOOKUP(F404,Products!$A$2:$A$51,Products!$B$2:$B$51,0)</f>
        <v>Refillable Coffee Pods</v>
      </c>
      <c r="E404" t="str">
        <f>_xlfn.XLOOKUP(B404,customers!$A$2:$A$195,customers!$B$2:$B$195,,0)</f>
        <v>East</v>
      </c>
      <c r="F404">
        <v>1015</v>
      </c>
      <c r="G404" s="9">
        <f>_xlfn.XLOOKUP(B404,customers!$A$1:$A$195,customers!$C$1:$C$195)</f>
        <v>45159</v>
      </c>
      <c r="H404" s="13" t="s">
        <v>710</v>
      </c>
      <c r="I404">
        <v>4</v>
      </c>
      <c r="J404">
        <v>96.52</v>
      </c>
      <c r="K404">
        <v>37.18</v>
      </c>
      <c r="L404">
        <f>_xlfn.XLOOKUP(F404,Products!$A$2:$A$51,Products!$D$2:$D$51,0)</f>
        <v>24.13</v>
      </c>
      <c r="M404">
        <f t="shared" si="6"/>
        <v>59.34</v>
      </c>
    </row>
    <row r="405" spans="1:13">
      <c r="A405" t="s">
        <v>712</v>
      </c>
      <c r="B405" t="s">
        <v>99</v>
      </c>
      <c r="C405" t="str">
        <f>_xlfn.XLOOKUP(F405,Products!$A$2:$A$51,Products!$C$2:$C$51,0)</f>
        <v>Grinders &amp; Brewers</v>
      </c>
      <c r="D405" t="str">
        <f>_xlfn.XLOOKUP(F405,Products!$A$2:$A$51,Products!$B$2:$B$51,0)</f>
        <v>High-Capacity French Press</v>
      </c>
      <c r="E405" t="str">
        <f>_xlfn.XLOOKUP(B405,customers!$A$2:$A$195,customers!$B$2:$B$195,,0)</f>
        <v>West</v>
      </c>
      <c r="F405">
        <v>1009</v>
      </c>
      <c r="G405" s="9">
        <f>_xlfn.XLOOKUP(B405,customers!$A$1:$A$195,customers!$C$1:$C$195)</f>
        <v>45052</v>
      </c>
      <c r="H405" s="13" t="s">
        <v>710</v>
      </c>
      <c r="I405">
        <v>4</v>
      </c>
      <c r="J405">
        <v>1353.44</v>
      </c>
      <c r="K405">
        <v>592.68</v>
      </c>
      <c r="L405">
        <f>_xlfn.XLOOKUP(F405,Products!$A$2:$A$51,Products!$D$2:$D$51,0)</f>
        <v>338.36</v>
      </c>
      <c r="M405">
        <f t="shared" si="6"/>
        <v>760.76</v>
      </c>
    </row>
    <row r="406" spans="1:13">
      <c r="A406" t="s">
        <v>713</v>
      </c>
      <c r="B406" t="s">
        <v>155</v>
      </c>
      <c r="C406" t="str">
        <f>_xlfn.XLOOKUP(F406,Products!$A$2:$A$51,Products!$C$2:$C$51,0)</f>
        <v>Grinders &amp; Brewers</v>
      </c>
      <c r="D406" t="str">
        <f>_xlfn.XLOOKUP(F406,Products!$A$2:$A$51,Products!$B$2:$B$51,0)</f>
        <v>Precision Electric Grinder</v>
      </c>
      <c r="E406" t="str">
        <f>_xlfn.XLOOKUP(B406,customers!$A$2:$A$195,customers!$B$2:$B$195,,0)</f>
        <v>East</v>
      </c>
      <c r="F406">
        <v>1006</v>
      </c>
      <c r="G406" s="9">
        <f>_xlfn.XLOOKUP(B406,customers!$A$1:$A$195,customers!$C$1:$C$195)</f>
        <v>45204</v>
      </c>
      <c r="H406" s="13" t="s">
        <v>710</v>
      </c>
      <c r="I406">
        <v>1</v>
      </c>
      <c r="J406">
        <v>232.2</v>
      </c>
      <c r="K406">
        <v>78.39</v>
      </c>
      <c r="L406">
        <f>_xlfn.XLOOKUP(F406,Products!$A$2:$A$51,Products!$D$2:$D$51,0)</f>
        <v>232.2</v>
      </c>
      <c r="M406">
        <f t="shared" si="6"/>
        <v>153.81</v>
      </c>
    </row>
    <row r="407" spans="1:13">
      <c r="A407" t="s">
        <v>714</v>
      </c>
      <c r="B407" t="s">
        <v>176</v>
      </c>
      <c r="C407" t="str">
        <f>_xlfn.XLOOKUP(F407,Products!$A$2:$A$51,Products!$C$2:$C$51,0)</f>
        <v>Subscriptions</v>
      </c>
      <c r="D407" t="str">
        <f>_xlfn.XLOOKUP(F407,Products!$A$2:$A$51,Products!$B$2:$B$51,0)</f>
        <v>Three-Month Gift Subscription</v>
      </c>
      <c r="E407" t="str">
        <f>_xlfn.XLOOKUP(B407,customers!$A$2:$A$195,customers!$B$2:$B$195,,0)</f>
        <v>West</v>
      </c>
      <c r="F407">
        <v>1023</v>
      </c>
      <c r="G407" s="9">
        <f>_xlfn.XLOOKUP(B407,customers!$A$1:$A$195,customers!$C$1:$C$195)</f>
        <v>45206</v>
      </c>
      <c r="H407" s="13" t="s">
        <v>710</v>
      </c>
      <c r="I407">
        <v>3</v>
      </c>
      <c r="J407">
        <v>195.63</v>
      </c>
      <c r="K407">
        <v>82.83</v>
      </c>
      <c r="L407">
        <f>_xlfn.XLOOKUP(F407,Products!$A$2:$A$51,Products!$D$2:$D$51,0)</f>
        <v>65.21</v>
      </c>
      <c r="M407">
        <f t="shared" si="6"/>
        <v>112.8</v>
      </c>
    </row>
    <row r="408" spans="1:13">
      <c r="A408" t="s">
        <v>715</v>
      </c>
      <c r="B408" t="s">
        <v>14</v>
      </c>
      <c r="C408" t="str">
        <f>_xlfn.XLOOKUP(F408,Products!$A$2:$A$51,Products!$C$2:$C$51,0)</f>
        <v>Accessories</v>
      </c>
      <c r="D408" t="str">
        <f>_xlfn.XLOOKUP(F408,Products!$A$2:$A$51,Products!$B$2:$B$51,0)</f>
        <v>Refillable Coffee Pods</v>
      </c>
      <c r="E408" t="str">
        <f>_xlfn.XLOOKUP(B408,customers!$A$2:$A$195,customers!$B$2:$B$195,,0)</f>
        <v>West</v>
      </c>
      <c r="F408">
        <v>1015</v>
      </c>
      <c r="G408" s="9">
        <f>_xlfn.XLOOKUP(B408,customers!$A$1:$A$195,customers!$C$1:$C$195)</f>
        <v>45134</v>
      </c>
      <c r="H408" s="13">
        <v>45662</v>
      </c>
      <c r="I408">
        <v>3</v>
      </c>
      <c r="J408">
        <v>72.39</v>
      </c>
      <c r="K408">
        <v>27.88</v>
      </c>
      <c r="L408">
        <f>_xlfn.XLOOKUP(F408,Products!$A$2:$A$51,Products!$D$2:$D$51,0)</f>
        <v>24.13</v>
      </c>
      <c r="M408">
        <f t="shared" si="6"/>
        <v>44.51</v>
      </c>
    </row>
    <row r="409" spans="1:13">
      <c r="A409" t="s">
        <v>716</v>
      </c>
      <c r="B409" t="s">
        <v>128</v>
      </c>
      <c r="C409" t="str">
        <f>_xlfn.XLOOKUP(F409,Products!$A$2:$A$51,Products!$C$2:$C$51,0)</f>
        <v>Consumables</v>
      </c>
      <c r="D409" t="str">
        <f>_xlfn.XLOOKUP(F409,Products!$A$2:$A$51,Products!$B$2:$B$51,0)</f>
        <v>Single-Origin Ethiopian (250g)</v>
      </c>
      <c r="E409" t="str">
        <f>_xlfn.XLOOKUP(B409,customers!$A$2:$A$195,customers!$B$2:$B$195,,0)</f>
        <v>West</v>
      </c>
      <c r="F409">
        <v>1026</v>
      </c>
      <c r="G409" s="9">
        <f>_xlfn.XLOOKUP(B409,customers!$A$1:$A$195,customers!$C$1:$C$195)</f>
        <v>45161</v>
      </c>
      <c r="H409" s="13">
        <v>45662</v>
      </c>
      <c r="I409">
        <v>4</v>
      </c>
      <c r="J409">
        <v>77.96</v>
      </c>
      <c r="K409">
        <v>50.82</v>
      </c>
      <c r="L409">
        <f>_xlfn.XLOOKUP(F409,Products!$A$2:$A$51,Products!$D$2:$D$51,0)</f>
        <v>19.49</v>
      </c>
      <c r="M409">
        <f t="shared" si="6"/>
        <v>27.14</v>
      </c>
    </row>
    <row r="410" spans="1:13">
      <c r="A410" t="s">
        <v>717</v>
      </c>
      <c r="B410" t="s">
        <v>166</v>
      </c>
      <c r="C410" t="str">
        <f>_xlfn.XLOOKUP(F410,Products!$A$2:$A$51,Products!$C$2:$C$51,0)</f>
        <v>Accessories</v>
      </c>
      <c r="D410" t="str">
        <f>_xlfn.XLOOKUP(F410,Products!$A$2:$A$51,Products!$B$2:$B$51,0)</f>
        <v>Refillable Coffee Pods</v>
      </c>
      <c r="E410" t="str">
        <f>_xlfn.XLOOKUP(B410,customers!$A$2:$A$195,customers!$B$2:$B$195,,0)</f>
        <v>North</v>
      </c>
      <c r="F410">
        <v>1015</v>
      </c>
      <c r="G410" s="9">
        <f>_xlfn.XLOOKUP(B410,customers!$A$1:$A$195,customers!$C$1:$C$195)</f>
        <v>45164</v>
      </c>
      <c r="H410" s="13">
        <v>45662</v>
      </c>
      <c r="I410">
        <v>3</v>
      </c>
      <c r="J410">
        <v>72.39</v>
      </c>
      <c r="K410">
        <v>27.88</v>
      </c>
      <c r="L410">
        <f>_xlfn.XLOOKUP(F410,Products!$A$2:$A$51,Products!$D$2:$D$51,0)</f>
        <v>24.13</v>
      </c>
      <c r="M410">
        <f t="shared" si="6"/>
        <v>44.51</v>
      </c>
    </row>
    <row r="411" spans="1:13">
      <c r="A411" t="s">
        <v>718</v>
      </c>
      <c r="B411" t="s">
        <v>194</v>
      </c>
      <c r="C411" t="str">
        <f>_xlfn.XLOOKUP(F411,Products!$A$2:$A$51,Products!$C$2:$C$51,0)</f>
        <v>Merchandise</v>
      </c>
      <c r="D411" t="str">
        <f>_xlfn.XLOOKUP(F411,Products!$A$2:$A$51,Products!$B$2:$B$51,0)</f>
        <v>Minimalist Keychain</v>
      </c>
      <c r="E411" t="str">
        <f>_xlfn.XLOOKUP(B411,customers!$A$2:$A$195,customers!$B$2:$B$195,,0)</f>
        <v>North</v>
      </c>
      <c r="F411">
        <v>1020</v>
      </c>
      <c r="G411" s="9">
        <f>_xlfn.XLOOKUP(B411,customers!$A$1:$A$195,customers!$C$1:$C$195)</f>
        <v>45096</v>
      </c>
      <c r="H411" s="13">
        <v>45662</v>
      </c>
      <c r="I411">
        <v>3</v>
      </c>
      <c r="J411">
        <v>82.11</v>
      </c>
      <c r="K411">
        <v>72.27</v>
      </c>
      <c r="L411">
        <f>_xlfn.XLOOKUP(F411,Products!$A$2:$A$51,Products!$D$2:$D$51,0)</f>
        <v>27.37</v>
      </c>
      <c r="M411">
        <f t="shared" si="6"/>
        <v>9.84</v>
      </c>
    </row>
    <row r="412" spans="1:13">
      <c r="A412" t="s">
        <v>719</v>
      </c>
      <c r="B412" t="s">
        <v>17</v>
      </c>
      <c r="C412" t="str">
        <f>_xlfn.XLOOKUP(F412,Products!$A$2:$A$51,Products!$C$2:$C$51,0)</f>
        <v>Subscriptions</v>
      </c>
      <c r="D412" t="str">
        <f>_xlfn.XLOOKUP(F412,Products!$A$2:$A$51,Products!$B$2:$B$51,0)</f>
        <v>Bi-Weekly Sampler Box</v>
      </c>
      <c r="E412" t="str">
        <f>_xlfn.XLOOKUP(B412,customers!$A$2:$A$195,customers!$B$2:$B$195,,0)</f>
        <v>West</v>
      </c>
      <c r="F412">
        <v>1047</v>
      </c>
      <c r="G412" s="9">
        <f>_xlfn.XLOOKUP(B412,customers!$A$1:$A$195,customers!$C$1:$C$195)</f>
        <v>45041</v>
      </c>
      <c r="H412" s="13">
        <v>45693</v>
      </c>
      <c r="I412">
        <v>4</v>
      </c>
      <c r="J412">
        <v>355.08</v>
      </c>
      <c r="K412">
        <v>95.44</v>
      </c>
      <c r="L412">
        <f>_xlfn.XLOOKUP(F412,Products!$A$2:$A$51,Products!$D$2:$D$51,0)</f>
        <v>88.77</v>
      </c>
      <c r="M412">
        <f t="shared" si="6"/>
        <v>259.64</v>
      </c>
    </row>
    <row r="413" spans="1:13">
      <c r="A413" t="s">
        <v>720</v>
      </c>
      <c r="B413" t="s">
        <v>24</v>
      </c>
      <c r="C413" t="str">
        <f>_xlfn.XLOOKUP(F413,Products!$A$2:$A$51,Products!$C$2:$C$51,0)</f>
        <v>Accessories</v>
      </c>
      <c r="D413" t="str">
        <f>_xlfn.XLOOKUP(F413,Products!$A$2:$A$51,Products!$B$2:$B$51,0)</f>
        <v>Gooseneck Electric Kettle</v>
      </c>
      <c r="E413" t="str">
        <f>_xlfn.XLOOKUP(B413,customers!$A$2:$A$195,customers!$B$2:$B$195,,0)</f>
        <v>East</v>
      </c>
      <c r="F413">
        <v>1037</v>
      </c>
      <c r="G413" s="9">
        <f>_xlfn.XLOOKUP(B413,customers!$A$1:$A$195,customers!$C$1:$C$195)</f>
        <v>45169</v>
      </c>
      <c r="H413" s="13">
        <v>45693</v>
      </c>
      <c r="I413">
        <v>3</v>
      </c>
      <c r="J413">
        <v>104.61</v>
      </c>
      <c r="K413">
        <v>77.91</v>
      </c>
      <c r="L413">
        <f>_xlfn.XLOOKUP(F413,Products!$A$2:$A$51,Products!$D$2:$D$51,0)</f>
        <v>34.87</v>
      </c>
      <c r="M413">
        <f t="shared" si="6"/>
        <v>26.7</v>
      </c>
    </row>
    <row r="414" spans="1:13">
      <c r="A414" t="s">
        <v>721</v>
      </c>
      <c r="B414" t="s">
        <v>56</v>
      </c>
      <c r="C414" t="str">
        <f>_xlfn.XLOOKUP(F414,Products!$A$2:$A$51,Products!$C$2:$C$51,0)</f>
        <v>Subscriptions</v>
      </c>
      <c r="D414" t="str">
        <f>_xlfn.XLOOKUP(F414,Products!$A$2:$A$51,Products!$B$2:$B$51,0)</f>
        <v>Three-Month Gift Subscription</v>
      </c>
      <c r="E414" t="str">
        <f>_xlfn.XLOOKUP(B414,customers!$A$2:$A$195,customers!$B$2:$B$195,,0)</f>
        <v>East</v>
      </c>
      <c r="F414">
        <v>1048</v>
      </c>
      <c r="G414" s="9">
        <f>_xlfn.XLOOKUP(B414,customers!$A$1:$A$195,customers!$C$1:$C$195)</f>
        <v>45074</v>
      </c>
      <c r="H414" s="13">
        <v>45693</v>
      </c>
      <c r="I414">
        <v>3</v>
      </c>
      <c r="J414">
        <v>195.63</v>
      </c>
      <c r="K414">
        <v>82.83</v>
      </c>
      <c r="L414">
        <f>_xlfn.XLOOKUP(F414,Products!$A$2:$A$51,Products!$D$2:$D$51,0)</f>
        <v>65.21</v>
      </c>
      <c r="M414">
        <f t="shared" si="6"/>
        <v>112.8</v>
      </c>
    </row>
    <row r="415" spans="1:13">
      <c r="A415" t="s">
        <v>722</v>
      </c>
      <c r="B415" t="s">
        <v>67</v>
      </c>
      <c r="C415" t="str">
        <f>_xlfn.XLOOKUP(F415,Products!$A$2:$A$51,Products!$C$2:$C$51,0)</f>
        <v>Merchandise</v>
      </c>
      <c r="D415" t="str">
        <f>_xlfn.XLOOKUP(F415,Products!$A$2:$A$51,Products!$B$2:$B$51,0)</f>
        <v>Insulated Travel Tumbler</v>
      </c>
      <c r="E415" t="str">
        <f>_xlfn.XLOOKUP(B415,customers!$A$2:$A$195,customers!$B$2:$B$195,,0)</f>
        <v>East</v>
      </c>
      <c r="F415">
        <v>1018</v>
      </c>
      <c r="G415" s="9">
        <f>_xlfn.XLOOKUP(B415,customers!$A$1:$A$195,customers!$C$1:$C$195)</f>
        <v>45272</v>
      </c>
      <c r="H415" s="13">
        <v>45693</v>
      </c>
      <c r="I415">
        <v>1</v>
      </c>
      <c r="J415">
        <v>43.28</v>
      </c>
      <c r="K415">
        <v>20.82</v>
      </c>
      <c r="L415">
        <f>_xlfn.XLOOKUP(F415,Products!$A$2:$A$51,Products!$D$2:$D$51,0)</f>
        <v>43.28</v>
      </c>
      <c r="M415">
        <f t="shared" si="6"/>
        <v>22.46</v>
      </c>
    </row>
    <row r="416" spans="1:13">
      <c r="A416" t="s">
        <v>723</v>
      </c>
      <c r="B416" t="s">
        <v>137</v>
      </c>
      <c r="C416" t="str">
        <f>_xlfn.XLOOKUP(F416,Products!$A$2:$A$51,Products!$C$2:$C$51,0)</f>
        <v>Accessories</v>
      </c>
      <c r="D416" t="str">
        <f>_xlfn.XLOOKUP(F416,Products!$A$2:$A$51,Products!$B$2:$B$51,0)</f>
        <v>Chemex Filters (100 pack)</v>
      </c>
      <c r="E416" t="str">
        <f>_xlfn.XLOOKUP(B416,customers!$A$2:$A$195,customers!$B$2:$B$195,,0)</f>
        <v>West</v>
      </c>
      <c r="F416">
        <v>1014</v>
      </c>
      <c r="G416" s="9">
        <f>_xlfn.XLOOKUP(B416,customers!$A$1:$A$195,customers!$C$1:$C$195)</f>
        <v>45166</v>
      </c>
      <c r="H416" s="13">
        <v>45693</v>
      </c>
      <c r="I416">
        <v>4</v>
      </c>
      <c r="J416">
        <v>96.4</v>
      </c>
      <c r="K416">
        <v>84.83</v>
      </c>
      <c r="L416">
        <f>_xlfn.XLOOKUP(F416,Products!$A$2:$A$51,Products!$D$2:$D$51,0)</f>
        <v>24.1</v>
      </c>
      <c r="M416">
        <f t="shared" si="6"/>
        <v>11.57</v>
      </c>
    </row>
    <row r="417" spans="1:13">
      <c r="A417" t="s">
        <v>724</v>
      </c>
      <c r="B417" t="s">
        <v>141</v>
      </c>
      <c r="C417" t="str">
        <f>_xlfn.XLOOKUP(F417,Products!$A$2:$A$51,Products!$C$2:$C$51,0)</f>
        <v>Accessories</v>
      </c>
      <c r="D417" t="str">
        <f>_xlfn.XLOOKUP(F417,Products!$A$2:$A$51,Products!$B$2:$B$51,0)</f>
        <v>Refillable Coffee Pods</v>
      </c>
      <c r="E417" t="str">
        <f>_xlfn.XLOOKUP(B417,customers!$A$2:$A$195,customers!$B$2:$B$195,,0)</f>
        <v>East</v>
      </c>
      <c r="F417">
        <v>1040</v>
      </c>
      <c r="G417" s="9">
        <f>_xlfn.XLOOKUP(B417,customers!$A$1:$A$195,customers!$C$1:$C$195)</f>
        <v>45035</v>
      </c>
      <c r="H417" s="13">
        <v>45752</v>
      </c>
      <c r="I417">
        <v>2</v>
      </c>
      <c r="J417">
        <v>48.26</v>
      </c>
      <c r="K417">
        <v>18.59</v>
      </c>
      <c r="L417">
        <f>_xlfn.XLOOKUP(F417,Products!$A$2:$A$51,Products!$D$2:$D$51,0)</f>
        <v>24.13</v>
      </c>
      <c r="M417">
        <f t="shared" si="6"/>
        <v>29.67</v>
      </c>
    </row>
    <row r="418" spans="1:13">
      <c r="A418" t="s">
        <v>725</v>
      </c>
      <c r="B418" t="s">
        <v>138</v>
      </c>
      <c r="C418" t="str">
        <f>_xlfn.XLOOKUP(F418,Products!$A$2:$A$51,Products!$C$2:$C$51,0)</f>
        <v>Merchandise</v>
      </c>
      <c r="D418" t="str">
        <f>_xlfn.XLOOKUP(F418,Products!$A$2:$A$51,Products!$B$2:$B$51,0)</f>
        <v>Minimalist Keychain</v>
      </c>
      <c r="E418" t="str">
        <f>_xlfn.XLOOKUP(B418,customers!$A$2:$A$195,customers!$B$2:$B$195,,0)</f>
        <v>East</v>
      </c>
      <c r="F418">
        <v>1045</v>
      </c>
      <c r="G418" s="9">
        <f>_xlfn.XLOOKUP(B418,customers!$A$1:$A$195,customers!$C$1:$C$195)</f>
        <v>44976</v>
      </c>
      <c r="H418" s="13">
        <v>45782</v>
      </c>
      <c r="I418">
        <v>2</v>
      </c>
      <c r="J418">
        <v>54.74</v>
      </c>
      <c r="K418">
        <v>48.18</v>
      </c>
      <c r="L418">
        <f>_xlfn.XLOOKUP(F418,Products!$A$2:$A$51,Products!$D$2:$D$51,0)</f>
        <v>27.37</v>
      </c>
      <c r="M418">
        <f t="shared" si="6"/>
        <v>6.56</v>
      </c>
    </row>
    <row r="419" spans="1:13">
      <c r="A419" t="s">
        <v>726</v>
      </c>
      <c r="B419" t="s">
        <v>139</v>
      </c>
      <c r="C419" t="str">
        <f>_xlfn.XLOOKUP(F419,Products!$A$2:$A$51,Products!$C$2:$C$51,0)</f>
        <v>Accessories</v>
      </c>
      <c r="D419" t="str">
        <f>_xlfn.XLOOKUP(F419,Products!$A$2:$A$51,Products!$B$2:$B$51,0)</f>
        <v>Refillable Coffee Pods</v>
      </c>
      <c r="E419" t="str">
        <f>_xlfn.XLOOKUP(B419,customers!$A$2:$A$195,customers!$B$2:$B$195,,0)</f>
        <v>East</v>
      </c>
      <c r="F419">
        <v>1040</v>
      </c>
      <c r="G419" s="9">
        <f>_xlfn.XLOOKUP(B419,customers!$A$1:$A$195,customers!$C$1:$C$195)</f>
        <v>45205</v>
      </c>
      <c r="H419" s="13">
        <v>45782</v>
      </c>
      <c r="I419">
        <v>1</v>
      </c>
      <c r="J419">
        <v>24.13</v>
      </c>
      <c r="K419">
        <v>9.3</v>
      </c>
      <c r="L419">
        <f>_xlfn.XLOOKUP(F419,Products!$A$2:$A$51,Products!$D$2:$D$51,0)</f>
        <v>24.13</v>
      </c>
      <c r="M419">
        <f t="shared" si="6"/>
        <v>14.83</v>
      </c>
    </row>
    <row r="420" spans="1:13">
      <c r="A420" t="s">
        <v>727</v>
      </c>
      <c r="B420" t="s">
        <v>149</v>
      </c>
      <c r="C420" t="str">
        <f>_xlfn.XLOOKUP(F420,Products!$A$2:$A$51,Products!$C$2:$C$51,0)</f>
        <v>Subscriptions</v>
      </c>
      <c r="D420" t="str">
        <f>_xlfn.XLOOKUP(F420,Products!$A$2:$A$51,Products!$B$2:$B$51,0)</f>
        <v>Bi-Weekly Sampler Box</v>
      </c>
      <c r="E420" t="str">
        <f>_xlfn.XLOOKUP(B420,customers!$A$2:$A$195,customers!$B$2:$B$195,,0)</f>
        <v>South</v>
      </c>
      <c r="F420">
        <v>1022</v>
      </c>
      <c r="G420" s="9">
        <f>_xlfn.XLOOKUP(B420,customers!$A$1:$A$195,customers!$C$1:$C$195)</f>
        <v>45054</v>
      </c>
      <c r="H420" s="13">
        <v>45782</v>
      </c>
      <c r="I420">
        <v>2</v>
      </c>
      <c r="J420">
        <v>177.54</v>
      </c>
      <c r="K420">
        <v>47.72</v>
      </c>
      <c r="L420">
        <f>_xlfn.XLOOKUP(F420,Products!$A$2:$A$51,Products!$D$2:$D$51,0)</f>
        <v>88.77</v>
      </c>
      <c r="M420">
        <f t="shared" si="6"/>
        <v>129.82</v>
      </c>
    </row>
    <row r="421" spans="1:13">
      <c r="A421" t="s">
        <v>728</v>
      </c>
      <c r="B421" t="s">
        <v>155</v>
      </c>
      <c r="C421" t="str">
        <f>_xlfn.XLOOKUP(F421,Products!$A$2:$A$51,Products!$C$2:$C$51,0)</f>
        <v>Consumables</v>
      </c>
      <c r="D421" t="str">
        <f>_xlfn.XLOOKUP(F421,Products!$A$2:$A$51,Products!$B$2:$B$51,0)</f>
        <v>Single-Origin Ethiopian (250g)</v>
      </c>
      <c r="E421" t="str">
        <f>_xlfn.XLOOKUP(B421,customers!$A$2:$A$195,customers!$B$2:$B$195,,0)</f>
        <v>East</v>
      </c>
      <c r="F421">
        <v>1026</v>
      </c>
      <c r="G421" s="9">
        <f>_xlfn.XLOOKUP(B421,customers!$A$1:$A$195,customers!$C$1:$C$195)</f>
        <v>45204</v>
      </c>
      <c r="H421" s="13">
        <v>45782</v>
      </c>
      <c r="I421">
        <v>1</v>
      </c>
      <c r="J421">
        <v>19.49</v>
      </c>
      <c r="K421">
        <v>12.71</v>
      </c>
      <c r="L421">
        <f>_xlfn.XLOOKUP(F421,Products!$A$2:$A$51,Products!$D$2:$D$51,0)</f>
        <v>19.49</v>
      </c>
      <c r="M421">
        <f t="shared" si="6"/>
        <v>6.78</v>
      </c>
    </row>
    <row r="422" spans="1:13">
      <c r="A422" t="s">
        <v>729</v>
      </c>
      <c r="B422" t="s">
        <v>186</v>
      </c>
      <c r="C422" t="str">
        <f>_xlfn.XLOOKUP(F422,Products!$A$2:$A$51,Products!$C$2:$C$51,0)</f>
        <v>Grinders &amp; Brewers</v>
      </c>
      <c r="D422" t="str">
        <f>_xlfn.XLOOKUP(F422,Products!$A$2:$A$51,Products!$B$2:$B$51,0)</f>
        <v>Precision Electric Grinder</v>
      </c>
      <c r="E422" t="str">
        <f>_xlfn.XLOOKUP(B422,customers!$A$2:$A$195,customers!$B$2:$B$195,,0)</f>
        <v>West</v>
      </c>
      <c r="F422">
        <v>1006</v>
      </c>
      <c r="G422" s="9">
        <f>_xlfn.XLOOKUP(B422,customers!$A$1:$A$195,customers!$C$1:$C$195)</f>
        <v>45283</v>
      </c>
      <c r="H422" s="13">
        <v>45782</v>
      </c>
      <c r="I422">
        <v>4</v>
      </c>
      <c r="J422">
        <v>928.8</v>
      </c>
      <c r="K422">
        <v>313.54</v>
      </c>
      <c r="L422">
        <f>_xlfn.XLOOKUP(F422,Products!$A$2:$A$51,Products!$D$2:$D$51,0)</f>
        <v>232.2</v>
      </c>
      <c r="M422">
        <f t="shared" si="6"/>
        <v>615.26</v>
      </c>
    </row>
    <row r="423" spans="1:13">
      <c r="A423" t="s">
        <v>730</v>
      </c>
      <c r="B423" t="s">
        <v>13</v>
      </c>
      <c r="C423" t="str">
        <f>_xlfn.XLOOKUP(F423,Products!$A$2:$A$51,Products!$C$2:$C$51,0)</f>
        <v>Grinders &amp; Brewers</v>
      </c>
      <c r="D423" t="str">
        <f>_xlfn.XLOOKUP(F423,Products!$A$2:$A$51,Products!$B$2:$B$51,0)</f>
        <v>Automated Drip Brewer</v>
      </c>
      <c r="E423" t="str">
        <f>_xlfn.XLOOKUP(B423,customers!$A$2:$A$195,customers!$B$2:$B$195,,0)</f>
        <v>East</v>
      </c>
      <c r="F423">
        <v>1033</v>
      </c>
      <c r="G423" s="9">
        <f>_xlfn.XLOOKUP(B423,customers!$A$1:$A$195,customers!$C$1:$C$195)</f>
        <v>45214</v>
      </c>
      <c r="H423" s="13">
        <v>45813</v>
      </c>
      <c r="I423">
        <v>3</v>
      </c>
      <c r="J423">
        <v>707.28</v>
      </c>
      <c r="K423">
        <v>397.45</v>
      </c>
      <c r="L423">
        <f>_xlfn.XLOOKUP(F423,Products!$A$2:$A$51,Products!$D$2:$D$51,0)</f>
        <v>235.76</v>
      </c>
      <c r="M423">
        <f t="shared" si="6"/>
        <v>309.83</v>
      </c>
    </row>
    <row r="424" spans="1:13">
      <c r="A424" t="s">
        <v>731</v>
      </c>
      <c r="B424" t="s">
        <v>86</v>
      </c>
      <c r="C424" t="str">
        <f>_xlfn.XLOOKUP(F424,Products!$A$2:$A$51,Products!$C$2:$C$51,0)</f>
        <v>Subscriptions</v>
      </c>
      <c r="D424" t="str">
        <f>_xlfn.XLOOKUP(F424,Products!$A$2:$A$51,Products!$B$2:$B$51,0)</f>
        <v>Espresso Lovers Quarterly Pack</v>
      </c>
      <c r="E424" t="str">
        <f>_xlfn.XLOOKUP(B424,customers!$A$2:$A$195,customers!$B$2:$B$195,,0)</f>
        <v>North</v>
      </c>
      <c r="F424">
        <v>1049</v>
      </c>
      <c r="G424" s="9">
        <f>_xlfn.XLOOKUP(B424,customers!$A$1:$A$195,customers!$C$1:$C$195)</f>
        <v>45227</v>
      </c>
      <c r="H424" s="13">
        <v>45813</v>
      </c>
      <c r="I424">
        <v>1</v>
      </c>
      <c r="J424">
        <v>74.87</v>
      </c>
      <c r="K424">
        <v>19.2</v>
      </c>
      <c r="L424">
        <f>_xlfn.XLOOKUP(F424,Products!$A$2:$A$51,Products!$D$2:$D$51,0)</f>
        <v>74.87</v>
      </c>
      <c r="M424">
        <f t="shared" si="6"/>
        <v>55.67</v>
      </c>
    </row>
    <row r="425" spans="1:13">
      <c r="A425" t="s">
        <v>732</v>
      </c>
      <c r="B425" t="s">
        <v>29</v>
      </c>
      <c r="C425" t="str">
        <f>_xlfn.XLOOKUP(F425,Products!$A$2:$A$51,Products!$C$2:$C$51,0)</f>
        <v>Accessories</v>
      </c>
      <c r="D425" t="str">
        <f>_xlfn.XLOOKUP(F425,Products!$A$2:$A$51,Products!$B$2:$B$51,0)</f>
        <v>Airtight Storage Container</v>
      </c>
      <c r="E425" t="str">
        <f>_xlfn.XLOOKUP(B425,customers!$A$2:$A$195,customers!$B$2:$B$195,,0)</f>
        <v>West</v>
      </c>
      <c r="F425">
        <v>1013</v>
      </c>
      <c r="G425" s="9">
        <f>_xlfn.XLOOKUP(B425,customers!$A$1:$A$195,customers!$C$1:$C$195)</f>
        <v>45207</v>
      </c>
      <c r="H425" s="13">
        <v>45843</v>
      </c>
      <c r="I425">
        <v>1</v>
      </c>
      <c r="J425">
        <v>61.04</v>
      </c>
      <c r="K425">
        <v>25.71</v>
      </c>
      <c r="L425">
        <f>_xlfn.XLOOKUP(F425,Products!$A$2:$A$51,Products!$D$2:$D$51,0)</f>
        <v>61.04</v>
      </c>
      <c r="M425">
        <f t="shared" si="6"/>
        <v>35.33</v>
      </c>
    </row>
    <row r="426" spans="1:13">
      <c r="A426" t="s">
        <v>733</v>
      </c>
      <c r="B426" t="s">
        <v>45</v>
      </c>
      <c r="C426" t="str">
        <f>_xlfn.XLOOKUP(F426,Products!$A$2:$A$51,Products!$C$2:$C$51,0)</f>
        <v>Merchandise</v>
      </c>
      <c r="D426" t="str">
        <f>_xlfn.XLOOKUP(F426,Products!$A$2:$A$51,Products!$B$2:$B$51,0)</f>
        <v>Minimalist Keychain</v>
      </c>
      <c r="E426" t="str">
        <f>_xlfn.XLOOKUP(B426,customers!$A$2:$A$195,customers!$B$2:$B$195,,0)</f>
        <v>West</v>
      </c>
      <c r="F426">
        <v>1020</v>
      </c>
      <c r="G426" s="9">
        <f>_xlfn.XLOOKUP(B426,customers!$A$1:$A$195,customers!$C$1:$C$195)</f>
        <v>45006</v>
      </c>
      <c r="H426" s="13">
        <v>45843</v>
      </c>
      <c r="I426">
        <v>3</v>
      </c>
      <c r="J426">
        <v>82.11</v>
      </c>
      <c r="K426">
        <v>72.27</v>
      </c>
      <c r="L426">
        <f>_xlfn.XLOOKUP(F426,Products!$A$2:$A$51,Products!$D$2:$D$51,0)</f>
        <v>27.37</v>
      </c>
      <c r="M426">
        <f t="shared" si="6"/>
        <v>9.84</v>
      </c>
    </row>
    <row r="427" spans="1:13">
      <c r="A427" t="s">
        <v>734</v>
      </c>
      <c r="B427" t="s">
        <v>65</v>
      </c>
      <c r="C427" t="str">
        <f>_xlfn.XLOOKUP(F427,Products!$A$2:$A$51,Products!$C$2:$C$51,0)</f>
        <v>Merchandise</v>
      </c>
      <c r="D427" t="str">
        <f>_xlfn.XLOOKUP(F427,Products!$A$2:$A$51,Products!$B$2:$B$51,0)</f>
        <v>Logo Hoodie (Black)</v>
      </c>
      <c r="E427" t="str">
        <f>_xlfn.XLOOKUP(B427,customers!$A$2:$A$195,customers!$B$2:$B$195,,0)</f>
        <v>West</v>
      </c>
      <c r="F427">
        <v>1017</v>
      </c>
      <c r="G427" s="9">
        <f>_xlfn.XLOOKUP(B427,customers!$A$1:$A$195,customers!$C$1:$C$195)</f>
        <v>44939</v>
      </c>
      <c r="H427" s="13">
        <v>45843</v>
      </c>
      <c r="I427">
        <v>2</v>
      </c>
      <c r="J427">
        <v>30.46</v>
      </c>
      <c r="K427">
        <v>26.8</v>
      </c>
      <c r="L427">
        <f>_xlfn.XLOOKUP(F427,Products!$A$2:$A$51,Products!$D$2:$D$51,0)</f>
        <v>15.23</v>
      </c>
      <c r="M427">
        <f t="shared" si="6"/>
        <v>3.66</v>
      </c>
    </row>
    <row r="428" spans="1:13">
      <c r="A428" t="s">
        <v>735</v>
      </c>
      <c r="B428" t="s">
        <v>85</v>
      </c>
      <c r="C428" t="str">
        <f>_xlfn.XLOOKUP(F428,Products!$A$2:$A$51,Products!$C$2:$C$51,0)</f>
        <v>Merchandise</v>
      </c>
      <c r="D428" t="str">
        <f>_xlfn.XLOOKUP(F428,Products!$A$2:$A$51,Products!$B$2:$B$51,0)</f>
        <v>Branded Ceramic Mug (Large)</v>
      </c>
      <c r="E428" t="str">
        <f>_xlfn.XLOOKUP(B428,customers!$A$2:$A$195,customers!$B$2:$B$195,,0)</f>
        <v>North</v>
      </c>
      <c r="F428">
        <v>1041</v>
      </c>
      <c r="G428" s="9">
        <f>_xlfn.XLOOKUP(B428,customers!$A$1:$A$195,customers!$C$1:$C$195)</f>
        <v>45181</v>
      </c>
      <c r="H428" s="13">
        <v>45843</v>
      </c>
      <c r="I428">
        <v>1</v>
      </c>
      <c r="J428">
        <v>43.2</v>
      </c>
      <c r="K428">
        <v>31.11</v>
      </c>
      <c r="L428">
        <f>_xlfn.XLOOKUP(F428,Products!$A$2:$A$51,Products!$D$2:$D$51,0)</f>
        <v>43.2</v>
      </c>
      <c r="M428">
        <f t="shared" si="6"/>
        <v>12.09</v>
      </c>
    </row>
    <row r="429" spans="1:13">
      <c r="A429" t="s">
        <v>736</v>
      </c>
      <c r="B429" t="s">
        <v>141</v>
      </c>
      <c r="C429" t="str">
        <f>_xlfn.XLOOKUP(F429,Products!$A$2:$A$51,Products!$C$2:$C$51,0)</f>
        <v>Subscriptions</v>
      </c>
      <c r="D429" t="str">
        <f>_xlfn.XLOOKUP(F429,Products!$A$2:$A$51,Products!$B$2:$B$51,0)</f>
        <v>Espresso Lovers Quarterly Pack</v>
      </c>
      <c r="E429" t="str">
        <f>_xlfn.XLOOKUP(B429,customers!$A$2:$A$195,customers!$B$2:$B$195,,0)</f>
        <v>East</v>
      </c>
      <c r="F429">
        <v>1049</v>
      </c>
      <c r="G429" s="9">
        <f>_xlfn.XLOOKUP(B429,customers!$A$1:$A$195,customers!$C$1:$C$195)</f>
        <v>45035</v>
      </c>
      <c r="H429" s="13">
        <v>45843</v>
      </c>
      <c r="I429">
        <v>1</v>
      </c>
      <c r="J429">
        <v>74.87</v>
      </c>
      <c r="K429">
        <v>19.2</v>
      </c>
      <c r="L429">
        <f>_xlfn.XLOOKUP(F429,Products!$A$2:$A$51,Products!$D$2:$D$51,0)</f>
        <v>74.87</v>
      </c>
      <c r="M429">
        <f t="shared" si="6"/>
        <v>55.67</v>
      </c>
    </row>
    <row r="430" spans="1:13">
      <c r="A430" t="s">
        <v>737</v>
      </c>
      <c r="B430" t="s">
        <v>24</v>
      </c>
      <c r="C430" t="str">
        <f>_xlfn.XLOOKUP(F430,Products!$A$2:$A$51,Products!$C$2:$C$51,0)</f>
        <v>Consumables</v>
      </c>
      <c r="D430" t="str">
        <f>_xlfn.XLOOKUP(F430,Products!$A$2:$A$51,Products!$B$2:$B$51,0)</f>
        <v>Decaf Blend (1kg)</v>
      </c>
      <c r="E430" t="str">
        <f>_xlfn.XLOOKUP(B430,customers!$A$2:$A$195,customers!$B$2:$B$195,,0)</f>
        <v>East</v>
      </c>
      <c r="F430">
        <v>1003</v>
      </c>
      <c r="G430" s="9">
        <f>_xlfn.XLOOKUP(B430,customers!$A$1:$A$195,customers!$C$1:$C$195)</f>
        <v>45169</v>
      </c>
      <c r="H430" s="13">
        <v>45874</v>
      </c>
      <c r="I430">
        <v>4</v>
      </c>
      <c r="J430">
        <v>161.4</v>
      </c>
      <c r="K430">
        <v>51.44</v>
      </c>
      <c r="L430">
        <f>_xlfn.XLOOKUP(F430,Products!$A$2:$A$51,Products!$D$2:$D$51,0)</f>
        <v>40.35</v>
      </c>
      <c r="M430">
        <f t="shared" si="6"/>
        <v>109.96</v>
      </c>
    </row>
    <row r="431" spans="1:13">
      <c r="A431" t="s">
        <v>738</v>
      </c>
      <c r="B431" t="s">
        <v>32</v>
      </c>
      <c r="C431" t="str">
        <f>_xlfn.XLOOKUP(F431,Products!$A$2:$A$51,Products!$C$2:$C$51,0)</f>
        <v>Grinders &amp; Brewers</v>
      </c>
      <c r="D431" t="str">
        <f>_xlfn.XLOOKUP(F431,Products!$A$2:$A$51,Products!$B$2:$B$51,0)</f>
        <v>Precision Electric Grinder</v>
      </c>
      <c r="E431" t="str">
        <f>_xlfn.XLOOKUP(B431,customers!$A$2:$A$195,customers!$B$2:$B$195,,0)</f>
        <v>East</v>
      </c>
      <c r="F431">
        <v>1031</v>
      </c>
      <c r="G431" s="9">
        <f>_xlfn.XLOOKUP(B431,customers!$A$1:$A$195,customers!$C$1:$C$195)</f>
        <v>45037</v>
      </c>
      <c r="H431" s="13">
        <v>45874</v>
      </c>
      <c r="I431">
        <v>1</v>
      </c>
      <c r="J431">
        <v>232.2</v>
      </c>
      <c r="K431">
        <v>78.39</v>
      </c>
      <c r="L431">
        <f>_xlfn.XLOOKUP(F431,Products!$A$2:$A$51,Products!$D$2:$D$51,0)</f>
        <v>232.2</v>
      </c>
      <c r="M431">
        <f t="shared" si="6"/>
        <v>153.81</v>
      </c>
    </row>
    <row r="432" spans="1:13">
      <c r="A432" t="s">
        <v>739</v>
      </c>
      <c r="B432" t="s">
        <v>51</v>
      </c>
      <c r="C432" t="str">
        <f>_xlfn.XLOOKUP(F432,Products!$A$2:$A$51,Products!$C$2:$C$51,0)</f>
        <v>Grinders &amp; Brewers</v>
      </c>
      <c r="D432" t="str">
        <f>_xlfn.XLOOKUP(F432,Products!$A$2:$A$51,Products!$B$2:$B$51,0)</f>
        <v>Hand Grinder (Travel Size)</v>
      </c>
      <c r="E432" t="str">
        <f>_xlfn.XLOOKUP(B432,customers!$A$2:$A$195,customers!$B$2:$B$195,,0)</f>
        <v>South</v>
      </c>
      <c r="F432">
        <v>1032</v>
      </c>
      <c r="G432" s="9">
        <f>_xlfn.XLOOKUP(B432,customers!$A$1:$A$195,customers!$C$1:$C$195)</f>
        <v>45096</v>
      </c>
      <c r="H432" s="13">
        <v>45874</v>
      </c>
      <c r="I432">
        <v>3</v>
      </c>
      <c r="J432">
        <v>764.16</v>
      </c>
      <c r="K432">
        <v>390.85</v>
      </c>
      <c r="L432">
        <f>_xlfn.XLOOKUP(F432,Products!$A$2:$A$51,Products!$D$2:$D$51,0)</f>
        <v>254.72</v>
      </c>
      <c r="M432">
        <f t="shared" si="6"/>
        <v>373.31</v>
      </c>
    </row>
    <row r="433" spans="1:13">
      <c r="A433" t="s">
        <v>740</v>
      </c>
      <c r="B433" t="s">
        <v>59</v>
      </c>
      <c r="C433" t="str">
        <f>_xlfn.XLOOKUP(F433,Products!$A$2:$A$51,Products!$C$2:$C$51,0)</f>
        <v>Consumables</v>
      </c>
      <c r="D433" t="str">
        <f>_xlfn.XLOOKUP(F433,Products!$A$2:$A$51,Products!$B$2:$B$51,0)</f>
        <v>Single-Origin Ethiopian (250g)</v>
      </c>
      <c r="E433" t="str">
        <f>_xlfn.XLOOKUP(B433,customers!$A$2:$A$195,customers!$B$2:$B$195,,0)</f>
        <v>East</v>
      </c>
      <c r="F433">
        <v>1026</v>
      </c>
      <c r="G433" s="9">
        <f>_xlfn.XLOOKUP(B433,customers!$A$1:$A$195,customers!$C$1:$C$195)</f>
        <v>45068</v>
      </c>
      <c r="H433" s="13">
        <v>45874</v>
      </c>
      <c r="I433">
        <v>2</v>
      </c>
      <c r="J433">
        <v>38.98</v>
      </c>
      <c r="K433">
        <v>25.41</v>
      </c>
      <c r="L433">
        <f>_xlfn.XLOOKUP(F433,Products!$A$2:$A$51,Products!$D$2:$D$51,0)</f>
        <v>19.49</v>
      </c>
      <c r="M433">
        <f t="shared" si="6"/>
        <v>13.57</v>
      </c>
    </row>
    <row r="434" spans="1:13">
      <c r="A434" t="s">
        <v>741</v>
      </c>
      <c r="B434" t="s">
        <v>74</v>
      </c>
      <c r="C434" t="str">
        <f>_xlfn.XLOOKUP(F434,Products!$A$2:$A$51,Products!$C$2:$C$51,0)</f>
        <v>Consumables</v>
      </c>
      <c r="D434" t="str">
        <f>_xlfn.XLOOKUP(F434,Products!$A$2:$A$51,Products!$B$2:$B$51,0)</f>
        <v>Single-Origin Ethiopian (250g)</v>
      </c>
      <c r="E434" t="str">
        <f>_xlfn.XLOOKUP(B434,customers!$A$2:$A$195,customers!$B$2:$B$195,,0)</f>
        <v>East</v>
      </c>
      <c r="F434">
        <v>1001</v>
      </c>
      <c r="G434" s="9">
        <f>_xlfn.XLOOKUP(B434,customers!$A$1:$A$195,customers!$C$1:$C$195)</f>
        <v>45103</v>
      </c>
      <c r="H434" s="13">
        <v>45874</v>
      </c>
      <c r="I434">
        <v>4</v>
      </c>
      <c r="J434">
        <v>77.96</v>
      </c>
      <c r="K434">
        <v>50.82</v>
      </c>
      <c r="L434">
        <f>_xlfn.XLOOKUP(F434,Products!$A$2:$A$51,Products!$D$2:$D$51,0)</f>
        <v>19.49</v>
      </c>
      <c r="M434">
        <f t="shared" si="6"/>
        <v>27.14</v>
      </c>
    </row>
    <row r="435" spans="1:13">
      <c r="A435" t="s">
        <v>742</v>
      </c>
      <c r="B435" t="s">
        <v>81</v>
      </c>
      <c r="C435" t="str">
        <f>_xlfn.XLOOKUP(F435,Products!$A$2:$A$51,Products!$C$2:$C$51,0)</f>
        <v>Accessories</v>
      </c>
      <c r="D435" t="str">
        <f>_xlfn.XLOOKUP(F435,Products!$A$2:$A$51,Products!$B$2:$B$51,0)</f>
        <v>Digital Coffee Scale</v>
      </c>
      <c r="E435" t="str">
        <f>_xlfn.XLOOKUP(B435,customers!$A$2:$A$195,customers!$B$2:$B$195,,0)</f>
        <v>West</v>
      </c>
      <c r="F435">
        <v>1036</v>
      </c>
      <c r="G435" s="9">
        <f>_xlfn.XLOOKUP(B435,customers!$A$1:$A$195,customers!$C$1:$C$195)</f>
        <v>45041</v>
      </c>
      <c r="H435" s="13">
        <v>45874</v>
      </c>
      <c r="I435">
        <v>1</v>
      </c>
      <c r="J435">
        <v>26.83</v>
      </c>
      <c r="K435">
        <v>14.65</v>
      </c>
      <c r="L435">
        <f>_xlfn.XLOOKUP(F435,Products!$A$2:$A$51,Products!$D$2:$D$51,0)</f>
        <v>26.83</v>
      </c>
      <c r="M435">
        <f t="shared" si="6"/>
        <v>12.18</v>
      </c>
    </row>
    <row r="436" spans="1:13">
      <c r="A436" t="s">
        <v>743</v>
      </c>
      <c r="B436" t="s">
        <v>109</v>
      </c>
      <c r="C436" t="str">
        <f>_xlfn.XLOOKUP(F436,Products!$A$2:$A$51,Products!$C$2:$C$51,0)</f>
        <v>Consumables</v>
      </c>
      <c r="D436" t="str">
        <f>_xlfn.XLOOKUP(F436,Products!$A$2:$A$51,Products!$B$2:$B$51,0)</f>
        <v>Single-Origin Ethiopian (250g)</v>
      </c>
      <c r="E436" t="str">
        <f>_xlfn.XLOOKUP(B436,customers!$A$2:$A$195,customers!$B$2:$B$195,,0)</f>
        <v>North</v>
      </c>
      <c r="F436">
        <v>1001</v>
      </c>
      <c r="G436" s="9">
        <f>_xlfn.XLOOKUP(B436,customers!$A$1:$A$195,customers!$C$1:$C$195)</f>
        <v>45129</v>
      </c>
      <c r="H436" s="13">
        <v>45874</v>
      </c>
      <c r="I436">
        <v>4</v>
      </c>
      <c r="J436">
        <v>77.96</v>
      </c>
      <c r="K436">
        <v>50.82</v>
      </c>
      <c r="L436">
        <f>_xlfn.XLOOKUP(F436,Products!$A$2:$A$51,Products!$D$2:$D$51,0)</f>
        <v>19.49</v>
      </c>
      <c r="M436">
        <f t="shared" si="6"/>
        <v>27.14</v>
      </c>
    </row>
    <row r="437" spans="1:13">
      <c r="A437" t="s">
        <v>744</v>
      </c>
      <c r="B437" t="s">
        <v>167</v>
      </c>
      <c r="C437" t="str">
        <f>_xlfn.XLOOKUP(F437,Products!$A$2:$A$51,Products!$C$2:$C$51,0)</f>
        <v>Subscriptions</v>
      </c>
      <c r="D437" t="str">
        <f>_xlfn.XLOOKUP(F437,Products!$A$2:$A$51,Products!$B$2:$B$51,0)</f>
        <v>Bi-Weekly Sampler Box</v>
      </c>
      <c r="E437" t="str">
        <f>_xlfn.XLOOKUP(B437,customers!$A$2:$A$195,customers!$B$2:$B$195,,0)</f>
        <v>North</v>
      </c>
      <c r="F437">
        <v>1047</v>
      </c>
      <c r="G437" s="9">
        <f>_xlfn.XLOOKUP(B437,customers!$A$1:$A$195,customers!$C$1:$C$195)</f>
        <v>45168</v>
      </c>
      <c r="H437" s="13">
        <v>45874</v>
      </c>
      <c r="I437">
        <v>1</v>
      </c>
      <c r="J437">
        <v>88.77</v>
      </c>
      <c r="K437">
        <v>23.86</v>
      </c>
      <c r="L437">
        <f>_xlfn.XLOOKUP(F437,Products!$A$2:$A$51,Products!$D$2:$D$51,0)</f>
        <v>88.77</v>
      </c>
      <c r="M437">
        <f t="shared" si="6"/>
        <v>64.91</v>
      </c>
    </row>
    <row r="438" spans="1:13">
      <c r="A438" t="s">
        <v>745</v>
      </c>
      <c r="B438" t="s">
        <v>185</v>
      </c>
      <c r="C438" t="str">
        <f>_xlfn.XLOOKUP(F438,Products!$A$2:$A$51,Products!$C$2:$C$51,0)</f>
        <v>Grinders &amp; Brewers</v>
      </c>
      <c r="D438" t="str">
        <f>_xlfn.XLOOKUP(F438,Products!$A$2:$A$51,Products!$B$2:$B$51,0)</f>
        <v>Automated Drip Brewer</v>
      </c>
      <c r="E438" t="str">
        <f>_xlfn.XLOOKUP(B438,customers!$A$2:$A$195,customers!$B$2:$B$195,,0)</f>
        <v>South</v>
      </c>
      <c r="F438">
        <v>1033</v>
      </c>
      <c r="G438" s="9">
        <f>_xlfn.XLOOKUP(B438,customers!$A$1:$A$195,customers!$C$1:$C$195)</f>
        <v>45288</v>
      </c>
      <c r="H438" s="13">
        <v>45874</v>
      </c>
      <c r="I438">
        <v>3</v>
      </c>
      <c r="J438">
        <v>707.28</v>
      </c>
      <c r="K438">
        <v>397.45</v>
      </c>
      <c r="L438">
        <f>_xlfn.XLOOKUP(F438,Products!$A$2:$A$51,Products!$D$2:$D$51,0)</f>
        <v>235.76</v>
      </c>
      <c r="M438">
        <f t="shared" si="6"/>
        <v>309.83</v>
      </c>
    </row>
    <row r="439" spans="1:13">
      <c r="A439" t="s">
        <v>746</v>
      </c>
      <c r="B439" t="s">
        <v>7</v>
      </c>
      <c r="C439" t="str">
        <f>_xlfn.XLOOKUP(F439,Products!$A$2:$A$51,Products!$C$2:$C$51,0)</f>
        <v>Accessories</v>
      </c>
      <c r="D439" t="str">
        <f>_xlfn.XLOOKUP(F439,Products!$A$2:$A$51,Products!$B$2:$B$51,0)</f>
        <v>Gooseneck Electric Kettle</v>
      </c>
      <c r="E439" t="str">
        <f>_xlfn.XLOOKUP(B439,customers!$A$2:$A$195,customers!$B$2:$B$195,,0)</f>
        <v>West</v>
      </c>
      <c r="F439">
        <v>1037</v>
      </c>
      <c r="G439" s="9">
        <f>_xlfn.XLOOKUP(B439,customers!$A$1:$A$195,customers!$C$1:$C$195)</f>
        <v>45177</v>
      </c>
      <c r="H439" s="13">
        <v>45905</v>
      </c>
      <c r="I439">
        <v>3</v>
      </c>
      <c r="J439">
        <v>104.61</v>
      </c>
      <c r="K439">
        <v>77.91</v>
      </c>
      <c r="L439">
        <f>_xlfn.XLOOKUP(F439,Products!$A$2:$A$51,Products!$D$2:$D$51,0)</f>
        <v>34.87</v>
      </c>
      <c r="M439">
        <f t="shared" si="6"/>
        <v>26.7</v>
      </c>
    </row>
    <row r="440" spans="1:13">
      <c r="A440" t="s">
        <v>747</v>
      </c>
      <c r="B440" t="s">
        <v>28</v>
      </c>
      <c r="C440" t="str">
        <f>_xlfn.XLOOKUP(F440,Products!$A$2:$A$51,Products!$C$2:$C$51,0)</f>
        <v>Subscriptions</v>
      </c>
      <c r="D440" t="str">
        <f>_xlfn.XLOOKUP(F440,Products!$A$2:$A$51,Products!$B$2:$B$51,0)</f>
        <v>Bi-Weekly Sampler Box</v>
      </c>
      <c r="E440" t="str">
        <f>_xlfn.XLOOKUP(B440,customers!$A$2:$A$195,customers!$B$2:$B$195,,0)</f>
        <v>East</v>
      </c>
      <c r="F440">
        <v>1022</v>
      </c>
      <c r="G440" s="9">
        <f>_xlfn.XLOOKUP(B440,customers!$A$1:$A$195,customers!$C$1:$C$195)</f>
        <v>45273</v>
      </c>
      <c r="H440" s="13">
        <v>45905</v>
      </c>
      <c r="I440">
        <v>1</v>
      </c>
      <c r="J440">
        <v>88.77</v>
      </c>
      <c r="K440">
        <v>23.86</v>
      </c>
      <c r="L440">
        <f>_xlfn.XLOOKUP(F440,Products!$A$2:$A$51,Products!$D$2:$D$51,0)</f>
        <v>88.77</v>
      </c>
      <c r="M440">
        <f t="shared" si="6"/>
        <v>64.91</v>
      </c>
    </row>
    <row r="441" spans="1:13">
      <c r="A441" t="s">
        <v>748</v>
      </c>
      <c r="B441" t="s">
        <v>95</v>
      </c>
      <c r="C441" t="str">
        <f>_xlfn.XLOOKUP(F441,Products!$A$2:$A$51,Products!$C$2:$C$51,0)</f>
        <v>Merchandise</v>
      </c>
      <c r="D441" t="str">
        <f>_xlfn.XLOOKUP(F441,Products!$A$2:$A$51,Products!$B$2:$B$51,0)</f>
        <v>Insulated Travel Tumbler</v>
      </c>
      <c r="E441" t="str">
        <f>_xlfn.XLOOKUP(B441,customers!$A$2:$A$195,customers!$B$2:$B$195,,0)</f>
        <v>West</v>
      </c>
      <c r="F441">
        <v>1043</v>
      </c>
      <c r="G441" s="9">
        <f>_xlfn.XLOOKUP(B441,customers!$A$1:$A$195,customers!$C$1:$C$195)</f>
        <v>44941</v>
      </c>
      <c r="H441" s="13">
        <v>45905</v>
      </c>
      <c r="I441">
        <v>2</v>
      </c>
      <c r="J441">
        <v>86.56</v>
      </c>
      <c r="K441">
        <v>41.65</v>
      </c>
      <c r="L441">
        <f>_xlfn.XLOOKUP(F441,Products!$A$2:$A$51,Products!$D$2:$D$51,0)</f>
        <v>43.28</v>
      </c>
      <c r="M441">
        <f t="shared" si="6"/>
        <v>44.91</v>
      </c>
    </row>
    <row r="442" spans="1:13">
      <c r="A442" t="s">
        <v>749</v>
      </c>
      <c r="B442" t="s">
        <v>130</v>
      </c>
      <c r="C442" t="str">
        <f>_xlfn.XLOOKUP(F442,Products!$A$2:$A$51,Products!$C$2:$C$51,0)</f>
        <v>Grinders &amp; Brewers</v>
      </c>
      <c r="D442" t="str">
        <f>_xlfn.XLOOKUP(F442,Products!$A$2:$A$51,Products!$B$2:$B$51,0)</f>
        <v>Automated Drip Brewer</v>
      </c>
      <c r="E442" t="str">
        <f>_xlfn.XLOOKUP(B442,customers!$A$2:$A$195,customers!$B$2:$B$195,,0)</f>
        <v>East</v>
      </c>
      <c r="F442">
        <v>1033</v>
      </c>
      <c r="G442" s="9">
        <f>_xlfn.XLOOKUP(B442,customers!$A$1:$A$195,customers!$C$1:$C$195)</f>
        <v>45241</v>
      </c>
      <c r="H442" s="13">
        <v>45905</v>
      </c>
      <c r="I442">
        <v>3</v>
      </c>
      <c r="J442">
        <v>707.28</v>
      </c>
      <c r="K442">
        <v>397.45</v>
      </c>
      <c r="L442">
        <f>_xlfn.XLOOKUP(F442,Products!$A$2:$A$51,Products!$D$2:$D$51,0)</f>
        <v>235.76</v>
      </c>
      <c r="M442">
        <f t="shared" si="6"/>
        <v>309.83</v>
      </c>
    </row>
    <row r="443" spans="1:13">
      <c r="A443" t="s">
        <v>750</v>
      </c>
      <c r="B443" t="s">
        <v>547</v>
      </c>
      <c r="C443" t="str">
        <f>_xlfn.XLOOKUP(F443,Products!$A$2:$A$51,Products!$C$2:$C$51,0)</f>
        <v>Grinders &amp; Brewers</v>
      </c>
      <c r="D443" t="str">
        <f>_xlfn.XLOOKUP(F443,Products!$A$2:$A$51,Products!$B$2:$B$51,0)</f>
        <v>High-Capacity French Press</v>
      </c>
      <c r="E443" t="s">
        <v>751</v>
      </c>
      <c r="F443">
        <v>1009</v>
      </c>
      <c r="G443" s="9" t="e">
        <f>_xlfn.XLOOKUP(B443,customers!$A$1:$A$195,customers!$C$1:$C$195)</f>
        <v>#N/A</v>
      </c>
      <c r="H443" s="13">
        <v>45905</v>
      </c>
      <c r="I443">
        <v>1</v>
      </c>
      <c r="J443">
        <v>338.36</v>
      </c>
      <c r="K443">
        <v>148.17</v>
      </c>
      <c r="L443">
        <f>_xlfn.XLOOKUP(F443,Products!$A$2:$A$51,Products!$D$2:$D$51,0)</f>
        <v>338.36</v>
      </c>
      <c r="M443">
        <f t="shared" si="6"/>
        <v>190.19</v>
      </c>
    </row>
    <row r="444" spans="1:13">
      <c r="A444" t="s">
        <v>752</v>
      </c>
      <c r="B444" t="s">
        <v>159</v>
      </c>
      <c r="C444" t="str">
        <f>_xlfn.XLOOKUP(F444,Products!$A$2:$A$51,Products!$C$2:$C$51,0)</f>
        <v>Subscriptions</v>
      </c>
      <c r="D444" t="str">
        <f>_xlfn.XLOOKUP(F444,Products!$A$2:$A$51,Products!$B$2:$B$51,0)</f>
        <v>Espresso Lovers Quarterly Pack</v>
      </c>
      <c r="E444" t="str">
        <f>_xlfn.XLOOKUP(B444,customers!$A$2:$A$195,customers!$B$2:$B$195,,0)</f>
        <v>West</v>
      </c>
      <c r="F444">
        <v>1049</v>
      </c>
      <c r="G444" s="9">
        <f>_xlfn.XLOOKUP(B444,customers!$A$1:$A$195,customers!$C$1:$C$195)</f>
        <v>45153</v>
      </c>
      <c r="H444" s="13">
        <v>45905</v>
      </c>
      <c r="I444">
        <v>3</v>
      </c>
      <c r="J444">
        <v>224.61</v>
      </c>
      <c r="K444">
        <v>57.58</v>
      </c>
      <c r="L444">
        <f>_xlfn.XLOOKUP(F444,Products!$A$2:$A$51,Products!$D$2:$D$51,0)</f>
        <v>74.87</v>
      </c>
      <c r="M444">
        <f t="shared" si="6"/>
        <v>167.03</v>
      </c>
    </row>
    <row r="445" spans="1:13">
      <c r="A445" t="s">
        <v>753</v>
      </c>
      <c r="B445" t="s">
        <v>46</v>
      </c>
      <c r="C445" t="str">
        <f>_xlfn.XLOOKUP(F445,Products!$A$2:$A$51,Products!$C$2:$C$51,0)</f>
        <v>Merchandise</v>
      </c>
      <c r="D445" t="str">
        <f>_xlfn.XLOOKUP(F445,Products!$A$2:$A$51,Products!$B$2:$B$51,0)</f>
        <v>Daily Grind T-Shirt</v>
      </c>
      <c r="E445" t="str">
        <f>_xlfn.XLOOKUP(B445,customers!$A$2:$A$195,customers!$B$2:$B$195,,0)</f>
        <v>West</v>
      </c>
      <c r="F445">
        <v>1044</v>
      </c>
      <c r="G445" s="9">
        <f>_xlfn.XLOOKUP(B445,customers!$A$1:$A$195,customers!$C$1:$C$195)</f>
        <v>45069</v>
      </c>
      <c r="H445" s="13">
        <v>45935</v>
      </c>
      <c r="I445">
        <v>2</v>
      </c>
      <c r="J445">
        <v>42.74</v>
      </c>
      <c r="K445">
        <v>16.52</v>
      </c>
      <c r="L445">
        <f>_xlfn.XLOOKUP(F445,Products!$A$2:$A$51,Products!$D$2:$D$51,0)</f>
        <v>21.37</v>
      </c>
      <c r="M445">
        <f t="shared" si="6"/>
        <v>26.22</v>
      </c>
    </row>
    <row r="446" spans="1:13">
      <c r="A446" t="s">
        <v>754</v>
      </c>
      <c r="B446" t="s">
        <v>89</v>
      </c>
      <c r="C446" t="str">
        <f>_xlfn.XLOOKUP(F446,Products!$A$2:$A$51,Products!$C$2:$C$51,0)</f>
        <v>Accessories</v>
      </c>
      <c r="D446" t="str">
        <f>_xlfn.XLOOKUP(F446,Products!$A$2:$A$51,Products!$B$2:$B$51,0)</f>
        <v>Gooseneck Electric Kettle</v>
      </c>
      <c r="E446" t="str">
        <f>_xlfn.XLOOKUP(B446,customers!$A$2:$A$195,customers!$B$2:$B$195,,0)</f>
        <v>West</v>
      </c>
      <c r="F446">
        <v>1012</v>
      </c>
      <c r="G446" s="9">
        <f>_xlfn.XLOOKUP(B446,customers!$A$1:$A$195,customers!$C$1:$C$195)</f>
        <v>44947</v>
      </c>
      <c r="H446" s="13">
        <v>45966</v>
      </c>
      <c r="I446">
        <v>4</v>
      </c>
      <c r="J446">
        <v>139.48</v>
      </c>
      <c r="K446">
        <v>103.88</v>
      </c>
      <c r="L446">
        <f>_xlfn.XLOOKUP(F446,Products!$A$2:$A$51,Products!$D$2:$D$51,0)</f>
        <v>34.87</v>
      </c>
      <c r="M446">
        <f t="shared" si="6"/>
        <v>35.6</v>
      </c>
    </row>
    <row r="447" spans="1:13">
      <c r="A447" t="s">
        <v>755</v>
      </c>
      <c r="B447" t="s">
        <v>102</v>
      </c>
      <c r="C447" t="str">
        <f>_xlfn.XLOOKUP(F447,Products!$A$2:$A$51,Products!$C$2:$C$51,0)</f>
        <v>Consumables</v>
      </c>
      <c r="D447" t="str">
        <f>_xlfn.XLOOKUP(F447,Products!$A$2:$A$51,Products!$B$2:$B$51,0)</f>
        <v>Single-Origin Ethiopian (250g)</v>
      </c>
      <c r="E447" t="str">
        <f>_xlfn.XLOOKUP(B447,customers!$A$2:$A$195,customers!$B$2:$B$195,,0)</f>
        <v>East</v>
      </c>
      <c r="F447">
        <v>1001</v>
      </c>
      <c r="G447" s="9">
        <f>_xlfn.XLOOKUP(B447,customers!$A$1:$A$195,customers!$C$1:$C$195)</f>
        <v>45149</v>
      </c>
      <c r="H447" s="13">
        <v>45966</v>
      </c>
      <c r="I447">
        <v>4</v>
      </c>
      <c r="J447">
        <v>77.96</v>
      </c>
      <c r="K447">
        <v>50.82</v>
      </c>
      <c r="L447">
        <f>_xlfn.XLOOKUP(F447,Products!$A$2:$A$51,Products!$D$2:$D$51,0)</f>
        <v>19.49</v>
      </c>
      <c r="M447">
        <f t="shared" si="6"/>
        <v>27.14</v>
      </c>
    </row>
    <row r="448" spans="1:13">
      <c r="A448" t="s">
        <v>756</v>
      </c>
      <c r="B448" t="s">
        <v>109</v>
      </c>
      <c r="C448" t="str">
        <f>_xlfn.XLOOKUP(F448,Products!$A$2:$A$51,Products!$C$2:$C$51,0)</f>
        <v>Grinders &amp; Brewers</v>
      </c>
      <c r="D448" t="str">
        <f>_xlfn.XLOOKUP(F448,Products!$A$2:$A$51,Products!$B$2:$B$51,0)</f>
        <v>High-Capacity French Press</v>
      </c>
      <c r="E448" t="str">
        <f>_xlfn.XLOOKUP(B448,customers!$A$2:$A$195,customers!$B$2:$B$195,,0)</f>
        <v>North</v>
      </c>
      <c r="F448">
        <v>1009</v>
      </c>
      <c r="G448" s="9">
        <f>_xlfn.XLOOKUP(B448,customers!$A$1:$A$195,customers!$C$1:$C$195)</f>
        <v>45129</v>
      </c>
      <c r="H448" s="13">
        <v>45966</v>
      </c>
      <c r="I448">
        <v>4</v>
      </c>
      <c r="J448">
        <v>1353.44</v>
      </c>
      <c r="K448">
        <v>592.68</v>
      </c>
      <c r="L448">
        <f>_xlfn.XLOOKUP(F448,Products!$A$2:$A$51,Products!$D$2:$D$51,0)</f>
        <v>338.36</v>
      </c>
      <c r="M448">
        <f t="shared" si="6"/>
        <v>760.76</v>
      </c>
    </row>
    <row r="449" spans="1:13">
      <c r="A449" t="s">
        <v>757</v>
      </c>
      <c r="B449" t="s">
        <v>34</v>
      </c>
      <c r="C449" t="str">
        <f>_xlfn.XLOOKUP(F449,Products!$A$2:$A$51,Products!$C$2:$C$51,0)</f>
        <v>Grinders &amp; Brewers</v>
      </c>
      <c r="D449" t="str">
        <f>_xlfn.XLOOKUP(F449,Products!$A$2:$A$51,Products!$B$2:$B$51,0)</f>
        <v>Hand Grinder (Travel Size)</v>
      </c>
      <c r="E449" t="str">
        <f>_xlfn.XLOOKUP(B449,customers!$A$2:$A$195,customers!$B$2:$B$195,,0)</f>
        <v>West</v>
      </c>
      <c r="F449">
        <v>1032</v>
      </c>
      <c r="G449" s="9">
        <f>_xlfn.XLOOKUP(B449,customers!$A$1:$A$195,customers!$C$1:$C$195)</f>
        <v>45028</v>
      </c>
      <c r="H449" s="13">
        <v>45996</v>
      </c>
      <c r="I449">
        <v>2</v>
      </c>
      <c r="J449">
        <v>509.44</v>
      </c>
      <c r="K449">
        <v>260.57</v>
      </c>
      <c r="L449">
        <f>_xlfn.XLOOKUP(F449,Products!$A$2:$A$51,Products!$D$2:$D$51,0)</f>
        <v>254.72</v>
      </c>
      <c r="M449">
        <f t="shared" si="6"/>
        <v>248.87</v>
      </c>
    </row>
    <row r="450" spans="1:13">
      <c r="A450" t="s">
        <v>758</v>
      </c>
      <c r="B450" t="s">
        <v>145</v>
      </c>
      <c r="C450" t="str">
        <f>_xlfn.XLOOKUP(F450,Products!$A$2:$A$51,Products!$C$2:$C$51,0)</f>
        <v>Grinders &amp; Brewers</v>
      </c>
      <c r="D450" t="str">
        <f>_xlfn.XLOOKUP(F450,Products!$A$2:$A$51,Products!$B$2:$B$51,0)</f>
        <v>Automated Drip Brewer</v>
      </c>
      <c r="E450" t="str">
        <f>_xlfn.XLOOKUP(B450,customers!$A$2:$A$195,customers!$B$2:$B$195,,0)</f>
        <v>West</v>
      </c>
      <c r="F450">
        <v>1008</v>
      </c>
      <c r="G450" s="9">
        <f>_xlfn.XLOOKUP(B450,customers!$A$1:$A$195,customers!$C$1:$C$195)</f>
        <v>44982</v>
      </c>
      <c r="H450" s="13">
        <v>45996</v>
      </c>
      <c r="I450">
        <v>2</v>
      </c>
      <c r="J450">
        <v>471.52</v>
      </c>
      <c r="K450">
        <v>264.97</v>
      </c>
      <c r="L450">
        <f>_xlfn.XLOOKUP(F450,Products!$A$2:$A$51,Products!$D$2:$D$51,0)</f>
        <v>235.76</v>
      </c>
      <c r="M450">
        <f t="shared" si="6"/>
        <v>206.55</v>
      </c>
    </row>
    <row r="451" spans="1:13">
      <c r="A451" t="s">
        <v>759</v>
      </c>
      <c r="B451" t="s">
        <v>107</v>
      </c>
      <c r="C451" t="str">
        <f>_xlfn.XLOOKUP(F451,Products!$A$2:$A$51,Products!$C$2:$C$51,0)</f>
        <v>Merchandise</v>
      </c>
      <c r="D451" t="str">
        <f>_xlfn.XLOOKUP(F451,Products!$A$2:$A$51,Products!$B$2:$B$51,0)</f>
        <v>Insulated Travel Tumbler</v>
      </c>
      <c r="E451" t="str">
        <f>_xlfn.XLOOKUP(B451,customers!$A$2:$A$195,customers!$B$2:$B$195,,0)</f>
        <v>North</v>
      </c>
      <c r="F451">
        <v>1043</v>
      </c>
      <c r="G451" s="9">
        <f>_xlfn.XLOOKUP(B451,customers!$A$1:$A$195,customers!$C$1:$C$195)</f>
        <v>45039</v>
      </c>
      <c r="H451" s="13" t="s">
        <v>760</v>
      </c>
      <c r="I451">
        <v>2</v>
      </c>
      <c r="J451">
        <v>86.56</v>
      </c>
      <c r="K451">
        <v>41.65</v>
      </c>
      <c r="L451">
        <f>_xlfn.XLOOKUP(F451,Products!$A$2:$A$51,Products!$D$2:$D$51,0)</f>
        <v>43.28</v>
      </c>
      <c r="M451">
        <f t="shared" ref="M451:M514" si="7">J451-K451</f>
        <v>44.91</v>
      </c>
    </row>
    <row r="452" spans="1:13">
      <c r="A452" t="s">
        <v>761</v>
      </c>
      <c r="B452" t="s">
        <v>190</v>
      </c>
      <c r="C452" t="str">
        <f>_xlfn.XLOOKUP(F452,Products!$A$2:$A$51,Products!$C$2:$C$51,0)</f>
        <v>Merchandise</v>
      </c>
      <c r="D452" t="str">
        <f>_xlfn.XLOOKUP(F452,Products!$A$2:$A$51,Products!$B$2:$B$51,0)</f>
        <v>Daily Grind T-Shirt</v>
      </c>
      <c r="E452" t="str">
        <f>_xlfn.XLOOKUP(B452,customers!$A$2:$A$195,customers!$B$2:$B$195,,0)</f>
        <v>East</v>
      </c>
      <c r="F452">
        <v>1044</v>
      </c>
      <c r="G452" s="9">
        <f>_xlfn.XLOOKUP(B452,customers!$A$1:$A$195,customers!$C$1:$C$195)</f>
        <v>45043</v>
      </c>
      <c r="H452" s="13" t="s">
        <v>760</v>
      </c>
      <c r="I452">
        <v>2</v>
      </c>
      <c r="J452">
        <v>42.74</v>
      </c>
      <c r="K452">
        <v>16.52</v>
      </c>
      <c r="L452">
        <f>_xlfn.XLOOKUP(F452,Products!$A$2:$A$51,Products!$D$2:$D$51,0)</f>
        <v>21.37</v>
      </c>
      <c r="M452">
        <f t="shared" si="7"/>
        <v>26.22</v>
      </c>
    </row>
    <row r="453" spans="1:13">
      <c r="A453" t="s">
        <v>762</v>
      </c>
      <c r="B453" t="s">
        <v>14</v>
      </c>
      <c r="C453" t="str">
        <f>_xlfn.XLOOKUP(F453,Products!$A$2:$A$51,Products!$C$2:$C$51,0)</f>
        <v>Consumables</v>
      </c>
      <c r="D453" t="str">
        <f>_xlfn.XLOOKUP(F453,Products!$A$2:$A$51,Products!$B$2:$B$51,0)</f>
        <v>Decaf Blend (1kg)</v>
      </c>
      <c r="E453" t="str">
        <f>_xlfn.XLOOKUP(B453,customers!$A$2:$A$195,customers!$B$2:$B$195,,0)</f>
        <v>West</v>
      </c>
      <c r="F453">
        <v>1028</v>
      </c>
      <c r="G453" s="9">
        <f>_xlfn.XLOOKUP(B453,customers!$A$1:$A$195,customers!$C$1:$C$195)</f>
        <v>45134</v>
      </c>
      <c r="H453" s="13" t="s">
        <v>763</v>
      </c>
      <c r="I453">
        <v>2</v>
      </c>
      <c r="J453">
        <v>80.7</v>
      </c>
      <c r="K453">
        <v>25.72</v>
      </c>
      <c r="L453">
        <f>_xlfn.XLOOKUP(F453,Products!$A$2:$A$51,Products!$D$2:$D$51,0)</f>
        <v>40.35</v>
      </c>
      <c r="M453">
        <f t="shared" si="7"/>
        <v>54.98</v>
      </c>
    </row>
    <row r="454" spans="1:13">
      <c r="A454" t="s">
        <v>764</v>
      </c>
      <c r="B454" t="s">
        <v>86</v>
      </c>
      <c r="C454" t="str">
        <f>_xlfn.XLOOKUP(F454,Products!$A$2:$A$51,Products!$C$2:$C$51,0)</f>
        <v>Consumables</v>
      </c>
      <c r="D454" t="str">
        <f>_xlfn.XLOOKUP(F454,Products!$A$2:$A$51,Products!$B$2:$B$51,0)</f>
        <v>Cold Brew Concentrate</v>
      </c>
      <c r="E454" t="str">
        <f>_xlfn.XLOOKUP(B454,customers!$A$2:$A$195,customers!$B$2:$B$195,,0)</f>
        <v>North</v>
      </c>
      <c r="F454">
        <v>1029</v>
      </c>
      <c r="G454" s="9">
        <f>_xlfn.XLOOKUP(B454,customers!$A$1:$A$195,customers!$C$1:$C$195)</f>
        <v>45227</v>
      </c>
      <c r="H454" s="13" t="s">
        <v>763</v>
      </c>
      <c r="I454">
        <v>1</v>
      </c>
      <c r="J454">
        <v>23.49</v>
      </c>
      <c r="K454">
        <v>10.09</v>
      </c>
      <c r="L454">
        <f>_xlfn.XLOOKUP(F454,Products!$A$2:$A$51,Products!$D$2:$D$51,0)</f>
        <v>23.49</v>
      </c>
      <c r="M454">
        <f t="shared" si="7"/>
        <v>13.4</v>
      </c>
    </row>
    <row r="455" spans="1:13">
      <c r="A455" t="s">
        <v>765</v>
      </c>
      <c r="B455" t="s">
        <v>22</v>
      </c>
      <c r="C455" t="str">
        <f>_xlfn.XLOOKUP(F455,Products!$A$2:$A$51,Products!$C$2:$C$51,0)</f>
        <v>Subscriptions</v>
      </c>
      <c r="D455" t="str">
        <f>_xlfn.XLOOKUP(F455,Products!$A$2:$A$51,Products!$B$2:$B$51,0)</f>
        <v>Bi-Weekly Sampler Box</v>
      </c>
      <c r="E455" t="str">
        <f>_xlfn.XLOOKUP(B455,customers!$A$2:$A$195,customers!$B$2:$B$195,,0)</f>
        <v>West</v>
      </c>
      <c r="F455">
        <v>1022</v>
      </c>
      <c r="G455" s="9">
        <f>_xlfn.XLOOKUP(B455,customers!$A$1:$A$195,customers!$C$1:$C$195)</f>
        <v>45010</v>
      </c>
      <c r="H455" s="13" t="s">
        <v>766</v>
      </c>
      <c r="I455">
        <v>2</v>
      </c>
      <c r="J455">
        <v>177.54</v>
      </c>
      <c r="K455">
        <v>47.72</v>
      </c>
      <c r="L455">
        <f>_xlfn.XLOOKUP(F455,Products!$A$2:$A$51,Products!$D$2:$D$51,0)</f>
        <v>88.77</v>
      </c>
      <c r="M455">
        <f t="shared" si="7"/>
        <v>129.82</v>
      </c>
    </row>
    <row r="456" spans="1:13">
      <c r="A456" t="s">
        <v>767</v>
      </c>
      <c r="B456" t="s">
        <v>34</v>
      </c>
      <c r="C456" t="str">
        <f>_xlfn.XLOOKUP(F456,Products!$A$2:$A$51,Products!$C$2:$C$51,0)</f>
        <v>Grinders &amp; Brewers</v>
      </c>
      <c r="D456" t="str">
        <f>_xlfn.XLOOKUP(F456,Products!$A$2:$A$51,Products!$B$2:$B$51,0)</f>
        <v>Automated Drip Brewer</v>
      </c>
      <c r="E456" t="str">
        <f>_xlfn.XLOOKUP(B456,customers!$A$2:$A$195,customers!$B$2:$B$195,,0)</f>
        <v>West</v>
      </c>
      <c r="F456">
        <v>1008</v>
      </c>
      <c r="G456" s="9">
        <f>_xlfn.XLOOKUP(B456,customers!$A$1:$A$195,customers!$C$1:$C$195)</f>
        <v>45028</v>
      </c>
      <c r="H456" s="13" t="s">
        <v>766</v>
      </c>
      <c r="I456">
        <v>4</v>
      </c>
      <c r="J456">
        <v>943.04</v>
      </c>
      <c r="K456">
        <v>529.94</v>
      </c>
      <c r="L456">
        <f>_xlfn.XLOOKUP(F456,Products!$A$2:$A$51,Products!$D$2:$D$51,0)</f>
        <v>235.76</v>
      </c>
      <c r="M456">
        <f t="shared" si="7"/>
        <v>413.1</v>
      </c>
    </row>
    <row r="457" spans="1:13">
      <c r="A457" t="s">
        <v>768</v>
      </c>
      <c r="B457" t="s">
        <v>50</v>
      </c>
      <c r="C457" t="str">
        <f>_xlfn.XLOOKUP(F457,Products!$A$2:$A$51,Products!$C$2:$C$51,0)</f>
        <v>Subscriptions</v>
      </c>
      <c r="D457" t="str">
        <f>_xlfn.XLOOKUP(F457,Products!$A$2:$A$51,Products!$B$2:$B$51,0)</f>
        <v>Three-Month Gift Subscription</v>
      </c>
      <c r="E457" t="str">
        <f>_xlfn.XLOOKUP(B457,customers!$A$2:$A$195,customers!$B$2:$B$195,,0)</f>
        <v>West</v>
      </c>
      <c r="F457">
        <v>1023</v>
      </c>
      <c r="G457" s="9">
        <f>_xlfn.XLOOKUP(B457,customers!$A$1:$A$195,customers!$C$1:$C$195)</f>
        <v>44999</v>
      </c>
      <c r="H457" s="13" t="s">
        <v>766</v>
      </c>
      <c r="I457">
        <v>3</v>
      </c>
      <c r="J457">
        <v>195.63</v>
      </c>
      <c r="K457">
        <v>82.83</v>
      </c>
      <c r="L457">
        <f>_xlfn.XLOOKUP(F457,Products!$A$2:$A$51,Products!$D$2:$D$51,0)</f>
        <v>65.21</v>
      </c>
      <c r="M457">
        <f t="shared" si="7"/>
        <v>112.8</v>
      </c>
    </row>
    <row r="458" spans="1:13">
      <c r="A458" t="s">
        <v>769</v>
      </c>
      <c r="B458" t="s">
        <v>123</v>
      </c>
      <c r="C458" t="str">
        <f>_xlfn.XLOOKUP(F458,Products!$A$2:$A$51,Products!$C$2:$C$51,0)</f>
        <v>Subscriptions</v>
      </c>
      <c r="D458" t="str">
        <f>_xlfn.XLOOKUP(F458,Products!$A$2:$A$51,Products!$B$2:$B$51,0)</f>
        <v>Bi-Weekly Sampler Box</v>
      </c>
      <c r="E458" t="str">
        <f>_xlfn.XLOOKUP(B458,customers!$A$2:$A$195,customers!$B$2:$B$195,,0)</f>
        <v>East</v>
      </c>
      <c r="F458">
        <v>1022</v>
      </c>
      <c r="G458" s="9">
        <f>_xlfn.XLOOKUP(B458,customers!$A$1:$A$195,customers!$C$1:$C$195)</f>
        <v>45264</v>
      </c>
      <c r="H458" s="13" t="s">
        <v>766</v>
      </c>
      <c r="I458">
        <v>1</v>
      </c>
      <c r="J458">
        <v>88.77</v>
      </c>
      <c r="K458">
        <v>23.86</v>
      </c>
      <c r="L458">
        <f>_xlfn.XLOOKUP(F458,Products!$A$2:$A$51,Products!$D$2:$D$51,0)</f>
        <v>88.77</v>
      </c>
      <c r="M458">
        <f t="shared" si="7"/>
        <v>64.91</v>
      </c>
    </row>
    <row r="459" spans="1:13">
      <c r="A459" t="s">
        <v>770</v>
      </c>
      <c r="B459" t="s">
        <v>146</v>
      </c>
      <c r="C459" t="str">
        <f>_xlfn.XLOOKUP(F459,Products!$A$2:$A$51,Products!$C$2:$C$51,0)</f>
        <v>Consumables</v>
      </c>
      <c r="D459" t="str">
        <f>_xlfn.XLOOKUP(F459,Products!$A$2:$A$51,Products!$B$2:$B$51,0)</f>
        <v>Single-Origin Ethiopian (250g)</v>
      </c>
      <c r="E459" t="str">
        <f>_xlfn.XLOOKUP(B459,customers!$A$2:$A$195,customers!$B$2:$B$195,,0)</f>
        <v>East</v>
      </c>
      <c r="F459">
        <v>1026</v>
      </c>
      <c r="G459" s="9">
        <f>_xlfn.XLOOKUP(B459,customers!$A$1:$A$195,customers!$C$1:$C$195)</f>
        <v>44981</v>
      </c>
      <c r="H459" s="13" t="s">
        <v>766</v>
      </c>
      <c r="I459">
        <v>2</v>
      </c>
      <c r="J459">
        <v>38.98</v>
      </c>
      <c r="K459">
        <v>25.41</v>
      </c>
      <c r="L459">
        <f>_xlfn.XLOOKUP(F459,Products!$A$2:$A$51,Products!$D$2:$D$51,0)</f>
        <v>19.49</v>
      </c>
      <c r="M459">
        <f t="shared" si="7"/>
        <v>13.57</v>
      </c>
    </row>
    <row r="460" spans="1:13">
      <c r="A460" t="s">
        <v>771</v>
      </c>
      <c r="B460" t="s">
        <v>167</v>
      </c>
      <c r="C460" t="str">
        <f>_xlfn.XLOOKUP(F460,Products!$A$2:$A$51,Products!$C$2:$C$51,0)</f>
        <v>Accessories</v>
      </c>
      <c r="D460" t="str">
        <f>_xlfn.XLOOKUP(F460,Products!$A$2:$A$51,Products!$B$2:$B$51,0)</f>
        <v>Chemex Filters (100 pack)</v>
      </c>
      <c r="E460" t="str">
        <f>_xlfn.XLOOKUP(B460,customers!$A$2:$A$195,customers!$B$2:$B$195,,0)</f>
        <v>North</v>
      </c>
      <c r="F460">
        <v>1039</v>
      </c>
      <c r="G460" s="9">
        <f>_xlfn.XLOOKUP(B460,customers!$A$1:$A$195,customers!$C$1:$C$195)</f>
        <v>45168</v>
      </c>
      <c r="H460" s="13" t="s">
        <v>766</v>
      </c>
      <c r="I460">
        <v>2</v>
      </c>
      <c r="J460">
        <v>48.2</v>
      </c>
      <c r="K460">
        <v>42.42</v>
      </c>
      <c r="L460">
        <f>_xlfn.XLOOKUP(F460,Products!$A$2:$A$51,Products!$D$2:$D$51,0)</f>
        <v>24.1</v>
      </c>
      <c r="M460">
        <f t="shared" si="7"/>
        <v>5.78</v>
      </c>
    </row>
    <row r="461" spans="1:13">
      <c r="A461" t="s">
        <v>772</v>
      </c>
      <c r="B461" t="s">
        <v>195</v>
      </c>
      <c r="C461" t="str">
        <f>_xlfn.XLOOKUP(F461,Products!$A$2:$A$51,Products!$C$2:$C$51,0)</f>
        <v>Consumables</v>
      </c>
      <c r="D461" t="str">
        <f>_xlfn.XLOOKUP(F461,Products!$A$2:$A$51,Products!$B$2:$B$51,0)</f>
        <v>Seasonal Blend Light Roast</v>
      </c>
      <c r="E461" t="str">
        <f>_xlfn.XLOOKUP(B461,customers!$A$2:$A$195,customers!$B$2:$B$195,,0)</f>
        <v>West</v>
      </c>
      <c r="F461">
        <v>1027</v>
      </c>
      <c r="G461" s="9">
        <f>_xlfn.XLOOKUP(B461,customers!$A$1:$A$195,customers!$C$1:$C$195)</f>
        <v>44997</v>
      </c>
      <c r="H461" s="13" t="s">
        <v>766</v>
      </c>
      <c r="I461">
        <v>3</v>
      </c>
      <c r="J461">
        <v>106.59</v>
      </c>
      <c r="K461">
        <v>17.79</v>
      </c>
      <c r="L461">
        <f>_xlfn.XLOOKUP(F461,Products!$A$2:$A$51,Products!$D$2:$D$51,0)</f>
        <v>35.53</v>
      </c>
      <c r="M461">
        <f t="shared" si="7"/>
        <v>88.8</v>
      </c>
    </row>
    <row r="462" spans="1:13">
      <c r="A462" t="s">
        <v>773</v>
      </c>
      <c r="B462" t="s">
        <v>29</v>
      </c>
      <c r="C462" t="str">
        <f>_xlfn.XLOOKUP(F462,Products!$A$2:$A$51,Products!$C$2:$C$51,0)</f>
        <v>Grinders &amp; Brewers</v>
      </c>
      <c r="D462" t="str">
        <f>_xlfn.XLOOKUP(F462,Products!$A$2:$A$51,Products!$B$2:$B$51,0)</f>
        <v>High-Capacity French Press</v>
      </c>
      <c r="E462" t="str">
        <f>_xlfn.XLOOKUP(B462,customers!$A$2:$A$195,customers!$B$2:$B$195,,0)</f>
        <v>West</v>
      </c>
      <c r="F462">
        <v>1009</v>
      </c>
      <c r="G462" s="9">
        <f>_xlfn.XLOOKUP(B462,customers!$A$1:$A$195,customers!$C$1:$C$195)</f>
        <v>45207</v>
      </c>
      <c r="H462" s="13" t="s">
        <v>774</v>
      </c>
      <c r="I462">
        <v>4</v>
      </c>
      <c r="J462">
        <v>1353.44</v>
      </c>
      <c r="K462">
        <v>592.68</v>
      </c>
      <c r="L462">
        <f>_xlfn.XLOOKUP(F462,Products!$A$2:$A$51,Products!$D$2:$D$51,0)</f>
        <v>338.36</v>
      </c>
      <c r="M462">
        <f t="shared" si="7"/>
        <v>760.76</v>
      </c>
    </row>
    <row r="463" spans="1:13">
      <c r="A463" t="s">
        <v>775</v>
      </c>
      <c r="B463" t="s">
        <v>77</v>
      </c>
      <c r="C463" t="str">
        <f>_xlfn.XLOOKUP(F463,Products!$A$2:$A$51,Products!$C$2:$C$51,0)</f>
        <v>Consumables</v>
      </c>
      <c r="D463" t="str">
        <f>_xlfn.XLOOKUP(F463,Products!$A$2:$A$51,Products!$B$2:$B$51,0)</f>
        <v>Single-Origin Ethiopian (250g)</v>
      </c>
      <c r="E463" t="str">
        <f>_xlfn.XLOOKUP(B463,customers!$A$2:$A$195,customers!$B$2:$B$195,,0)</f>
        <v>West</v>
      </c>
      <c r="F463">
        <v>1026</v>
      </c>
      <c r="G463" s="9">
        <f>_xlfn.XLOOKUP(B463,customers!$A$1:$A$195,customers!$C$1:$C$195)</f>
        <v>44964</v>
      </c>
      <c r="H463" s="13" t="s">
        <v>774</v>
      </c>
      <c r="I463">
        <v>3</v>
      </c>
      <c r="J463">
        <v>58.47</v>
      </c>
      <c r="K463">
        <v>38.12</v>
      </c>
      <c r="L463">
        <f>_xlfn.XLOOKUP(F463,Products!$A$2:$A$51,Products!$D$2:$D$51,0)</f>
        <v>19.49</v>
      </c>
      <c r="M463">
        <f t="shared" si="7"/>
        <v>20.35</v>
      </c>
    </row>
    <row r="464" spans="1:13">
      <c r="A464" t="s">
        <v>776</v>
      </c>
      <c r="B464" t="s">
        <v>198</v>
      </c>
      <c r="C464" t="str">
        <f>_xlfn.XLOOKUP(F464,Products!$A$2:$A$51,Products!$C$2:$C$51,0)</f>
        <v>Grinders &amp; Brewers</v>
      </c>
      <c r="D464" t="str">
        <f>_xlfn.XLOOKUP(F464,Products!$A$2:$A$51,Products!$B$2:$B$51,0)</f>
        <v>Pour-Over Starter Kit</v>
      </c>
      <c r="E464" t="str">
        <f>_xlfn.XLOOKUP(B464,customers!$A$2:$A$195,customers!$B$2:$B$195,,0)</f>
        <v>East</v>
      </c>
      <c r="F464">
        <v>1010</v>
      </c>
      <c r="G464" s="9">
        <f>_xlfn.XLOOKUP(B464,customers!$A$1:$A$195,customers!$C$1:$C$195)</f>
        <v>45115</v>
      </c>
      <c r="H464" s="13" t="s">
        <v>777</v>
      </c>
      <c r="I464">
        <v>3</v>
      </c>
      <c r="J464">
        <v>315.69</v>
      </c>
      <c r="K464">
        <v>224.24</v>
      </c>
      <c r="L464">
        <f>_xlfn.XLOOKUP(F464,Products!$A$2:$A$51,Products!$D$2:$D$51,0)</f>
        <v>105.23</v>
      </c>
      <c r="M464">
        <f t="shared" si="7"/>
        <v>91.45</v>
      </c>
    </row>
    <row r="465" spans="1:13">
      <c r="A465" t="s">
        <v>778</v>
      </c>
      <c r="B465" t="s">
        <v>21</v>
      </c>
      <c r="C465" t="str">
        <f>_xlfn.XLOOKUP(F465,Products!$A$2:$A$51,Products!$C$2:$C$51,0)</f>
        <v>Subscriptions</v>
      </c>
      <c r="D465" t="str">
        <f>_xlfn.XLOOKUP(F465,Products!$A$2:$A$51,Products!$B$2:$B$51,0)</f>
        <v>Bi-Weekly Sampler Box</v>
      </c>
      <c r="E465" t="str">
        <f>_xlfn.XLOOKUP(B465,customers!$A$2:$A$195,customers!$B$2:$B$195,,0)</f>
        <v>East</v>
      </c>
      <c r="F465">
        <v>1047</v>
      </c>
      <c r="G465" s="9">
        <f>_xlfn.XLOOKUP(B465,customers!$A$1:$A$195,customers!$C$1:$C$195)</f>
        <v>45046</v>
      </c>
      <c r="H465" s="13" t="s">
        <v>779</v>
      </c>
      <c r="I465">
        <v>4</v>
      </c>
      <c r="J465">
        <v>355.08</v>
      </c>
      <c r="K465">
        <v>95.44</v>
      </c>
      <c r="L465">
        <f>_xlfn.XLOOKUP(F465,Products!$A$2:$A$51,Products!$D$2:$D$51,0)</f>
        <v>88.77</v>
      </c>
      <c r="M465">
        <f t="shared" si="7"/>
        <v>259.64</v>
      </c>
    </row>
    <row r="466" spans="1:13">
      <c r="A466" t="s">
        <v>780</v>
      </c>
      <c r="B466" t="s">
        <v>33</v>
      </c>
      <c r="C466" t="str">
        <f>_xlfn.XLOOKUP(F466,Products!$A$2:$A$51,Products!$C$2:$C$51,0)</f>
        <v>Grinders &amp; Brewers</v>
      </c>
      <c r="D466" t="str">
        <f>_xlfn.XLOOKUP(F466,Products!$A$2:$A$51,Products!$B$2:$B$51,0)</f>
        <v>Hand Grinder (Travel Size)</v>
      </c>
      <c r="E466" t="str">
        <f>_xlfn.XLOOKUP(B466,customers!$A$2:$A$195,customers!$B$2:$B$195,,0)</f>
        <v>West</v>
      </c>
      <c r="F466">
        <v>1007</v>
      </c>
      <c r="G466" s="9">
        <f>_xlfn.XLOOKUP(B466,customers!$A$1:$A$195,customers!$C$1:$C$195)</f>
        <v>44929</v>
      </c>
      <c r="H466" s="13" t="s">
        <v>779</v>
      </c>
      <c r="I466">
        <v>2</v>
      </c>
      <c r="J466">
        <v>509.44</v>
      </c>
      <c r="K466">
        <v>260.57</v>
      </c>
      <c r="L466">
        <f>_xlfn.XLOOKUP(F466,Products!$A$2:$A$51,Products!$D$2:$D$51,0)</f>
        <v>254.72</v>
      </c>
      <c r="M466">
        <f t="shared" si="7"/>
        <v>248.87</v>
      </c>
    </row>
    <row r="467" spans="1:13">
      <c r="A467" t="s">
        <v>781</v>
      </c>
      <c r="B467" t="s">
        <v>69</v>
      </c>
      <c r="C467" t="str">
        <f>_xlfn.XLOOKUP(F467,Products!$A$2:$A$51,Products!$C$2:$C$51,0)</f>
        <v>Grinders &amp; Brewers</v>
      </c>
      <c r="D467" t="str">
        <f>_xlfn.XLOOKUP(F467,Products!$A$2:$A$51,Products!$B$2:$B$51,0)</f>
        <v>Pour-Over Starter Kit</v>
      </c>
      <c r="E467" t="str">
        <f>_xlfn.XLOOKUP(B467,customers!$A$2:$A$195,customers!$B$2:$B$195,,0)</f>
        <v>East</v>
      </c>
      <c r="F467">
        <v>1010</v>
      </c>
      <c r="G467" s="9">
        <f>_xlfn.XLOOKUP(B467,customers!$A$1:$A$195,customers!$C$1:$C$195)</f>
        <v>44933</v>
      </c>
      <c r="H467" s="13" t="s">
        <v>779</v>
      </c>
      <c r="I467">
        <v>3</v>
      </c>
      <c r="J467">
        <v>315.69</v>
      </c>
      <c r="K467">
        <v>224.24</v>
      </c>
      <c r="L467">
        <f>_xlfn.XLOOKUP(F467,Products!$A$2:$A$51,Products!$D$2:$D$51,0)</f>
        <v>105.23</v>
      </c>
      <c r="M467">
        <f t="shared" si="7"/>
        <v>91.45</v>
      </c>
    </row>
    <row r="468" spans="1:13">
      <c r="A468" t="s">
        <v>782</v>
      </c>
      <c r="B468" t="s">
        <v>152</v>
      </c>
      <c r="C468" t="str">
        <f>_xlfn.XLOOKUP(F468,Products!$A$2:$A$51,Products!$C$2:$C$51,0)</f>
        <v>Accessories</v>
      </c>
      <c r="D468" t="str">
        <f>_xlfn.XLOOKUP(F468,Products!$A$2:$A$51,Products!$B$2:$B$51,0)</f>
        <v>Refillable Coffee Pods</v>
      </c>
      <c r="E468" t="str">
        <f>_xlfn.XLOOKUP(B468,customers!$A$2:$A$195,customers!$B$2:$B$195,,0)</f>
        <v>East</v>
      </c>
      <c r="F468">
        <v>1015</v>
      </c>
      <c r="G468" s="9">
        <f>_xlfn.XLOOKUP(B468,customers!$A$1:$A$195,customers!$C$1:$C$195)</f>
        <v>44949</v>
      </c>
      <c r="H468" s="13" t="s">
        <v>779</v>
      </c>
      <c r="I468">
        <v>1</v>
      </c>
      <c r="J468">
        <v>24.13</v>
      </c>
      <c r="K468">
        <v>9.3</v>
      </c>
      <c r="L468">
        <f>_xlfn.XLOOKUP(F468,Products!$A$2:$A$51,Products!$D$2:$D$51,0)</f>
        <v>24.13</v>
      </c>
      <c r="M468">
        <f t="shared" si="7"/>
        <v>14.83</v>
      </c>
    </row>
    <row r="469" spans="1:13">
      <c r="A469" t="s">
        <v>783</v>
      </c>
      <c r="B469" t="s">
        <v>181</v>
      </c>
      <c r="C469" t="str">
        <f>_xlfn.XLOOKUP(F469,Products!$A$2:$A$51,Products!$C$2:$C$51,0)</f>
        <v>Consumables</v>
      </c>
      <c r="D469" t="str">
        <f>_xlfn.XLOOKUP(F469,Products!$A$2:$A$51,Products!$B$2:$B$51,0)</f>
        <v>Seasonal Blend Light Roast</v>
      </c>
      <c r="E469" t="str">
        <f>_xlfn.XLOOKUP(B469,customers!$A$2:$A$195,customers!$B$2:$B$195,,0)</f>
        <v>East</v>
      </c>
      <c r="F469">
        <v>1002</v>
      </c>
      <c r="G469" s="9">
        <f>_xlfn.XLOOKUP(B469,customers!$A$1:$A$195,customers!$C$1:$C$195)</f>
        <v>45125</v>
      </c>
      <c r="H469" s="13" t="s">
        <v>779</v>
      </c>
      <c r="I469">
        <v>2</v>
      </c>
      <c r="J469">
        <v>71.06</v>
      </c>
      <c r="K469">
        <v>11.86</v>
      </c>
      <c r="L469">
        <f>_xlfn.XLOOKUP(F469,Products!$A$2:$A$51,Products!$D$2:$D$51,0)</f>
        <v>35.53</v>
      </c>
      <c r="M469">
        <f t="shared" si="7"/>
        <v>59.2</v>
      </c>
    </row>
    <row r="470" spans="1:13">
      <c r="A470" t="s">
        <v>784</v>
      </c>
      <c r="B470" t="s">
        <v>113</v>
      </c>
      <c r="C470" t="str">
        <f>_xlfn.XLOOKUP(F470,Products!$A$2:$A$51,Products!$C$2:$C$51,0)</f>
        <v>Accessories</v>
      </c>
      <c r="D470" t="str">
        <f>_xlfn.XLOOKUP(F470,Products!$A$2:$A$51,Products!$B$2:$B$51,0)</f>
        <v>Gooseneck Electric Kettle</v>
      </c>
      <c r="E470" t="str">
        <f>_xlfn.XLOOKUP(B470,customers!$A$2:$A$195,customers!$B$2:$B$195,,0)</f>
        <v>North</v>
      </c>
      <c r="F470">
        <v>1012</v>
      </c>
      <c r="G470" s="9">
        <f>_xlfn.XLOOKUP(B470,customers!$A$1:$A$195,customers!$C$1:$C$195)</f>
        <v>45206</v>
      </c>
      <c r="H470" s="13" t="s">
        <v>785</v>
      </c>
      <c r="I470">
        <v>3</v>
      </c>
      <c r="J470">
        <v>104.61</v>
      </c>
      <c r="K470">
        <v>77.91</v>
      </c>
      <c r="L470">
        <f>_xlfn.XLOOKUP(F470,Products!$A$2:$A$51,Products!$D$2:$D$51,0)</f>
        <v>34.87</v>
      </c>
      <c r="M470">
        <f t="shared" si="7"/>
        <v>26.7</v>
      </c>
    </row>
    <row r="471" spans="1:13">
      <c r="A471" t="s">
        <v>786</v>
      </c>
      <c r="B471" t="s">
        <v>122</v>
      </c>
      <c r="C471" t="str">
        <f>_xlfn.XLOOKUP(F471,Products!$A$2:$A$51,Products!$C$2:$C$51,0)</f>
        <v>Grinders &amp; Brewers</v>
      </c>
      <c r="D471" t="str">
        <f>_xlfn.XLOOKUP(F471,Products!$A$2:$A$51,Products!$B$2:$B$51,0)</f>
        <v>Precision Electric Grinder</v>
      </c>
      <c r="E471" t="str">
        <f>_xlfn.XLOOKUP(B471,customers!$A$2:$A$195,customers!$B$2:$B$195,,0)</f>
        <v>North</v>
      </c>
      <c r="F471">
        <v>1031</v>
      </c>
      <c r="G471" s="9">
        <f>_xlfn.XLOOKUP(B471,customers!$A$1:$A$195,customers!$C$1:$C$195)</f>
        <v>45015</v>
      </c>
      <c r="H471" s="13" t="s">
        <v>785</v>
      </c>
      <c r="I471">
        <v>2</v>
      </c>
      <c r="J471">
        <v>464.4</v>
      </c>
      <c r="K471">
        <v>156.77</v>
      </c>
      <c r="L471">
        <f>_xlfn.XLOOKUP(F471,Products!$A$2:$A$51,Products!$D$2:$D$51,0)</f>
        <v>232.2</v>
      </c>
      <c r="M471">
        <f t="shared" si="7"/>
        <v>307.63</v>
      </c>
    </row>
    <row r="472" spans="1:13">
      <c r="A472" t="s">
        <v>787</v>
      </c>
      <c r="B472" t="s">
        <v>144</v>
      </c>
      <c r="C472" t="str">
        <f>_xlfn.XLOOKUP(F472,Products!$A$2:$A$51,Products!$C$2:$C$51,0)</f>
        <v>Accessories</v>
      </c>
      <c r="D472" t="str">
        <f>_xlfn.XLOOKUP(F472,Products!$A$2:$A$51,Products!$B$2:$B$51,0)</f>
        <v>Chemex Filters (100 pack)</v>
      </c>
      <c r="E472" t="str">
        <f>_xlfn.XLOOKUP(B472,customers!$A$2:$A$195,customers!$B$2:$B$195,,0)</f>
        <v>South</v>
      </c>
      <c r="F472">
        <v>1014</v>
      </c>
      <c r="G472" s="9">
        <f>_xlfn.XLOOKUP(B472,customers!$A$1:$A$195,customers!$C$1:$C$195)</f>
        <v>45085</v>
      </c>
      <c r="H472" s="13" t="s">
        <v>785</v>
      </c>
      <c r="I472">
        <v>3</v>
      </c>
      <c r="J472">
        <v>72.3</v>
      </c>
      <c r="K472">
        <v>63.62</v>
      </c>
      <c r="L472">
        <f>_xlfn.XLOOKUP(F472,Products!$A$2:$A$51,Products!$D$2:$D$51,0)</f>
        <v>24.1</v>
      </c>
      <c r="M472">
        <f t="shared" si="7"/>
        <v>8.68</v>
      </c>
    </row>
    <row r="473" spans="1:13">
      <c r="A473" t="s">
        <v>788</v>
      </c>
      <c r="B473" t="s">
        <v>195</v>
      </c>
      <c r="C473" t="str">
        <f>_xlfn.XLOOKUP(F473,Products!$A$2:$A$51,Products!$C$2:$C$51,0)</f>
        <v>Consumables</v>
      </c>
      <c r="D473" t="str">
        <f>_xlfn.XLOOKUP(F473,Products!$A$2:$A$51,Products!$B$2:$B$51,0)</f>
        <v>Decaf Blend (1kg)</v>
      </c>
      <c r="E473" t="str">
        <f>_xlfn.XLOOKUP(B473,customers!$A$2:$A$195,customers!$B$2:$B$195,,0)</f>
        <v>West</v>
      </c>
      <c r="F473">
        <v>1003</v>
      </c>
      <c r="G473" s="9">
        <f>_xlfn.XLOOKUP(B473,customers!$A$1:$A$195,customers!$C$1:$C$195)</f>
        <v>44997</v>
      </c>
      <c r="H473" s="13" t="s">
        <v>785</v>
      </c>
      <c r="I473">
        <v>3</v>
      </c>
      <c r="J473">
        <v>121.05</v>
      </c>
      <c r="K473">
        <v>38.58</v>
      </c>
      <c r="L473">
        <f>_xlfn.XLOOKUP(F473,Products!$A$2:$A$51,Products!$D$2:$D$51,0)</f>
        <v>40.35</v>
      </c>
      <c r="M473">
        <f t="shared" si="7"/>
        <v>82.47</v>
      </c>
    </row>
    <row r="474" spans="1:13">
      <c r="A474" t="s">
        <v>789</v>
      </c>
      <c r="B474" t="s">
        <v>65</v>
      </c>
      <c r="C474" t="str">
        <f>_xlfn.XLOOKUP(F474,Products!$A$2:$A$51,Products!$C$2:$C$51,0)</f>
        <v>Accessories</v>
      </c>
      <c r="D474" t="str">
        <f>_xlfn.XLOOKUP(F474,Products!$A$2:$A$51,Products!$B$2:$B$51,0)</f>
        <v>Gooseneck Electric Kettle</v>
      </c>
      <c r="E474" t="str">
        <f>_xlfn.XLOOKUP(B474,customers!$A$2:$A$195,customers!$B$2:$B$195,,0)</f>
        <v>West</v>
      </c>
      <c r="F474">
        <v>1037</v>
      </c>
      <c r="G474" s="9">
        <f>_xlfn.XLOOKUP(B474,customers!$A$1:$A$195,customers!$C$1:$C$195)</f>
        <v>44939</v>
      </c>
      <c r="H474" s="13" t="s">
        <v>790</v>
      </c>
      <c r="I474">
        <v>4</v>
      </c>
      <c r="J474">
        <v>139.48</v>
      </c>
      <c r="K474">
        <v>103.88</v>
      </c>
      <c r="L474">
        <f>_xlfn.XLOOKUP(F474,Products!$A$2:$A$51,Products!$D$2:$D$51,0)</f>
        <v>34.87</v>
      </c>
      <c r="M474">
        <f t="shared" si="7"/>
        <v>35.6</v>
      </c>
    </row>
    <row r="475" spans="1:13">
      <c r="A475" t="s">
        <v>791</v>
      </c>
      <c r="B475" t="s">
        <v>85</v>
      </c>
      <c r="C475" t="str">
        <f>_xlfn.XLOOKUP(F475,Products!$A$2:$A$51,Products!$C$2:$C$51,0)</f>
        <v>Subscriptions</v>
      </c>
      <c r="D475" t="str">
        <f>_xlfn.XLOOKUP(F475,Products!$A$2:$A$51,Products!$B$2:$B$51,0)</f>
        <v>Three-Month Gift Subscription</v>
      </c>
      <c r="E475" t="str">
        <f>_xlfn.XLOOKUP(B475,customers!$A$2:$A$195,customers!$B$2:$B$195,,0)</f>
        <v>North</v>
      </c>
      <c r="F475">
        <v>1048</v>
      </c>
      <c r="G475" s="9">
        <f>_xlfn.XLOOKUP(B475,customers!$A$1:$A$195,customers!$C$1:$C$195)</f>
        <v>45181</v>
      </c>
      <c r="H475" s="13" t="s">
        <v>790</v>
      </c>
      <c r="I475">
        <v>4</v>
      </c>
      <c r="J475">
        <v>260.84</v>
      </c>
      <c r="K475">
        <v>110.44</v>
      </c>
      <c r="L475">
        <f>_xlfn.XLOOKUP(F475,Products!$A$2:$A$51,Products!$D$2:$D$51,0)</f>
        <v>65.21</v>
      </c>
      <c r="M475">
        <f t="shared" si="7"/>
        <v>150.4</v>
      </c>
    </row>
    <row r="476" spans="1:13">
      <c r="A476" t="s">
        <v>792</v>
      </c>
      <c r="B476" t="s">
        <v>3</v>
      </c>
      <c r="C476" t="str">
        <f>_xlfn.XLOOKUP(F476,Products!$A$2:$A$51,Products!$C$2:$C$51,0)</f>
        <v>Accessories</v>
      </c>
      <c r="D476" t="str">
        <f>_xlfn.XLOOKUP(F476,Products!$A$2:$A$51,Products!$B$2:$B$51,0)</f>
        <v>Airtight Storage Container</v>
      </c>
      <c r="E476" t="str">
        <f>_xlfn.XLOOKUP(B476,customers!$A$2:$A$195,customers!$B$2:$B$195,,0)</f>
        <v>East</v>
      </c>
      <c r="F476">
        <v>1038</v>
      </c>
      <c r="G476" s="9">
        <f>_xlfn.XLOOKUP(B476,customers!$A$1:$A$195,customers!$C$1:$C$195)</f>
        <v>45141</v>
      </c>
      <c r="H476" s="13" t="s">
        <v>793</v>
      </c>
      <c r="I476">
        <v>3</v>
      </c>
      <c r="J476">
        <v>183.12</v>
      </c>
      <c r="K476">
        <v>77.12</v>
      </c>
      <c r="L476">
        <f>_xlfn.XLOOKUP(F476,Products!$A$2:$A$51,Products!$D$2:$D$51,0)</f>
        <v>61.04</v>
      </c>
      <c r="M476">
        <f t="shared" si="7"/>
        <v>106</v>
      </c>
    </row>
    <row r="477" spans="1:13">
      <c r="A477" t="s">
        <v>794</v>
      </c>
      <c r="B477" t="s">
        <v>23</v>
      </c>
      <c r="C477" t="str">
        <f>_xlfn.XLOOKUP(F477,Products!$A$2:$A$51,Products!$C$2:$C$51,0)</f>
        <v>Grinders &amp; Brewers</v>
      </c>
      <c r="D477" t="str">
        <f>_xlfn.XLOOKUP(F477,Products!$A$2:$A$51,Products!$B$2:$B$51,0)</f>
        <v>Pour-Over Starter Kit</v>
      </c>
      <c r="E477" t="str">
        <f>_xlfn.XLOOKUP(B477,customers!$A$2:$A$195,customers!$B$2:$B$195,,0)</f>
        <v>West</v>
      </c>
      <c r="F477">
        <v>1010</v>
      </c>
      <c r="G477" s="9">
        <f>_xlfn.XLOOKUP(B477,customers!$A$1:$A$195,customers!$C$1:$C$195)</f>
        <v>45222</v>
      </c>
      <c r="H477" s="13" t="s">
        <v>793</v>
      </c>
      <c r="I477">
        <v>2</v>
      </c>
      <c r="J477">
        <v>210.46</v>
      </c>
      <c r="K477">
        <v>149.49</v>
      </c>
      <c r="L477">
        <f>_xlfn.XLOOKUP(F477,Products!$A$2:$A$51,Products!$D$2:$D$51,0)</f>
        <v>105.23</v>
      </c>
      <c r="M477">
        <f t="shared" si="7"/>
        <v>60.97</v>
      </c>
    </row>
    <row r="478" spans="1:13">
      <c r="A478" t="s">
        <v>795</v>
      </c>
      <c r="B478" t="s">
        <v>41</v>
      </c>
      <c r="C478" t="str">
        <f>_xlfn.XLOOKUP(F478,Products!$A$2:$A$51,Products!$C$2:$C$51,0)</f>
        <v>Subscriptions</v>
      </c>
      <c r="D478" t="str">
        <f>_xlfn.XLOOKUP(F478,Products!$A$2:$A$51,Products!$B$2:$B$51,0)</f>
        <v>Monthly Dark Roast Subscription</v>
      </c>
      <c r="E478" t="str">
        <f>_xlfn.XLOOKUP(B478,customers!$A$2:$A$195,customers!$B$2:$B$195,,0)</f>
        <v>West</v>
      </c>
      <c r="F478">
        <v>1021</v>
      </c>
      <c r="G478" s="9">
        <f>_xlfn.XLOOKUP(B478,customers!$A$1:$A$195,customers!$C$1:$C$195)</f>
        <v>44960</v>
      </c>
      <c r="H478" s="13" t="s">
        <v>793</v>
      </c>
      <c r="I478">
        <v>1</v>
      </c>
      <c r="J478">
        <v>61.26</v>
      </c>
      <c r="K478">
        <v>35.15</v>
      </c>
      <c r="L478">
        <f>_xlfn.XLOOKUP(F478,Products!$A$2:$A$51,Products!$D$2:$D$51,0)</f>
        <v>61.26</v>
      </c>
      <c r="M478">
        <f t="shared" si="7"/>
        <v>26.11</v>
      </c>
    </row>
    <row r="479" spans="1:13">
      <c r="A479" t="s">
        <v>796</v>
      </c>
      <c r="B479" t="s">
        <v>77</v>
      </c>
      <c r="C479" t="str">
        <f>_xlfn.XLOOKUP(F479,Products!$A$2:$A$51,Products!$C$2:$C$51,0)</f>
        <v>Consumables</v>
      </c>
      <c r="D479" t="str">
        <f>_xlfn.XLOOKUP(F479,Products!$A$2:$A$51,Products!$B$2:$B$51,0)</f>
        <v>Seasonal Blend Light Roast</v>
      </c>
      <c r="E479" t="str">
        <f>_xlfn.XLOOKUP(B479,customers!$A$2:$A$195,customers!$B$2:$B$195,,0)</f>
        <v>West</v>
      </c>
      <c r="F479">
        <v>1027</v>
      </c>
      <c r="G479" s="9">
        <f>_xlfn.XLOOKUP(B479,customers!$A$1:$A$195,customers!$C$1:$C$195)</f>
        <v>44964</v>
      </c>
      <c r="H479" s="13" t="s">
        <v>793</v>
      </c>
      <c r="I479">
        <v>3</v>
      </c>
      <c r="J479">
        <v>106.59</v>
      </c>
      <c r="K479">
        <v>17.79</v>
      </c>
      <c r="L479">
        <f>_xlfn.XLOOKUP(F479,Products!$A$2:$A$51,Products!$D$2:$D$51,0)</f>
        <v>35.53</v>
      </c>
      <c r="M479">
        <f t="shared" si="7"/>
        <v>88.8</v>
      </c>
    </row>
    <row r="480" spans="1:13">
      <c r="A480" t="s">
        <v>797</v>
      </c>
      <c r="B480" t="s">
        <v>192</v>
      </c>
      <c r="C480" t="str">
        <f>_xlfn.XLOOKUP(F480,Products!$A$2:$A$51,Products!$C$2:$C$51,0)</f>
        <v>Accessories</v>
      </c>
      <c r="D480" t="str">
        <f>_xlfn.XLOOKUP(F480,Products!$A$2:$A$51,Products!$B$2:$B$51,0)</f>
        <v>Digital Coffee Scale</v>
      </c>
      <c r="E480" t="str">
        <f>_xlfn.XLOOKUP(B480,customers!$A$2:$A$195,customers!$B$2:$B$195,,0)</f>
        <v>North</v>
      </c>
      <c r="F480">
        <v>1036</v>
      </c>
      <c r="G480" s="9">
        <f>_xlfn.XLOOKUP(B480,customers!$A$1:$A$195,customers!$C$1:$C$195)</f>
        <v>45234</v>
      </c>
      <c r="H480" s="13" t="s">
        <v>793</v>
      </c>
      <c r="I480">
        <v>3</v>
      </c>
      <c r="J480">
        <v>80.49</v>
      </c>
      <c r="K480">
        <v>43.96</v>
      </c>
      <c r="L480">
        <f>_xlfn.XLOOKUP(F480,Products!$A$2:$A$51,Products!$D$2:$D$51,0)</f>
        <v>26.83</v>
      </c>
      <c r="M480">
        <f t="shared" si="7"/>
        <v>36.53</v>
      </c>
    </row>
    <row r="481" spans="1:13">
      <c r="A481" t="s">
        <v>798</v>
      </c>
      <c r="B481" t="s">
        <v>22</v>
      </c>
      <c r="C481" t="str">
        <f>_xlfn.XLOOKUP(F481,Products!$A$2:$A$51,Products!$C$2:$C$51,0)</f>
        <v>Grinders &amp; Brewers</v>
      </c>
      <c r="D481" t="str">
        <f>_xlfn.XLOOKUP(F481,Products!$A$2:$A$51,Products!$B$2:$B$51,0)</f>
        <v>Precision Electric Grinder</v>
      </c>
      <c r="E481" t="str">
        <f>_xlfn.XLOOKUP(B481,customers!$A$2:$A$195,customers!$B$2:$B$195,,0)</f>
        <v>West</v>
      </c>
      <c r="F481">
        <v>1031</v>
      </c>
      <c r="G481" s="9">
        <f>_xlfn.XLOOKUP(B481,customers!$A$1:$A$195,customers!$C$1:$C$195)</f>
        <v>45010</v>
      </c>
      <c r="H481" s="13" t="s">
        <v>799</v>
      </c>
      <c r="I481">
        <v>2</v>
      </c>
      <c r="J481">
        <v>464.4</v>
      </c>
      <c r="K481">
        <v>156.77</v>
      </c>
      <c r="L481">
        <f>_xlfn.XLOOKUP(F481,Products!$A$2:$A$51,Products!$D$2:$D$51,0)</f>
        <v>232.2</v>
      </c>
      <c r="M481">
        <f t="shared" si="7"/>
        <v>307.63</v>
      </c>
    </row>
    <row r="482" spans="1:13">
      <c r="A482" t="s">
        <v>800</v>
      </c>
      <c r="B482" t="s">
        <v>43</v>
      </c>
      <c r="C482" t="str">
        <f>_xlfn.XLOOKUP(F482,Products!$A$2:$A$51,Products!$C$2:$C$51,0)</f>
        <v>Subscriptions</v>
      </c>
      <c r="D482" t="str">
        <f>_xlfn.XLOOKUP(F482,Products!$A$2:$A$51,Products!$B$2:$B$51,0)</f>
        <v>Bi-Weekly Sampler Box</v>
      </c>
      <c r="E482" t="str">
        <f>_xlfn.XLOOKUP(B482,customers!$A$2:$A$195,customers!$B$2:$B$195,,0)</f>
        <v>West</v>
      </c>
      <c r="F482">
        <v>1047</v>
      </c>
      <c r="G482" s="9">
        <f>_xlfn.XLOOKUP(B482,customers!$A$1:$A$195,customers!$C$1:$C$195)</f>
        <v>45197</v>
      </c>
      <c r="H482" s="13" t="s">
        <v>801</v>
      </c>
      <c r="I482">
        <v>4</v>
      </c>
      <c r="J482">
        <v>355.08</v>
      </c>
      <c r="K482">
        <v>95.44</v>
      </c>
      <c r="L482">
        <f>_xlfn.XLOOKUP(F482,Products!$A$2:$A$51,Products!$D$2:$D$51,0)</f>
        <v>88.77</v>
      </c>
      <c r="M482">
        <f t="shared" si="7"/>
        <v>259.64</v>
      </c>
    </row>
    <row r="483" spans="1:13">
      <c r="A483" t="s">
        <v>802</v>
      </c>
      <c r="B483" t="s">
        <v>57</v>
      </c>
      <c r="C483" t="str">
        <f>_xlfn.XLOOKUP(F483,Products!$A$2:$A$51,Products!$C$2:$C$51,0)</f>
        <v>Consumables</v>
      </c>
      <c r="D483" t="str">
        <f>_xlfn.XLOOKUP(F483,Products!$A$2:$A$51,Products!$B$2:$B$51,0)</f>
        <v>Decaf Blend (1kg)</v>
      </c>
      <c r="E483" t="str">
        <f>_xlfn.XLOOKUP(B483,customers!$A$2:$A$195,customers!$B$2:$B$195,,0)</f>
        <v>North</v>
      </c>
      <c r="F483">
        <v>1003</v>
      </c>
      <c r="G483" s="9">
        <f>_xlfn.XLOOKUP(B483,customers!$A$1:$A$195,customers!$C$1:$C$195)</f>
        <v>44933</v>
      </c>
      <c r="H483" s="13" t="s">
        <v>801</v>
      </c>
      <c r="I483">
        <v>3</v>
      </c>
      <c r="J483">
        <v>121.05</v>
      </c>
      <c r="K483">
        <v>38.58</v>
      </c>
      <c r="L483">
        <f>_xlfn.XLOOKUP(F483,Products!$A$2:$A$51,Products!$D$2:$D$51,0)</f>
        <v>40.35</v>
      </c>
      <c r="M483">
        <f t="shared" si="7"/>
        <v>82.47</v>
      </c>
    </row>
    <row r="484" spans="1:13">
      <c r="A484" t="s">
        <v>803</v>
      </c>
      <c r="B484" t="s">
        <v>67</v>
      </c>
      <c r="C484" t="str">
        <f>_xlfn.XLOOKUP(F484,Products!$A$2:$A$51,Products!$C$2:$C$51,0)</f>
        <v>Accessories</v>
      </c>
      <c r="D484" t="str">
        <f>_xlfn.XLOOKUP(F484,Products!$A$2:$A$51,Products!$B$2:$B$51,0)</f>
        <v>Gooseneck Electric Kettle</v>
      </c>
      <c r="E484" t="str">
        <f>_xlfn.XLOOKUP(B484,customers!$A$2:$A$195,customers!$B$2:$B$195,,0)</f>
        <v>East</v>
      </c>
      <c r="F484">
        <v>1012</v>
      </c>
      <c r="G484" s="9">
        <f>_xlfn.XLOOKUP(B484,customers!$A$1:$A$195,customers!$C$1:$C$195)</f>
        <v>45272</v>
      </c>
      <c r="H484" s="13" t="s">
        <v>804</v>
      </c>
      <c r="I484">
        <v>2</v>
      </c>
      <c r="J484">
        <v>69.74</v>
      </c>
      <c r="K484">
        <v>51.94</v>
      </c>
      <c r="L484">
        <f>_xlfn.XLOOKUP(F484,Products!$A$2:$A$51,Products!$D$2:$D$51,0)</f>
        <v>34.87</v>
      </c>
      <c r="M484">
        <f t="shared" si="7"/>
        <v>17.8</v>
      </c>
    </row>
    <row r="485" spans="1:13">
      <c r="A485" t="s">
        <v>805</v>
      </c>
      <c r="B485" t="s">
        <v>135</v>
      </c>
      <c r="C485" t="str">
        <f>_xlfn.XLOOKUP(F485,Products!$A$2:$A$51,Products!$C$2:$C$51,0)</f>
        <v>Consumables</v>
      </c>
      <c r="D485" t="str">
        <f>_xlfn.XLOOKUP(F485,Products!$A$2:$A$51,Products!$B$2:$B$51,0)</f>
        <v>Single-Origin Ethiopian (250g)</v>
      </c>
      <c r="E485" t="str">
        <f>_xlfn.XLOOKUP(B485,customers!$A$2:$A$195,customers!$B$2:$B$195,,0)</f>
        <v>East</v>
      </c>
      <c r="F485">
        <v>1026</v>
      </c>
      <c r="G485" s="9">
        <f>_xlfn.XLOOKUP(B485,customers!$A$1:$A$195,customers!$C$1:$C$195)</f>
        <v>45286</v>
      </c>
      <c r="H485" s="13" t="s">
        <v>804</v>
      </c>
      <c r="I485">
        <v>3</v>
      </c>
      <c r="J485">
        <v>58.47</v>
      </c>
      <c r="K485">
        <v>38.12</v>
      </c>
      <c r="L485">
        <f>_xlfn.XLOOKUP(F485,Products!$A$2:$A$51,Products!$D$2:$D$51,0)</f>
        <v>19.49</v>
      </c>
      <c r="M485">
        <f t="shared" si="7"/>
        <v>20.35</v>
      </c>
    </row>
    <row r="486" spans="1:13">
      <c r="A486" t="s">
        <v>806</v>
      </c>
      <c r="B486" t="s">
        <v>13</v>
      </c>
      <c r="C486" t="str">
        <f>_xlfn.XLOOKUP(F486,Products!$A$2:$A$51,Products!$C$2:$C$51,0)</f>
        <v>Consumables</v>
      </c>
      <c r="D486" t="str">
        <f>_xlfn.XLOOKUP(F486,Products!$A$2:$A$51,Products!$B$2:$B$51,0)</f>
        <v>Seasonal Blend Light Roast</v>
      </c>
      <c r="E486" t="str">
        <f>_xlfn.XLOOKUP(B486,customers!$A$2:$A$195,customers!$B$2:$B$195,,0)</f>
        <v>East</v>
      </c>
      <c r="F486">
        <v>1027</v>
      </c>
      <c r="G486" s="9">
        <f>_xlfn.XLOOKUP(B486,customers!$A$1:$A$195,customers!$C$1:$C$195)</f>
        <v>45214</v>
      </c>
      <c r="H486" s="13" t="s">
        <v>807</v>
      </c>
      <c r="I486">
        <v>4</v>
      </c>
      <c r="J486">
        <v>142.12</v>
      </c>
      <c r="K486">
        <v>23.72</v>
      </c>
      <c r="L486">
        <f>_xlfn.XLOOKUP(F486,Products!$A$2:$A$51,Products!$D$2:$D$51,0)</f>
        <v>35.53</v>
      </c>
      <c r="M486">
        <f t="shared" si="7"/>
        <v>118.4</v>
      </c>
    </row>
    <row r="487" spans="1:13">
      <c r="A487" t="s">
        <v>808</v>
      </c>
      <c r="B487" t="s">
        <v>52</v>
      </c>
      <c r="C487" t="str">
        <f>_xlfn.XLOOKUP(F487,Products!$A$2:$A$51,Products!$C$2:$C$51,0)</f>
        <v>Accessories</v>
      </c>
      <c r="D487" t="str">
        <f>_xlfn.XLOOKUP(F487,Products!$A$2:$A$51,Products!$B$2:$B$51,0)</f>
        <v>Chemex Filters (100 pack)</v>
      </c>
      <c r="E487" t="str">
        <f>_xlfn.XLOOKUP(B487,customers!$A$2:$A$195,customers!$B$2:$B$195,,0)</f>
        <v>East</v>
      </c>
      <c r="F487">
        <v>1014</v>
      </c>
      <c r="G487" s="9">
        <f>_xlfn.XLOOKUP(B487,customers!$A$1:$A$195,customers!$C$1:$C$195)</f>
        <v>45129</v>
      </c>
      <c r="H487" s="13" t="s">
        <v>807</v>
      </c>
      <c r="I487">
        <v>2</v>
      </c>
      <c r="J487">
        <v>48.2</v>
      </c>
      <c r="K487">
        <v>42.42</v>
      </c>
      <c r="L487">
        <f>_xlfn.XLOOKUP(F487,Products!$A$2:$A$51,Products!$D$2:$D$51,0)</f>
        <v>24.1</v>
      </c>
      <c r="M487">
        <f t="shared" si="7"/>
        <v>5.78</v>
      </c>
    </row>
    <row r="488" spans="1:13">
      <c r="A488" t="s">
        <v>809</v>
      </c>
      <c r="B488" t="s">
        <v>54</v>
      </c>
      <c r="C488" t="str">
        <f>_xlfn.XLOOKUP(F488,Products!$A$2:$A$51,Products!$C$2:$C$51,0)</f>
        <v>Grinders &amp; Brewers</v>
      </c>
      <c r="D488" t="str">
        <f>_xlfn.XLOOKUP(F488,Products!$A$2:$A$51,Products!$B$2:$B$51,0)</f>
        <v>Hand Grinder (Travel Size)</v>
      </c>
      <c r="E488" t="str">
        <f>_xlfn.XLOOKUP(B488,customers!$A$2:$A$195,customers!$B$2:$B$195,,0)</f>
        <v>West</v>
      </c>
      <c r="F488">
        <v>1007</v>
      </c>
      <c r="G488" s="9">
        <f>_xlfn.XLOOKUP(B488,customers!$A$1:$A$195,customers!$C$1:$C$195)</f>
        <v>45201</v>
      </c>
      <c r="H488" s="13" t="s">
        <v>807</v>
      </c>
      <c r="I488">
        <v>3</v>
      </c>
      <c r="J488">
        <v>764.16</v>
      </c>
      <c r="K488">
        <v>390.85</v>
      </c>
      <c r="L488">
        <f>_xlfn.XLOOKUP(F488,Products!$A$2:$A$51,Products!$D$2:$D$51,0)</f>
        <v>254.72</v>
      </c>
      <c r="M488">
        <f t="shared" si="7"/>
        <v>373.31</v>
      </c>
    </row>
    <row r="489" spans="1:13">
      <c r="A489" t="s">
        <v>810</v>
      </c>
      <c r="B489" t="s">
        <v>126</v>
      </c>
      <c r="C489" t="str">
        <f>_xlfn.XLOOKUP(F489,Products!$A$2:$A$51,Products!$C$2:$C$51,0)</f>
        <v>Accessories</v>
      </c>
      <c r="D489" t="str">
        <f>_xlfn.XLOOKUP(F489,Products!$A$2:$A$51,Products!$B$2:$B$51,0)</f>
        <v>Refillable Coffee Pods</v>
      </c>
      <c r="E489" t="str">
        <f>_xlfn.XLOOKUP(B489,customers!$A$2:$A$195,customers!$B$2:$B$195,,0)</f>
        <v>North</v>
      </c>
      <c r="F489">
        <v>1040</v>
      </c>
      <c r="G489" s="9">
        <f>_xlfn.XLOOKUP(B489,customers!$A$1:$A$195,customers!$C$1:$C$195)</f>
        <v>45192</v>
      </c>
      <c r="H489" s="13" t="s">
        <v>807</v>
      </c>
      <c r="I489">
        <v>4</v>
      </c>
      <c r="J489">
        <v>96.52</v>
      </c>
      <c r="K489">
        <v>37.18</v>
      </c>
      <c r="L489">
        <f>_xlfn.XLOOKUP(F489,Products!$A$2:$A$51,Products!$D$2:$D$51,0)</f>
        <v>24.13</v>
      </c>
      <c r="M489">
        <f t="shared" si="7"/>
        <v>59.34</v>
      </c>
    </row>
    <row r="490" spans="1:13">
      <c r="A490" t="s">
        <v>811</v>
      </c>
      <c r="B490" t="s">
        <v>130</v>
      </c>
      <c r="C490" t="str">
        <f>_xlfn.XLOOKUP(F490,Products!$A$2:$A$51,Products!$C$2:$C$51,0)</f>
        <v>Subscriptions</v>
      </c>
      <c r="D490" t="str">
        <f>_xlfn.XLOOKUP(F490,Products!$A$2:$A$51,Products!$B$2:$B$51,0)</f>
        <v>Subscription Renewal Service</v>
      </c>
      <c r="E490" t="str">
        <f>_xlfn.XLOOKUP(B490,customers!$A$2:$A$195,customers!$B$2:$B$195,,0)</f>
        <v>East</v>
      </c>
      <c r="F490">
        <v>1025</v>
      </c>
      <c r="G490" s="9">
        <f>_xlfn.XLOOKUP(B490,customers!$A$1:$A$195,customers!$C$1:$C$195)</f>
        <v>45241</v>
      </c>
      <c r="H490" s="13" t="s">
        <v>807</v>
      </c>
      <c r="I490">
        <v>4</v>
      </c>
      <c r="J490">
        <v>293.64</v>
      </c>
      <c r="K490">
        <v>109.16</v>
      </c>
      <c r="L490">
        <f>_xlfn.XLOOKUP(F490,Products!$A$2:$A$51,Products!$D$2:$D$51,0)</f>
        <v>73.41</v>
      </c>
      <c r="M490">
        <f t="shared" si="7"/>
        <v>184.48</v>
      </c>
    </row>
    <row r="491" spans="1:13">
      <c r="A491" t="s">
        <v>812</v>
      </c>
      <c r="B491" t="s">
        <v>149</v>
      </c>
      <c r="C491" t="str">
        <f>_xlfn.XLOOKUP(F491,Products!$A$2:$A$51,Products!$C$2:$C$51,0)</f>
        <v>Accessories</v>
      </c>
      <c r="D491" t="str">
        <f>_xlfn.XLOOKUP(F491,Products!$A$2:$A$51,Products!$B$2:$B$51,0)</f>
        <v>Airtight Storage Container</v>
      </c>
      <c r="E491" t="str">
        <f>_xlfn.XLOOKUP(B491,customers!$A$2:$A$195,customers!$B$2:$B$195,,0)</f>
        <v>South</v>
      </c>
      <c r="F491">
        <v>1038</v>
      </c>
      <c r="G491" s="9">
        <f>_xlfn.XLOOKUP(B491,customers!$A$1:$A$195,customers!$C$1:$C$195)</f>
        <v>45054</v>
      </c>
      <c r="H491" s="13" t="s">
        <v>807</v>
      </c>
      <c r="I491">
        <v>2</v>
      </c>
      <c r="J491">
        <v>122.08</v>
      </c>
      <c r="K491">
        <v>51.41</v>
      </c>
      <c r="L491">
        <f>_xlfn.XLOOKUP(F491,Products!$A$2:$A$51,Products!$D$2:$D$51,0)</f>
        <v>61.04</v>
      </c>
      <c r="M491">
        <f t="shared" si="7"/>
        <v>70.67</v>
      </c>
    </row>
    <row r="492" spans="1:13">
      <c r="A492" t="s">
        <v>813</v>
      </c>
      <c r="B492" t="s">
        <v>151</v>
      </c>
      <c r="C492" t="str">
        <f>_xlfn.XLOOKUP(F492,Products!$A$2:$A$51,Products!$C$2:$C$51,0)</f>
        <v>Grinders &amp; Brewers</v>
      </c>
      <c r="D492" t="str">
        <f>_xlfn.XLOOKUP(F492,Products!$A$2:$A$51,Products!$B$2:$B$51,0)</f>
        <v>High-Capacity French Press</v>
      </c>
      <c r="E492" t="str">
        <f>_xlfn.XLOOKUP(B492,customers!$A$2:$A$195,customers!$B$2:$B$195,,0)</f>
        <v>West</v>
      </c>
      <c r="F492">
        <v>1009</v>
      </c>
      <c r="G492" s="9">
        <f>_xlfn.XLOOKUP(B492,customers!$A$1:$A$195,customers!$C$1:$C$195)</f>
        <v>45047</v>
      </c>
      <c r="H492" s="13" t="s">
        <v>807</v>
      </c>
      <c r="I492">
        <v>1</v>
      </c>
      <c r="J492">
        <v>338.36</v>
      </c>
      <c r="K492">
        <v>148.17</v>
      </c>
      <c r="L492">
        <f>_xlfn.XLOOKUP(F492,Products!$A$2:$A$51,Products!$D$2:$D$51,0)</f>
        <v>338.36</v>
      </c>
      <c r="M492">
        <f t="shared" si="7"/>
        <v>190.19</v>
      </c>
    </row>
    <row r="493" spans="1:13">
      <c r="A493" t="s">
        <v>814</v>
      </c>
      <c r="B493" t="s">
        <v>163</v>
      </c>
      <c r="C493" t="str">
        <f>_xlfn.XLOOKUP(F493,Products!$A$2:$A$51,Products!$C$2:$C$51,0)</f>
        <v>Consumables</v>
      </c>
      <c r="D493" t="str">
        <f>_xlfn.XLOOKUP(F493,Products!$A$2:$A$51,Products!$B$2:$B$51,0)</f>
        <v>Seasonal Blend Light Roast</v>
      </c>
      <c r="E493" t="str">
        <f>_xlfn.XLOOKUP(B493,customers!$A$2:$A$195,customers!$B$2:$B$195,,0)</f>
        <v>West</v>
      </c>
      <c r="F493">
        <v>1027</v>
      </c>
      <c r="G493" s="9">
        <f>_xlfn.XLOOKUP(B493,customers!$A$1:$A$195,customers!$C$1:$C$195)</f>
        <v>45140</v>
      </c>
      <c r="H493" s="13" t="s">
        <v>807</v>
      </c>
      <c r="I493">
        <v>1</v>
      </c>
      <c r="J493">
        <v>35.53</v>
      </c>
      <c r="K493">
        <v>5.93</v>
      </c>
      <c r="L493">
        <f>_xlfn.XLOOKUP(F493,Products!$A$2:$A$51,Products!$D$2:$D$51,0)</f>
        <v>35.53</v>
      </c>
      <c r="M493">
        <f t="shared" si="7"/>
        <v>29.6</v>
      </c>
    </row>
    <row r="494" spans="1:13">
      <c r="A494" t="s">
        <v>815</v>
      </c>
      <c r="B494" t="s">
        <v>51</v>
      </c>
      <c r="C494" t="str">
        <f>_xlfn.XLOOKUP(F494,Products!$A$2:$A$51,Products!$C$2:$C$51,0)</f>
        <v>Grinders &amp; Brewers</v>
      </c>
      <c r="D494" t="str">
        <f>_xlfn.XLOOKUP(F494,Products!$A$2:$A$51,Products!$B$2:$B$51,0)</f>
        <v>Automated Drip Brewer</v>
      </c>
      <c r="E494" t="str">
        <f>_xlfn.XLOOKUP(B494,customers!$A$2:$A$195,customers!$B$2:$B$195,,0)</f>
        <v>South</v>
      </c>
      <c r="F494">
        <v>1008</v>
      </c>
      <c r="G494" s="9">
        <f>_xlfn.XLOOKUP(B494,customers!$A$1:$A$195,customers!$C$1:$C$195)</f>
        <v>45096</v>
      </c>
      <c r="H494" s="13" t="s">
        <v>816</v>
      </c>
      <c r="I494">
        <v>4</v>
      </c>
      <c r="J494">
        <v>943.04</v>
      </c>
      <c r="K494">
        <v>529.94</v>
      </c>
      <c r="L494">
        <f>_xlfn.XLOOKUP(F494,Products!$A$2:$A$51,Products!$D$2:$D$51,0)</f>
        <v>235.76</v>
      </c>
      <c r="M494">
        <f t="shared" si="7"/>
        <v>413.1</v>
      </c>
    </row>
    <row r="495" spans="1:13">
      <c r="A495" t="s">
        <v>817</v>
      </c>
      <c r="B495" t="s">
        <v>88</v>
      </c>
      <c r="C495" t="str">
        <f>_xlfn.XLOOKUP(F495,Products!$A$2:$A$51,Products!$C$2:$C$51,0)</f>
        <v>Consumables</v>
      </c>
      <c r="D495" t="str">
        <f>_xlfn.XLOOKUP(F495,Products!$A$2:$A$51,Products!$B$2:$B$51,0)</f>
        <v>Single-Origin Ethiopian (250g)</v>
      </c>
      <c r="E495" t="str">
        <f>_xlfn.XLOOKUP(B495,customers!$A$2:$A$195,customers!$B$2:$B$195,,0)</f>
        <v>East</v>
      </c>
      <c r="F495">
        <v>1001</v>
      </c>
      <c r="G495" s="9">
        <f>_xlfn.XLOOKUP(B495,customers!$A$1:$A$195,customers!$C$1:$C$195)</f>
        <v>45042</v>
      </c>
      <c r="H495" s="13" t="s">
        <v>816</v>
      </c>
      <c r="I495">
        <v>1</v>
      </c>
      <c r="J495">
        <v>19.49</v>
      </c>
      <c r="K495">
        <v>12.71</v>
      </c>
      <c r="L495">
        <f>_xlfn.XLOOKUP(F495,Products!$A$2:$A$51,Products!$D$2:$D$51,0)</f>
        <v>19.49</v>
      </c>
      <c r="M495">
        <f t="shared" si="7"/>
        <v>6.78</v>
      </c>
    </row>
    <row r="496" spans="1:13">
      <c r="A496" t="s">
        <v>818</v>
      </c>
      <c r="B496" t="s">
        <v>113</v>
      </c>
      <c r="C496" t="str">
        <f>_xlfn.XLOOKUP(F496,Products!$A$2:$A$51,Products!$C$2:$C$51,0)</f>
        <v>Grinders &amp; Brewers</v>
      </c>
      <c r="D496" t="str">
        <f>_xlfn.XLOOKUP(F496,Products!$A$2:$A$51,Products!$B$2:$B$51,0)</f>
        <v>Precision Electric Grinder</v>
      </c>
      <c r="E496" t="str">
        <f>_xlfn.XLOOKUP(B496,customers!$A$2:$A$195,customers!$B$2:$B$195,,0)</f>
        <v>North</v>
      </c>
      <c r="F496">
        <v>1006</v>
      </c>
      <c r="G496" s="9">
        <f>_xlfn.XLOOKUP(B496,customers!$A$1:$A$195,customers!$C$1:$C$195)</f>
        <v>45206</v>
      </c>
      <c r="H496" s="13" t="s">
        <v>816</v>
      </c>
      <c r="I496">
        <v>1</v>
      </c>
      <c r="J496">
        <v>232.2</v>
      </c>
      <c r="K496">
        <v>78.39</v>
      </c>
      <c r="L496">
        <f>_xlfn.XLOOKUP(F496,Products!$A$2:$A$51,Products!$D$2:$D$51,0)</f>
        <v>232.2</v>
      </c>
      <c r="M496">
        <f t="shared" si="7"/>
        <v>153.81</v>
      </c>
    </row>
    <row r="497" spans="1:13">
      <c r="A497" t="s">
        <v>819</v>
      </c>
      <c r="B497" t="s">
        <v>174</v>
      </c>
      <c r="C497" t="str">
        <f>_xlfn.XLOOKUP(F497,Products!$A$2:$A$51,Products!$C$2:$C$51,0)</f>
        <v>Consumables</v>
      </c>
      <c r="D497" t="str">
        <f>_xlfn.XLOOKUP(F497,Products!$A$2:$A$51,Products!$B$2:$B$51,0)</f>
        <v>Cold Brew Concentrate</v>
      </c>
      <c r="E497" t="str">
        <f>_xlfn.XLOOKUP(B497,customers!$A$2:$A$195,customers!$B$2:$B$195,,0)</f>
        <v>West</v>
      </c>
      <c r="F497">
        <v>1004</v>
      </c>
      <c r="G497" s="9">
        <f>_xlfn.XLOOKUP(B497,customers!$A$1:$A$195,customers!$C$1:$C$195)</f>
        <v>45271</v>
      </c>
      <c r="H497" s="13" t="s">
        <v>816</v>
      </c>
      <c r="I497">
        <v>1</v>
      </c>
      <c r="J497">
        <v>23.49</v>
      </c>
      <c r="K497">
        <v>10.09</v>
      </c>
      <c r="L497">
        <f>_xlfn.XLOOKUP(F497,Products!$A$2:$A$51,Products!$D$2:$D$51,0)</f>
        <v>23.49</v>
      </c>
      <c r="M497">
        <f t="shared" si="7"/>
        <v>13.4</v>
      </c>
    </row>
    <row r="498" spans="1:13">
      <c r="A498" t="s">
        <v>820</v>
      </c>
      <c r="B498" t="s">
        <v>16</v>
      </c>
      <c r="C498" t="str">
        <f>_xlfn.XLOOKUP(F498,Products!$A$2:$A$51,Products!$C$2:$C$51,0)</f>
        <v>Subscriptions</v>
      </c>
      <c r="D498" t="str">
        <f>_xlfn.XLOOKUP(F498,Products!$A$2:$A$51,Products!$B$2:$B$51,0)</f>
        <v>Monthly Dark Roast Subscription</v>
      </c>
      <c r="E498" t="str">
        <f>_xlfn.XLOOKUP(B498,customers!$A$2:$A$195,customers!$B$2:$B$195,,0)</f>
        <v>East</v>
      </c>
      <c r="F498">
        <v>1021</v>
      </c>
      <c r="G498" s="9">
        <f>_xlfn.XLOOKUP(B498,customers!$A$1:$A$195,customers!$C$1:$C$195)</f>
        <v>45182</v>
      </c>
      <c r="H498" s="13" t="s">
        <v>821</v>
      </c>
      <c r="I498">
        <v>2</v>
      </c>
      <c r="J498">
        <v>122.52</v>
      </c>
      <c r="K498">
        <v>70.29</v>
      </c>
      <c r="L498">
        <f>_xlfn.XLOOKUP(F498,Products!$A$2:$A$51,Products!$D$2:$D$51,0)</f>
        <v>61.26</v>
      </c>
      <c r="M498">
        <f t="shared" si="7"/>
        <v>52.23</v>
      </c>
    </row>
    <row r="499" spans="1:13">
      <c r="A499" t="s">
        <v>822</v>
      </c>
      <c r="B499" t="s">
        <v>69</v>
      </c>
      <c r="C499" t="str">
        <f>_xlfn.XLOOKUP(F499,Products!$A$2:$A$51,Products!$C$2:$C$51,0)</f>
        <v>Grinders &amp; Brewers</v>
      </c>
      <c r="D499" t="str">
        <f>_xlfn.XLOOKUP(F499,Products!$A$2:$A$51,Products!$B$2:$B$51,0)</f>
        <v>High-Capacity French Press</v>
      </c>
      <c r="E499" t="str">
        <f>_xlfn.XLOOKUP(B499,customers!$A$2:$A$195,customers!$B$2:$B$195,,0)</f>
        <v>East</v>
      </c>
      <c r="F499">
        <v>1034</v>
      </c>
      <c r="G499" s="9">
        <f>_xlfn.XLOOKUP(B499,customers!$A$1:$A$195,customers!$C$1:$C$195)</f>
        <v>44933</v>
      </c>
      <c r="H499" s="13" t="s">
        <v>821</v>
      </c>
      <c r="I499">
        <v>1</v>
      </c>
      <c r="J499">
        <v>338.36</v>
      </c>
      <c r="K499">
        <v>148.17</v>
      </c>
      <c r="L499">
        <f>_xlfn.XLOOKUP(F499,Products!$A$2:$A$51,Products!$D$2:$D$51,0)</f>
        <v>338.36</v>
      </c>
      <c r="M499">
        <f t="shared" si="7"/>
        <v>190.19</v>
      </c>
    </row>
    <row r="500" spans="1:13">
      <c r="A500" t="s">
        <v>823</v>
      </c>
      <c r="B500" t="s">
        <v>144</v>
      </c>
      <c r="C500" t="str">
        <f>_xlfn.XLOOKUP(F500,Products!$A$2:$A$51,Products!$C$2:$C$51,0)</f>
        <v>Grinders &amp; Brewers</v>
      </c>
      <c r="D500" t="str">
        <f>_xlfn.XLOOKUP(F500,Products!$A$2:$A$51,Products!$B$2:$B$51,0)</f>
        <v>Hand Grinder (Travel Size)</v>
      </c>
      <c r="E500" t="str">
        <f>_xlfn.XLOOKUP(B500,customers!$A$2:$A$195,customers!$B$2:$B$195,,0)</f>
        <v>South</v>
      </c>
      <c r="F500">
        <v>1032</v>
      </c>
      <c r="G500" s="9">
        <f>_xlfn.XLOOKUP(B500,customers!$A$1:$A$195,customers!$C$1:$C$195)</f>
        <v>45085</v>
      </c>
      <c r="H500" s="13" t="s">
        <v>821</v>
      </c>
      <c r="I500">
        <v>4</v>
      </c>
      <c r="J500">
        <v>1018.88</v>
      </c>
      <c r="K500">
        <v>521.14</v>
      </c>
      <c r="L500">
        <f>_xlfn.XLOOKUP(F500,Products!$A$2:$A$51,Products!$D$2:$D$51,0)</f>
        <v>254.72</v>
      </c>
      <c r="M500">
        <f t="shared" si="7"/>
        <v>497.74</v>
      </c>
    </row>
    <row r="501" spans="1:13">
      <c r="A501" t="s">
        <v>824</v>
      </c>
      <c r="B501" t="s">
        <v>180</v>
      </c>
      <c r="C501" t="str">
        <f>_xlfn.XLOOKUP(F501,Products!$A$2:$A$51,Products!$C$2:$C$51,0)</f>
        <v>Subscriptions</v>
      </c>
      <c r="D501" t="str">
        <f>_xlfn.XLOOKUP(F501,Products!$A$2:$A$51,Products!$B$2:$B$51,0)</f>
        <v>Three-Month Gift Subscription</v>
      </c>
      <c r="E501" t="str">
        <f>_xlfn.XLOOKUP(B501,customers!$A$2:$A$195,customers!$B$2:$B$195,,0)</f>
        <v>South</v>
      </c>
      <c r="F501">
        <v>1023</v>
      </c>
      <c r="G501" s="9">
        <f>_xlfn.XLOOKUP(B501,customers!$A$1:$A$195,customers!$C$1:$C$195)</f>
        <v>45215</v>
      </c>
      <c r="H501" s="13" t="s">
        <v>821</v>
      </c>
      <c r="I501">
        <v>3</v>
      </c>
      <c r="J501">
        <v>195.63</v>
      </c>
      <c r="K501">
        <v>82.83</v>
      </c>
      <c r="L501">
        <f>_xlfn.XLOOKUP(F501,Products!$A$2:$A$51,Products!$D$2:$D$51,0)</f>
        <v>65.21</v>
      </c>
      <c r="M501">
        <f t="shared" si="7"/>
        <v>112.8</v>
      </c>
    </row>
    <row r="502" spans="1:13">
      <c r="A502" t="s">
        <v>825</v>
      </c>
      <c r="B502" t="s">
        <v>23</v>
      </c>
      <c r="C502" t="str">
        <f>_xlfn.XLOOKUP(F502,Products!$A$2:$A$51,Products!$C$2:$C$51,0)</f>
        <v>Merchandise</v>
      </c>
      <c r="D502" t="str">
        <f>_xlfn.XLOOKUP(F502,Products!$A$2:$A$51,Products!$B$2:$B$51,0)</f>
        <v>Logo Hoodie (Black)</v>
      </c>
      <c r="E502" t="str">
        <f>_xlfn.XLOOKUP(B502,customers!$A$2:$A$195,customers!$B$2:$B$195,,0)</f>
        <v>West</v>
      </c>
      <c r="F502">
        <v>1017</v>
      </c>
      <c r="G502" s="9">
        <f>_xlfn.XLOOKUP(B502,customers!$A$1:$A$195,customers!$C$1:$C$195)</f>
        <v>45222</v>
      </c>
      <c r="H502" s="13" t="s">
        <v>826</v>
      </c>
      <c r="I502">
        <v>1</v>
      </c>
      <c r="J502">
        <v>15.23</v>
      </c>
      <c r="K502">
        <v>13.4</v>
      </c>
      <c r="L502">
        <f>_xlfn.XLOOKUP(F502,Products!$A$2:$A$51,Products!$D$2:$D$51,0)</f>
        <v>15.23</v>
      </c>
      <c r="M502">
        <f t="shared" si="7"/>
        <v>1.83</v>
      </c>
    </row>
    <row r="503" spans="1:13">
      <c r="A503" t="s">
        <v>827</v>
      </c>
      <c r="B503" t="s">
        <v>122</v>
      </c>
      <c r="C503" t="str">
        <f>_xlfn.XLOOKUP(F503,Products!$A$2:$A$51,Products!$C$2:$C$51,0)</f>
        <v>Subscriptions</v>
      </c>
      <c r="D503" t="str">
        <f>_xlfn.XLOOKUP(F503,Products!$A$2:$A$51,Products!$B$2:$B$51,0)</f>
        <v>Subscription Renewal Service</v>
      </c>
      <c r="E503" t="str">
        <f>_xlfn.XLOOKUP(B503,customers!$A$2:$A$195,customers!$B$2:$B$195,,0)</f>
        <v>North</v>
      </c>
      <c r="F503">
        <v>1050</v>
      </c>
      <c r="G503" s="9">
        <f>_xlfn.XLOOKUP(B503,customers!$A$1:$A$195,customers!$C$1:$C$195)</f>
        <v>45015</v>
      </c>
      <c r="H503" s="13" t="s">
        <v>826</v>
      </c>
      <c r="I503">
        <v>1</v>
      </c>
      <c r="J503">
        <v>73.41</v>
      </c>
      <c r="K503">
        <v>27.29</v>
      </c>
      <c r="L503">
        <f>_xlfn.XLOOKUP(F503,Products!$A$2:$A$51,Products!$D$2:$D$51,0)</f>
        <v>73.41</v>
      </c>
      <c r="M503">
        <f t="shared" si="7"/>
        <v>46.12</v>
      </c>
    </row>
    <row r="504" spans="1:13">
      <c r="A504" t="s">
        <v>828</v>
      </c>
      <c r="B504" t="s">
        <v>193</v>
      </c>
      <c r="C504" t="str">
        <f>_xlfn.XLOOKUP(F504,Products!$A$2:$A$51,Products!$C$2:$C$51,0)</f>
        <v>Grinders &amp; Brewers</v>
      </c>
      <c r="D504" t="str">
        <f>_xlfn.XLOOKUP(F504,Products!$A$2:$A$51,Products!$B$2:$B$51,0)</f>
        <v>Automated Drip Brewer</v>
      </c>
      <c r="E504" t="str">
        <f>_xlfn.XLOOKUP(B504,customers!$A$2:$A$195,customers!$B$2:$B$195,,0)</f>
        <v>East</v>
      </c>
      <c r="F504">
        <v>1008</v>
      </c>
      <c r="G504" s="9">
        <f>_xlfn.XLOOKUP(B504,customers!$A$1:$A$195,customers!$C$1:$C$195)</f>
        <v>45255</v>
      </c>
      <c r="H504" s="13" t="s">
        <v>826</v>
      </c>
      <c r="I504">
        <v>3</v>
      </c>
      <c r="J504">
        <v>707.28</v>
      </c>
      <c r="K504">
        <v>397.45</v>
      </c>
      <c r="L504">
        <f>_xlfn.XLOOKUP(F504,Products!$A$2:$A$51,Products!$D$2:$D$51,0)</f>
        <v>235.76</v>
      </c>
      <c r="M504">
        <f t="shared" si="7"/>
        <v>309.83</v>
      </c>
    </row>
    <row r="505" spans="1:13">
      <c r="A505" t="s">
        <v>829</v>
      </c>
      <c r="B505" t="s">
        <v>36</v>
      </c>
      <c r="C505" t="str">
        <f>_xlfn.XLOOKUP(F505,Products!$A$2:$A$51,Products!$C$2:$C$51,0)</f>
        <v>Merchandise</v>
      </c>
      <c r="D505" t="str">
        <f>_xlfn.XLOOKUP(F505,Products!$A$2:$A$51,Products!$B$2:$B$51,0)</f>
        <v>Minimalist Keychain</v>
      </c>
      <c r="E505" t="str">
        <f>_xlfn.XLOOKUP(B505,customers!$A$2:$A$195,customers!$B$2:$B$195,,0)</f>
        <v>North</v>
      </c>
      <c r="F505">
        <v>1020</v>
      </c>
      <c r="G505" s="9">
        <f>_xlfn.XLOOKUP(B505,customers!$A$1:$A$195,customers!$C$1:$C$195)</f>
        <v>45102</v>
      </c>
      <c r="H505" s="13" t="s">
        <v>830</v>
      </c>
      <c r="I505">
        <v>1</v>
      </c>
      <c r="J505">
        <v>27.37</v>
      </c>
      <c r="K505">
        <v>24.09</v>
      </c>
      <c r="L505">
        <f>_xlfn.XLOOKUP(F505,Products!$A$2:$A$51,Products!$D$2:$D$51,0)</f>
        <v>27.37</v>
      </c>
      <c r="M505">
        <f t="shared" si="7"/>
        <v>3.28</v>
      </c>
    </row>
    <row r="506" spans="1:13">
      <c r="A506" t="s">
        <v>831</v>
      </c>
      <c r="B506" t="s">
        <v>67</v>
      </c>
      <c r="C506" t="str">
        <f>_xlfn.XLOOKUP(F506,Products!$A$2:$A$51,Products!$C$2:$C$51,0)</f>
        <v>Subscriptions</v>
      </c>
      <c r="D506" t="str">
        <f>_xlfn.XLOOKUP(F506,Products!$A$2:$A$51,Products!$B$2:$B$51,0)</f>
        <v>Monthly Dark Roast Subscription</v>
      </c>
      <c r="E506" t="str">
        <f>_xlfn.XLOOKUP(B506,customers!$A$2:$A$195,customers!$B$2:$B$195,,0)</f>
        <v>East</v>
      </c>
      <c r="F506">
        <v>1021</v>
      </c>
      <c r="G506" s="9">
        <f>_xlfn.XLOOKUP(B506,customers!$A$1:$A$195,customers!$C$1:$C$195)</f>
        <v>45272</v>
      </c>
      <c r="H506" s="13" t="s">
        <v>830</v>
      </c>
      <c r="I506">
        <v>3</v>
      </c>
      <c r="J506">
        <v>183.78</v>
      </c>
      <c r="K506">
        <v>105.44</v>
      </c>
      <c r="L506">
        <f>_xlfn.XLOOKUP(F506,Products!$A$2:$A$51,Products!$D$2:$D$51,0)</f>
        <v>61.26</v>
      </c>
      <c r="M506">
        <f t="shared" si="7"/>
        <v>78.34</v>
      </c>
    </row>
    <row r="507" spans="1:13">
      <c r="A507" t="s">
        <v>832</v>
      </c>
      <c r="B507" t="s">
        <v>134</v>
      </c>
      <c r="C507" t="str">
        <f>_xlfn.XLOOKUP(F507,Products!$A$2:$A$51,Products!$C$2:$C$51,0)</f>
        <v>Grinders &amp; Brewers</v>
      </c>
      <c r="D507" t="str">
        <f>_xlfn.XLOOKUP(F507,Products!$A$2:$A$51,Products!$B$2:$B$51,0)</f>
        <v>High-Capacity French Press</v>
      </c>
      <c r="E507" t="str">
        <f>_xlfn.XLOOKUP(B507,customers!$A$2:$A$195,customers!$B$2:$B$195,,0)</f>
        <v>West</v>
      </c>
      <c r="F507">
        <v>1034</v>
      </c>
      <c r="G507" s="9">
        <f>_xlfn.XLOOKUP(B507,customers!$A$1:$A$195,customers!$C$1:$C$195)</f>
        <v>45241</v>
      </c>
      <c r="H507" s="13" t="s">
        <v>830</v>
      </c>
      <c r="I507">
        <v>2</v>
      </c>
      <c r="J507">
        <v>676.72</v>
      </c>
      <c r="K507">
        <v>296.34</v>
      </c>
      <c r="L507">
        <f>_xlfn.XLOOKUP(F507,Products!$A$2:$A$51,Products!$D$2:$D$51,0)</f>
        <v>338.36</v>
      </c>
      <c r="M507">
        <f t="shared" si="7"/>
        <v>380.38</v>
      </c>
    </row>
    <row r="508" spans="1:13">
      <c r="A508" t="s">
        <v>833</v>
      </c>
      <c r="B508" t="s">
        <v>74</v>
      </c>
      <c r="C508" t="str">
        <f>_xlfn.XLOOKUP(F508,Products!$A$2:$A$51,Products!$C$2:$C$51,0)</f>
        <v>Merchandise</v>
      </c>
      <c r="D508" t="str">
        <f>_xlfn.XLOOKUP(F508,Products!$A$2:$A$51,Products!$B$2:$B$51,0)</f>
        <v>Insulated Travel Tumbler</v>
      </c>
      <c r="E508" t="str">
        <f>_xlfn.XLOOKUP(B508,customers!$A$2:$A$195,customers!$B$2:$B$195,,0)</f>
        <v>East</v>
      </c>
      <c r="F508">
        <v>1018</v>
      </c>
      <c r="G508" s="9">
        <f>_xlfn.XLOOKUP(B508,customers!$A$1:$A$195,customers!$C$1:$C$195)</f>
        <v>45103</v>
      </c>
      <c r="H508" s="13">
        <v>45663</v>
      </c>
      <c r="I508">
        <v>3</v>
      </c>
      <c r="J508">
        <v>129.84</v>
      </c>
      <c r="K508">
        <v>62.47</v>
      </c>
      <c r="L508">
        <f>_xlfn.XLOOKUP(F508,Products!$A$2:$A$51,Products!$D$2:$D$51,0)</f>
        <v>43.28</v>
      </c>
      <c r="M508">
        <f t="shared" si="7"/>
        <v>67.37</v>
      </c>
    </row>
    <row r="509" spans="1:13">
      <c r="A509" t="s">
        <v>834</v>
      </c>
      <c r="B509" t="s">
        <v>183</v>
      </c>
      <c r="C509" t="str">
        <f>_xlfn.XLOOKUP(F509,Products!$A$2:$A$51,Products!$C$2:$C$51,0)</f>
        <v>Consumables</v>
      </c>
      <c r="D509" t="str">
        <f>_xlfn.XLOOKUP(F509,Products!$A$2:$A$51,Products!$B$2:$B$51,0)</f>
        <v>Decaf Blend (1kg)</v>
      </c>
      <c r="E509" t="str">
        <f>_xlfn.XLOOKUP(B509,customers!$A$2:$A$195,customers!$B$2:$B$195,,0)</f>
        <v>West</v>
      </c>
      <c r="F509">
        <v>1003</v>
      </c>
      <c r="G509" s="9">
        <f>_xlfn.XLOOKUP(B509,customers!$A$1:$A$195,customers!$C$1:$C$195)</f>
        <v>45237</v>
      </c>
      <c r="H509" s="13">
        <v>45694</v>
      </c>
      <c r="I509">
        <v>1</v>
      </c>
      <c r="J509">
        <v>40.35</v>
      </c>
      <c r="K509">
        <v>12.86</v>
      </c>
      <c r="L509">
        <f>_xlfn.XLOOKUP(F509,Products!$A$2:$A$51,Products!$D$2:$D$51,0)</f>
        <v>40.35</v>
      </c>
      <c r="M509">
        <f t="shared" si="7"/>
        <v>27.49</v>
      </c>
    </row>
    <row r="510" spans="1:13">
      <c r="A510" t="s">
        <v>835</v>
      </c>
      <c r="B510" t="s">
        <v>9</v>
      </c>
      <c r="C510" t="str">
        <f>_xlfn.XLOOKUP(F510,Products!$A$2:$A$51,Products!$C$2:$C$51,0)</f>
        <v>Consumables</v>
      </c>
      <c r="D510" t="str">
        <f>_xlfn.XLOOKUP(F510,Products!$A$2:$A$51,Products!$B$2:$B$51,0)</f>
        <v>Espresso Bean Sampler Pack</v>
      </c>
      <c r="E510" t="str">
        <f>_xlfn.XLOOKUP(B510,customers!$A$2:$A$195,customers!$B$2:$B$195,,0)</f>
        <v>West</v>
      </c>
      <c r="F510">
        <v>1005</v>
      </c>
      <c r="G510" s="9">
        <f>_xlfn.XLOOKUP(B510,customers!$A$1:$A$195,customers!$C$1:$C$195)</f>
        <v>44949</v>
      </c>
      <c r="H510" s="13">
        <v>45722</v>
      </c>
      <c r="I510">
        <v>3</v>
      </c>
      <c r="J510">
        <v>57.18</v>
      </c>
      <c r="K510">
        <v>35.9</v>
      </c>
      <c r="L510">
        <f>_xlfn.XLOOKUP(F510,Products!$A$2:$A$51,Products!$D$2:$D$51,0)</f>
        <v>19.06</v>
      </c>
      <c r="M510">
        <f t="shared" si="7"/>
        <v>21.28</v>
      </c>
    </row>
    <row r="511" spans="1:13">
      <c r="A511" t="s">
        <v>836</v>
      </c>
      <c r="B511" t="s">
        <v>13</v>
      </c>
      <c r="C511" t="str">
        <f>_xlfn.XLOOKUP(F511,Products!$A$2:$A$51,Products!$C$2:$C$51,0)</f>
        <v>Grinders &amp; Brewers</v>
      </c>
      <c r="D511" t="str">
        <f>_xlfn.XLOOKUP(F511,Products!$A$2:$A$51,Products!$B$2:$B$51,0)</f>
        <v>Precision Electric Grinder</v>
      </c>
      <c r="E511" t="str">
        <f>_xlfn.XLOOKUP(B511,customers!$A$2:$A$195,customers!$B$2:$B$195,,0)</f>
        <v>East</v>
      </c>
      <c r="F511">
        <v>1031</v>
      </c>
      <c r="G511" s="9">
        <f>_xlfn.XLOOKUP(B511,customers!$A$1:$A$195,customers!$C$1:$C$195)</f>
        <v>45214</v>
      </c>
      <c r="H511" s="13">
        <v>45722</v>
      </c>
      <c r="I511">
        <v>3</v>
      </c>
      <c r="J511">
        <v>696.6</v>
      </c>
      <c r="K511">
        <v>235.16</v>
      </c>
      <c r="L511">
        <f>_xlfn.XLOOKUP(F511,Products!$A$2:$A$51,Products!$D$2:$D$51,0)</f>
        <v>232.2</v>
      </c>
      <c r="M511">
        <f t="shared" si="7"/>
        <v>461.44</v>
      </c>
    </row>
    <row r="512" spans="1:13">
      <c r="A512" t="s">
        <v>837</v>
      </c>
      <c r="B512" t="s">
        <v>41</v>
      </c>
      <c r="C512" t="str">
        <f>_xlfn.XLOOKUP(F512,Products!$A$2:$A$51,Products!$C$2:$C$51,0)</f>
        <v>Consumables</v>
      </c>
      <c r="D512" t="str">
        <f>_xlfn.XLOOKUP(F512,Products!$A$2:$A$51,Products!$B$2:$B$51,0)</f>
        <v>Espresso Bean Sampler Pack</v>
      </c>
      <c r="E512" t="str">
        <f>_xlfn.XLOOKUP(B512,customers!$A$2:$A$195,customers!$B$2:$B$195,,0)</f>
        <v>West</v>
      </c>
      <c r="F512">
        <v>1005</v>
      </c>
      <c r="G512" s="9">
        <f>_xlfn.XLOOKUP(B512,customers!$A$1:$A$195,customers!$C$1:$C$195)</f>
        <v>44960</v>
      </c>
      <c r="H512" s="13">
        <v>45722</v>
      </c>
      <c r="I512">
        <v>2</v>
      </c>
      <c r="J512">
        <v>38.12</v>
      </c>
      <c r="K512">
        <v>23.94</v>
      </c>
      <c r="L512">
        <f>_xlfn.XLOOKUP(F512,Products!$A$2:$A$51,Products!$D$2:$D$51,0)</f>
        <v>19.06</v>
      </c>
      <c r="M512">
        <f t="shared" si="7"/>
        <v>14.18</v>
      </c>
    </row>
    <row r="513" spans="1:13">
      <c r="A513" t="s">
        <v>838</v>
      </c>
      <c r="B513" t="s">
        <v>74</v>
      </c>
      <c r="C513" t="str">
        <f>_xlfn.XLOOKUP(F513,Products!$A$2:$A$51,Products!$C$2:$C$51,0)</f>
        <v>Accessories</v>
      </c>
      <c r="D513" t="str">
        <f>_xlfn.XLOOKUP(F513,Products!$A$2:$A$51,Products!$B$2:$B$51,0)</f>
        <v>Chemex Filters (100 pack)</v>
      </c>
      <c r="E513" t="str">
        <f>_xlfn.XLOOKUP(B513,customers!$A$2:$A$195,customers!$B$2:$B$195,,0)</f>
        <v>East</v>
      </c>
      <c r="F513">
        <v>1014</v>
      </c>
      <c r="G513" s="9">
        <f>_xlfn.XLOOKUP(B513,customers!$A$1:$A$195,customers!$C$1:$C$195)</f>
        <v>45103</v>
      </c>
      <c r="H513" s="13">
        <v>45722</v>
      </c>
      <c r="I513">
        <v>4</v>
      </c>
      <c r="J513">
        <v>96.4</v>
      </c>
      <c r="K513">
        <v>84.83</v>
      </c>
      <c r="L513">
        <f>_xlfn.XLOOKUP(F513,Products!$A$2:$A$51,Products!$D$2:$D$51,0)</f>
        <v>24.1</v>
      </c>
      <c r="M513">
        <f t="shared" si="7"/>
        <v>11.57</v>
      </c>
    </row>
    <row r="514" spans="1:13">
      <c r="A514" t="s">
        <v>839</v>
      </c>
      <c r="B514" t="s">
        <v>85</v>
      </c>
      <c r="C514" t="str">
        <f>_xlfn.XLOOKUP(F514,Products!$A$2:$A$51,Products!$C$2:$C$51,0)</f>
        <v>Grinders &amp; Brewers</v>
      </c>
      <c r="D514" t="str">
        <f>_xlfn.XLOOKUP(F514,Products!$A$2:$A$51,Products!$B$2:$B$51,0)</f>
        <v>Automated Drip Brewer</v>
      </c>
      <c r="E514" t="str">
        <f>_xlfn.XLOOKUP(B514,customers!$A$2:$A$195,customers!$B$2:$B$195,,0)</f>
        <v>North</v>
      </c>
      <c r="F514">
        <v>1008</v>
      </c>
      <c r="G514" s="9">
        <f>_xlfn.XLOOKUP(B514,customers!$A$1:$A$195,customers!$C$1:$C$195)</f>
        <v>45181</v>
      </c>
      <c r="H514" s="13">
        <v>45722</v>
      </c>
      <c r="I514">
        <v>2</v>
      </c>
      <c r="J514">
        <v>471.52</v>
      </c>
      <c r="K514">
        <v>264.97</v>
      </c>
      <c r="L514">
        <f>_xlfn.XLOOKUP(F514,Products!$A$2:$A$51,Products!$D$2:$D$51,0)</f>
        <v>235.76</v>
      </c>
      <c r="M514">
        <f t="shared" si="7"/>
        <v>206.55</v>
      </c>
    </row>
    <row r="515" spans="1:13">
      <c r="A515" t="s">
        <v>840</v>
      </c>
      <c r="B515" t="s">
        <v>106</v>
      </c>
      <c r="C515" t="str">
        <f>_xlfn.XLOOKUP(F515,Products!$A$2:$A$51,Products!$C$2:$C$51,0)</f>
        <v>Grinders &amp; Brewers</v>
      </c>
      <c r="D515" t="str">
        <f>_xlfn.XLOOKUP(F515,Products!$A$2:$A$51,Products!$B$2:$B$51,0)</f>
        <v>Precision Electric Grinder</v>
      </c>
      <c r="E515" t="str">
        <f>_xlfn.XLOOKUP(B515,customers!$A$2:$A$195,customers!$B$2:$B$195,,0)</f>
        <v>East</v>
      </c>
      <c r="F515">
        <v>1006</v>
      </c>
      <c r="G515" s="9">
        <f>_xlfn.XLOOKUP(B515,customers!$A$1:$A$195,customers!$C$1:$C$195)</f>
        <v>45055</v>
      </c>
      <c r="H515" s="13">
        <v>45722</v>
      </c>
      <c r="I515">
        <v>1</v>
      </c>
      <c r="J515">
        <v>232.2</v>
      </c>
      <c r="K515">
        <v>78.39</v>
      </c>
      <c r="L515">
        <f>_xlfn.XLOOKUP(F515,Products!$A$2:$A$51,Products!$D$2:$D$51,0)</f>
        <v>232.2</v>
      </c>
      <c r="M515">
        <f t="shared" ref="M515:M578" si="8">J515-K515</f>
        <v>153.81</v>
      </c>
    </row>
    <row r="516" spans="1:13">
      <c r="A516" t="s">
        <v>841</v>
      </c>
      <c r="B516" t="s">
        <v>190</v>
      </c>
      <c r="C516" t="str">
        <f>_xlfn.XLOOKUP(F516,Products!$A$2:$A$51,Products!$C$2:$C$51,0)</f>
        <v>Subscriptions</v>
      </c>
      <c r="D516" t="str">
        <f>_xlfn.XLOOKUP(F516,Products!$A$2:$A$51,Products!$B$2:$B$51,0)</f>
        <v>Monthly Dark Roast Subscription</v>
      </c>
      <c r="E516" t="str">
        <f>_xlfn.XLOOKUP(B516,customers!$A$2:$A$195,customers!$B$2:$B$195,,0)</f>
        <v>East</v>
      </c>
      <c r="F516">
        <v>1046</v>
      </c>
      <c r="G516" s="9">
        <f>_xlfn.XLOOKUP(B516,customers!$A$1:$A$195,customers!$C$1:$C$195)</f>
        <v>45043</v>
      </c>
      <c r="H516" s="13">
        <v>45722</v>
      </c>
      <c r="I516">
        <v>3</v>
      </c>
      <c r="J516">
        <v>183.78</v>
      </c>
      <c r="K516">
        <v>105.44</v>
      </c>
      <c r="L516">
        <f>_xlfn.XLOOKUP(F516,Products!$A$2:$A$51,Products!$D$2:$D$51,0)</f>
        <v>61.26</v>
      </c>
      <c r="M516">
        <f t="shared" si="8"/>
        <v>78.34</v>
      </c>
    </row>
    <row r="517" spans="1:13">
      <c r="A517" t="s">
        <v>842</v>
      </c>
      <c r="B517" t="s">
        <v>198</v>
      </c>
      <c r="C517" t="str">
        <f>_xlfn.XLOOKUP(F517,Products!$A$2:$A$51,Products!$C$2:$C$51,0)</f>
        <v>Accessories</v>
      </c>
      <c r="D517" t="str">
        <f>_xlfn.XLOOKUP(F517,Products!$A$2:$A$51,Products!$B$2:$B$51,0)</f>
        <v>Digital Coffee Scale</v>
      </c>
      <c r="E517" t="str">
        <f>_xlfn.XLOOKUP(B517,customers!$A$2:$A$195,customers!$B$2:$B$195,,0)</f>
        <v>East</v>
      </c>
      <c r="F517">
        <v>1011</v>
      </c>
      <c r="G517" s="9">
        <f>_xlfn.XLOOKUP(B517,customers!$A$1:$A$195,customers!$C$1:$C$195)</f>
        <v>45115</v>
      </c>
      <c r="H517" s="13">
        <v>45722</v>
      </c>
      <c r="I517">
        <v>3</v>
      </c>
      <c r="J517">
        <v>80.49</v>
      </c>
      <c r="K517">
        <v>43.96</v>
      </c>
      <c r="L517">
        <f>_xlfn.XLOOKUP(F517,Products!$A$2:$A$51,Products!$D$2:$D$51,0)</f>
        <v>26.83</v>
      </c>
      <c r="M517">
        <f t="shared" si="8"/>
        <v>36.53</v>
      </c>
    </row>
    <row r="518" spans="1:13">
      <c r="A518" t="s">
        <v>843</v>
      </c>
      <c r="B518" t="s">
        <v>70</v>
      </c>
      <c r="C518" t="str">
        <f>_xlfn.XLOOKUP(F518,Products!$A$2:$A$51,Products!$C$2:$C$51,0)</f>
        <v>Grinders &amp; Brewers</v>
      </c>
      <c r="D518" t="str">
        <f>_xlfn.XLOOKUP(F518,Products!$A$2:$A$51,Products!$B$2:$B$51,0)</f>
        <v>Automated Drip Brewer</v>
      </c>
      <c r="E518" t="str">
        <f>_xlfn.XLOOKUP(B518,customers!$A$2:$A$195,customers!$B$2:$B$195,,0)</f>
        <v>West</v>
      </c>
      <c r="F518">
        <v>1008</v>
      </c>
      <c r="G518" s="9">
        <f>_xlfn.XLOOKUP(B518,customers!$A$1:$A$195,customers!$C$1:$C$195)</f>
        <v>45269</v>
      </c>
      <c r="H518" s="13">
        <v>45753</v>
      </c>
      <c r="I518">
        <v>2</v>
      </c>
      <c r="J518">
        <v>471.52</v>
      </c>
      <c r="K518">
        <v>264.97</v>
      </c>
      <c r="L518">
        <f>_xlfn.XLOOKUP(F518,Products!$A$2:$A$51,Products!$D$2:$D$51,0)</f>
        <v>235.76</v>
      </c>
      <c r="M518">
        <f t="shared" si="8"/>
        <v>206.55</v>
      </c>
    </row>
    <row r="519" spans="1:13">
      <c r="A519" t="s">
        <v>844</v>
      </c>
      <c r="B519" t="s">
        <v>78</v>
      </c>
      <c r="C519" t="str">
        <f>_xlfn.XLOOKUP(F519,Products!$A$2:$A$51,Products!$C$2:$C$51,0)</f>
        <v>Consumables</v>
      </c>
      <c r="D519" t="str">
        <f>_xlfn.XLOOKUP(F519,Products!$A$2:$A$51,Products!$B$2:$B$51,0)</f>
        <v>Single-Origin Ethiopian (250g)</v>
      </c>
      <c r="E519" t="str">
        <f>_xlfn.XLOOKUP(B519,customers!$A$2:$A$195,customers!$B$2:$B$195,,0)</f>
        <v>North</v>
      </c>
      <c r="F519">
        <v>1026</v>
      </c>
      <c r="G519" s="9">
        <f>_xlfn.XLOOKUP(B519,customers!$A$1:$A$195,customers!$C$1:$C$195)</f>
        <v>44961</v>
      </c>
      <c r="H519" s="13">
        <v>45753</v>
      </c>
      <c r="I519">
        <v>2</v>
      </c>
      <c r="J519">
        <v>38.98</v>
      </c>
      <c r="K519">
        <v>25.41</v>
      </c>
      <c r="L519">
        <f>_xlfn.XLOOKUP(F519,Products!$A$2:$A$51,Products!$D$2:$D$51,0)</f>
        <v>19.49</v>
      </c>
      <c r="M519">
        <f t="shared" si="8"/>
        <v>13.57</v>
      </c>
    </row>
    <row r="520" spans="1:13">
      <c r="A520" t="s">
        <v>845</v>
      </c>
      <c r="B520" t="s">
        <v>92</v>
      </c>
      <c r="C520" t="str">
        <f>_xlfn.XLOOKUP(F520,Products!$A$2:$A$51,Products!$C$2:$C$51,0)</f>
        <v>Consumables</v>
      </c>
      <c r="D520" t="str">
        <f>_xlfn.XLOOKUP(F520,Products!$A$2:$A$51,Products!$B$2:$B$51,0)</f>
        <v>Decaf Blend (1kg)</v>
      </c>
      <c r="E520" t="str">
        <f>_xlfn.XLOOKUP(B520,customers!$A$2:$A$195,customers!$B$2:$B$195,,0)</f>
        <v>South</v>
      </c>
      <c r="F520">
        <v>1003</v>
      </c>
      <c r="G520" s="9">
        <f>_xlfn.XLOOKUP(B520,customers!$A$1:$A$195,customers!$C$1:$C$195)</f>
        <v>45125</v>
      </c>
      <c r="H520" s="13">
        <v>45753</v>
      </c>
      <c r="I520">
        <v>3</v>
      </c>
      <c r="J520">
        <v>121.05</v>
      </c>
      <c r="K520">
        <v>38.58</v>
      </c>
      <c r="L520">
        <f>_xlfn.XLOOKUP(F520,Products!$A$2:$A$51,Products!$D$2:$D$51,0)</f>
        <v>40.35</v>
      </c>
      <c r="M520">
        <f t="shared" si="8"/>
        <v>82.47</v>
      </c>
    </row>
    <row r="521" spans="1:13">
      <c r="A521" t="s">
        <v>846</v>
      </c>
      <c r="B521" t="s">
        <v>112</v>
      </c>
      <c r="C521" t="str">
        <f>_xlfn.XLOOKUP(F521,Products!$A$2:$A$51,Products!$C$2:$C$51,0)</f>
        <v>Accessories</v>
      </c>
      <c r="D521" t="str">
        <f>_xlfn.XLOOKUP(F521,Products!$A$2:$A$51,Products!$B$2:$B$51,0)</f>
        <v>Refillable Coffee Pods</v>
      </c>
      <c r="E521" t="str">
        <f>_xlfn.XLOOKUP(B521,customers!$A$2:$A$195,customers!$B$2:$B$195,,0)</f>
        <v>East</v>
      </c>
      <c r="F521">
        <v>1040</v>
      </c>
      <c r="G521" s="9">
        <f>_xlfn.XLOOKUP(B521,customers!$A$1:$A$195,customers!$C$1:$C$195)</f>
        <v>44937</v>
      </c>
      <c r="H521" s="13">
        <v>45753</v>
      </c>
      <c r="I521">
        <v>3</v>
      </c>
      <c r="J521">
        <v>72.39</v>
      </c>
      <c r="K521">
        <v>27.88</v>
      </c>
      <c r="L521">
        <f>_xlfn.XLOOKUP(F521,Products!$A$2:$A$51,Products!$D$2:$D$51,0)</f>
        <v>24.13</v>
      </c>
      <c r="M521">
        <f t="shared" si="8"/>
        <v>44.51</v>
      </c>
    </row>
    <row r="522" spans="1:13">
      <c r="A522" t="s">
        <v>847</v>
      </c>
      <c r="B522" t="s">
        <v>116</v>
      </c>
      <c r="C522" t="str">
        <f>_xlfn.XLOOKUP(F522,Products!$A$2:$A$51,Products!$C$2:$C$51,0)</f>
        <v>Accessories</v>
      </c>
      <c r="D522" t="str">
        <f>_xlfn.XLOOKUP(F522,Products!$A$2:$A$51,Products!$B$2:$B$51,0)</f>
        <v>Chemex Filters (100 pack)</v>
      </c>
      <c r="E522" t="str">
        <f>_xlfn.XLOOKUP(B522,customers!$A$2:$A$195,customers!$B$2:$B$195,,0)</f>
        <v>West</v>
      </c>
      <c r="F522">
        <v>1039</v>
      </c>
      <c r="G522" s="9">
        <f>_xlfn.XLOOKUP(B522,customers!$A$1:$A$195,customers!$C$1:$C$195)</f>
        <v>45037</v>
      </c>
      <c r="H522" s="13">
        <v>45753</v>
      </c>
      <c r="I522">
        <v>2</v>
      </c>
      <c r="J522">
        <v>48.2</v>
      </c>
      <c r="K522">
        <v>42.42</v>
      </c>
      <c r="L522">
        <f>_xlfn.XLOOKUP(F522,Products!$A$2:$A$51,Products!$D$2:$D$51,0)</f>
        <v>24.1</v>
      </c>
      <c r="M522">
        <f t="shared" si="8"/>
        <v>5.78</v>
      </c>
    </row>
    <row r="523" spans="1:13">
      <c r="A523" t="s">
        <v>848</v>
      </c>
      <c r="B523" t="s">
        <v>145</v>
      </c>
      <c r="C523" t="str">
        <f>_xlfn.XLOOKUP(F523,Products!$A$2:$A$51,Products!$C$2:$C$51,0)</f>
        <v>Accessories</v>
      </c>
      <c r="D523" t="str">
        <f>_xlfn.XLOOKUP(F523,Products!$A$2:$A$51,Products!$B$2:$B$51,0)</f>
        <v>Digital Coffee Scale</v>
      </c>
      <c r="E523" t="str">
        <f>_xlfn.XLOOKUP(B523,customers!$A$2:$A$195,customers!$B$2:$B$195,,0)</f>
        <v>West</v>
      </c>
      <c r="F523">
        <v>1011</v>
      </c>
      <c r="G523" s="9">
        <f>_xlfn.XLOOKUP(B523,customers!$A$1:$A$195,customers!$C$1:$C$195)</f>
        <v>44982</v>
      </c>
      <c r="H523" s="13">
        <v>45753</v>
      </c>
      <c r="I523">
        <v>1</v>
      </c>
      <c r="J523">
        <v>26.83</v>
      </c>
      <c r="K523">
        <v>14.65</v>
      </c>
      <c r="L523">
        <f>_xlfn.XLOOKUP(F523,Products!$A$2:$A$51,Products!$D$2:$D$51,0)</f>
        <v>26.83</v>
      </c>
      <c r="M523">
        <f t="shared" si="8"/>
        <v>12.18</v>
      </c>
    </row>
    <row r="524" spans="1:13">
      <c r="A524" t="s">
        <v>849</v>
      </c>
      <c r="B524" t="s">
        <v>95</v>
      </c>
      <c r="C524" t="str">
        <f>_xlfn.XLOOKUP(F524,Products!$A$2:$A$51,Products!$C$2:$C$51,0)</f>
        <v>Grinders &amp; Brewers</v>
      </c>
      <c r="D524" t="str">
        <f>_xlfn.XLOOKUP(F524,Products!$A$2:$A$51,Products!$B$2:$B$51,0)</f>
        <v>Hand Grinder (Travel Size)</v>
      </c>
      <c r="E524" t="str">
        <f>_xlfn.XLOOKUP(B524,customers!$A$2:$A$195,customers!$B$2:$B$195,,0)</f>
        <v>West</v>
      </c>
      <c r="F524">
        <v>1007</v>
      </c>
      <c r="G524" s="9">
        <f>_xlfn.XLOOKUP(B524,customers!$A$1:$A$195,customers!$C$1:$C$195)</f>
        <v>44941</v>
      </c>
      <c r="H524" s="13">
        <v>45783</v>
      </c>
      <c r="I524">
        <v>3</v>
      </c>
      <c r="J524">
        <v>764.16</v>
      </c>
      <c r="K524">
        <v>390.85</v>
      </c>
      <c r="L524">
        <f>_xlfn.XLOOKUP(F524,Products!$A$2:$A$51,Products!$D$2:$D$51,0)</f>
        <v>254.72</v>
      </c>
      <c r="M524">
        <f t="shared" si="8"/>
        <v>373.31</v>
      </c>
    </row>
    <row r="525" spans="1:13">
      <c r="A525" t="s">
        <v>850</v>
      </c>
      <c r="B525" t="s">
        <v>148</v>
      </c>
      <c r="C525" t="str">
        <f>_xlfn.XLOOKUP(F525,Products!$A$2:$A$51,Products!$C$2:$C$51,0)</f>
        <v>Accessories</v>
      </c>
      <c r="D525" t="str">
        <f>_xlfn.XLOOKUP(F525,Products!$A$2:$A$51,Products!$B$2:$B$51,0)</f>
        <v>Chemex Filters (100 pack)</v>
      </c>
      <c r="E525" t="str">
        <f>_xlfn.XLOOKUP(B525,customers!$A$2:$A$195,customers!$B$2:$B$195,,0)</f>
        <v>West</v>
      </c>
      <c r="F525">
        <v>1014</v>
      </c>
      <c r="G525" s="9">
        <f>_xlfn.XLOOKUP(B525,customers!$A$1:$A$195,customers!$C$1:$C$195)</f>
        <v>44955</v>
      </c>
      <c r="H525" s="13">
        <v>45783</v>
      </c>
      <c r="I525">
        <v>2</v>
      </c>
      <c r="J525">
        <v>48.2</v>
      </c>
      <c r="K525">
        <v>42.42</v>
      </c>
      <c r="L525">
        <f>_xlfn.XLOOKUP(F525,Products!$A$2:$A$51,Products!$D$2:$D$51,0)</f>
        <v>24.1</v>
      </c>
      <c r="M525">
        <f t="shared" si="8"/>
        <v>5.78</v>
      </c>
    </row>
    <row r="526" spans="1:13">
      <c r="A526" t="s">
        <v>851</v>
      </c>
      <c r="B526" t="s">
        <v>200</v>
      </c>
      <c r="C526" t="str">
        <f>_xlfn.XLOOKUP(F526,Products!$A$2:$A$51,Products!$C$2:$C$51,0)</f>
        <v>Accessories</v>
      </c>
      <c r="D526" t="str">
        <f>_xlfn.XLOOKUP(F526,Products!$A$2:$A$51,Products!$B$2:$B$51,0)</f>
        <v>Digital Coffee Scale</v>
      </c>
      <c r="E526" t="str">
        <f>_xlfn.XLOOKUP(B526,customers!$A$2:$A$195,customers!$B$2:$B$195,,0)</f>
        <v>North</v>
      </c>
      <c r="F526">
        <v>1011</v>
      </c>
      <c r="G526" s="9">
        <f>_xlfn.XLOOKUP(B526,customers!$A$1:$A$195,customers!$C$1:$C$195)</f>
        <v>44947</v>
      </c>
      <c r="H526" s="13">
        <v>45783</v>
      </c>
      <c r="I526">
        <v>2</v>
      </c>
      <c r="J526">
        <v>53.66</v>
      </c>
      <c r="K526">
        <v>29.3</v>
      </c>
      <c r="L526">
        <f>_xlfn.XLOOKUP(F526,Products!$A$2:$A$51,Products!$D$2:$D$51,0)</f>
        <v>26.83</v>
      </c>
      <c r="M526">
        <f t="shared" si="8"/>
        <v>24.36</v>
      </c>
    </row>
    <row r="527" spans="1:13">
      <c r="A527" t="s">
        <v>852</v>
      </c>
      <c r="B527" t="s">
        <v>20</v>
      </c>
      <c r="C527" t="str">
        <f>_xlfn.XLOOKUP(F527,Products!$A$2:$A$51,Products!$C$2:$C$51,0)</f>
        <v>Subscriptions</v>
      </c>
      <c r="D527" t="str">
        <f>_xlfn.XLOOKUP(F527,Products!$A$2:$A$51,Products!$B$2:$B$51,0)</f>
        <v>Subscription Renewal Service</v>
      </c>
      <c r="E527" t="str">
        <f>_xlfn.XLOOKUP(B527,customers!$A$2:$A$195,customers!$B$2:$B$195,,0)</f>
        <v>West</v>
      </c>
      <c r="F527">
        <v>1025</v>
      </c>
      <c r="G527" s="9">
        <f>_xlfn.XLOOKUP(B527,customers!$A$1:$A$195,customers!$C$1:$C$195)</f>
        <v>44982</v>
      </c>
      <c r="H527" s="13">
        <v>45814</v>
      </c>
      <c r="I527">
        <v>1</v>
      </c>
      <c r="J527">
        <v>73.41</v>
      </c>
      <c r="K527">
        <v>27.29</v>
      </c>
      <c r="L527">
        <f>_xlfn.XLOOKUP(F527,Products!$A$2:$A$51,Products!$D$2:$D$51,0)</f>
        <v>73.41</v>
      </c>
      <c r="M527">
        <f t="shared" si="8"/>
        <v>46.12</v>
      </c>
    </row>
    <row r="528" spans="1:13">
      <c r="A528" t="s">
        <v>853</v>
      </c>
      <c r="B528" t="s">
        <v>37</v>
      </c>
      <c r="C528" t="str">
        <f>_xlfn.XLOOKUP(F528,Products!$A$2:$A$51,Products!$C$2:$C$51,0)</f>
        <v>Subscriptions</v>
      </c>
      <c r="D528" t="str">
        <f>_xlfn.XLOOKUP(F528,Products!$A$2:$A$51,Products!$B$2:$B$51,0)</f>
        <v>Espresso Lovers Quarterly Pack</v>
      </c>
      <c r="E528" t="str">
        <f>_xlfn.XLOOKUP(B528,customers!$A$2:$A$195,customers!$B$2:$B$195,,0)</f>
        <v>South</v>
      </c>
      <c r="F528">
        <v>1049</v>
      </c>
      <c r="G528" s="9">
        <f>_xlfn.XLOOKUP(B528,customers!$A$1:$A$195,customers!$C$1:$C$195)</f>
        <v>45059</v>
      </c>
      <c r="H528" s="13">
        <v>45814</v>
      </c>
      <c r="I528">
        <v>4</v>
      </c>
      <c r="J528">
        <v>299.48</v>
      </c>
      <c r="K528">
        <v>76.78</v>
      </c>
      <c r="L528">
        <f>_xlfn.XLOOKUP(F528,Products!$A$2:$A$51,Products!$D$2:$D$51,0)</f>
        <v>74.87</v>
      </c>
      <c r="M528">
        <f t="shared" si="8"/>
        <v>222.7</v>
      </c>
    </row>
    <row r="529" spans="1:13">
      <c r="A529" t="s">
        <v>854</v>
      </c>
      <c r="B529" t="s">
        <v>103</v>
      </c>
      <c r="C529" t="str">
        <f>_xlfn.XLOOKUP(F529,Products!$A$2:$A$51,Products!$C$2:$C$51,0)</f>
        <v>Merchandise</v>
      </c>
      <c r="D529" t="str">
        <f>_xlfn.XLOOKUP(F529,Products!$A$2:$A$51,Products!$B$2:$B$51,0)</f>
        <v>Insulated Travel Tumbler</v>
      </c>
      <c r="E529" t="str">
        <f>_xlfn.XLOOKUP(B529,customers!$A$2:$A$195,customers!$B$2:$B$195,,0)</f>
        <v>West</v>
      </c>
      <c r="F529">
        <v>1043</v>
      </c>
      <c r="G529" s="9">
        <f>_xlfn.XLOOKUP(B529,customers!$A$1:$A$195,customers!$C$1:$C$195)</f>
        <v>45132</v>
      </c>
      <c r="H529" s="13">
        <v>45814</v>
      </c>
      <c r="I529">
        <v>4</v>
      </c>
      <c r="J529">
        <v>173.12</v>
      </c>
      <c r="K529">
        <v>83.29</v>
      </c>
      <c r="L529">
        <f>_xlfn.XLOOKUP(F529,Products!$A$2:$A$51,Products!$D$2:$D$51,0)</f>
        <v>43.28</v>
      </c>
      <c r="M529">
        <f t="shared" si="8"/>
        <v>89.83</v>
      </c>
    </row>
    <row r="530" spans="1:13">
      <c r="A530" t="s">
        <v>855</v>
      </c>
      <c r="B530" t="s">
        <v>103</v>
      </c>
      <c r="C530" t="str">
        <f>_xlfn.XLOOKUP(F530,Products!$A$2:$A$51,Products!$C$2:$C$51,0)</f>
        <v>Merchandise</v>
      </c>
      <c r="D530" t="str">
        <f>_xlfn.XLOOKUP(F530,Products!$A$2:$A$51,Products!$B$2:$B$51,0)</f>
        <v>Daily Grind T-Shirt</v>
      </c>
      <c r="E530" t="str">
        <f>_xlfn.XLOOKUP(B530,customers!$A$2:$A$195,customers!$B$2:$B$195,,0)</f>
        <v>West</v>
      </c>
      <c r="F530">
        <v>1019</v>
      </c>
      <c r="G530" s="9">
        <f>_xlfn.XLOOKUP(B530,customers!$A$1:$A$195,customers!$C$1:$C$195)</f>
        <v>45132</v>
      </c>
      <c r="H530" s="13">
        <v>45814</v>
      </c>
      <c r="I530">
        <v>3</v>
      </c>
      <c r="J530">
        <v>64.11</v>
      </c>
      <c r="K530">
        <v>24.78</v>
      </c>
      <c r="L530">
        <f>_xlfn.XLOOKUP(F530,Products!$A$2:$A$51,Products!$D$2:$D$51,0)</f>
        <v>21.37</v>
      </c>
      <c r="M530">
        <f t="shared" si="8"/>
        <v>39.33</v>
      </c>
    </row>
    <row r="531" spans="1:13">
      <c r="A531" t="s">
        <v>856</v>
      </c>
      <c r="B531" t="s">
        <v>114</v>
      </c>
      <c r="C531" t="str">
        <f>_xlfn.XLOOKUP(F531,Products!$A$2:$A$51,Products!$C$2:$C$51,0)</f>
        <v>Grinders &amp; Brewers</v>
      </c>
      <c r="D531" t="str">
        <f>_xlfn.XLOOKUP(F531,Products!$A$2:$A$51,Products!$B$2:$B$51,0)</f>
        <v>Precision Electric Grinder</v>
      </c>
      <c r="E531" t="str">
        <f>_xlfn.XLOOKUP(B531,customers!$A$2:$A$195,customers!$B$2:$B$195,,0)</f>
        <v>South</v>
      </c>
      <c r="F531">
        <v>1006</v>
      </c>
      <c r="G531" s="9">
        <f>_xlfn.XLOOKUP(B531,customers!$A$1:$A$195,customers!$C$1:$C$195)</f>
        <v>45211</v>
      </c>
      <c r="H531" s="13">
        <v>45814</v>
      </c>
      <c r="I531">
        <v>2</v>
      </c>
      <c r="J531">
        <v>464.4</v>
      </c>
      <c r="K531">
        <v>156.77</v>
      </c>
      <c r="L531">
        <f>_xlfn.XLOOKUP(F531,Products!$A$2:$A$51,Products!$D$2:$D$51,0)</f>
        <v>232.2</v>
      </c>
      <c r="M531">
        <f t="shared" si="8"/>
        <v>307.63</v>
      </c>
    </row>
    <row r="532" spans="1:13">
      <c r="A532" t="s">
        <v>857</v>
      </c>
      <c r="B532" t="s">
        <v>144</v>
      </c>
      <c r="C532" t="str">
        <f>_xlfn.XLOOKUP(F532,Products!$A$2:$A$51,Products!$C$2:$C$51,0)</f>
        <v>Merchandise</v>
      </c>
      <c r="D532" t="str">
        <f>_xlfn.XLOOKUP(F532,Products!$A$2:$A$51,Products!$B$2:$B$51,0)</f>
        <v>Branded Ceramic Mug (Large)</v>
      </c>
      <c r="E532" t="str">
        <f>_xlfn.XLOOKUP(B532,customers!$A$2:$A$195,customers!$B$2:$B$195,,0)</f>
        <v>South</v>
      </c>
      <c r="F532">
        <v>1041</v>
      </c>
      <c r="G532" s="9">
        <f>_xlfn.XLOOKUP(B532,customers!$A$1:$A$195,customers!$C$1:$C$195)</f>
        <v>45085</v>
      </c>
      <c r="H532" s="13">
        <v>45814</v>
      </c>
      <c r="I532">
        <v>3</v>
      </c>
      <c r="J532">
        <v>129.6</v>
      </c>
      <c r="K532">
        <v>93.32</v>
      </c>
      <c r="L532">
        <f>_xlfn.XLOOKUP(F532,Products!$A$2:$A$51,Products!$D$2:$D$51,0)</f>
        <v>43.2</v>
      </c>
      <c r="M532">
        <f t="shared" si="8"/>
        <v>36.28</v>
      </c>
    </row>
    <row r="533" spans="1:13">
      <c r="A533" t="s">
        <v>858</v>
      </c>
      <c r="B533" t="s">
        <v>194</v>
      </c>
      <c r="C533" t="str">
        <f>_xlfn.XLOOKUP(F533,Products!$A$2:$A$51,Products!$C$2:$C$51,0)</f>
        <v>Accessories</v>
      </c>
      <c r="D533" t="str">
        <f>_xlfn.XLOOKUP(F533,Products!$A$2:$A$51,Products!$B$2:$B$51,0)</f>
        <v>Digital Coffee Scale</v>
      </c>
      <c r="E533" t="str">
        <f>_xlfn.XLOOKUP(B533,customers!$A$2:$A$195,customers!$B$2:$B$195,,0)</f>
        <v>North</v>
      </c>
      <c r="F533">
        <v>1011</v>
      </c>
      <c r="G533" s="9">
        <f>_xlfn.XLOOKUP(B533,customers!$A$1:$A$195,customers!$C$1:$C$195)</f>
        <v>45096</v>
      </c>
      <c r="H533" s="13">
        <v>45814</v>
      </c>
      <c r="I533">
        <v>2</v>
      </c>
      <c r="J533">
        <v>53.66</v>
      </c>
      <c r="K533">
        <v>29.3</v>
      </c>
      <c r="L533">
        <f>_xlfn.XLOOKUP(F533,Products!$A$2:$A$51,Products!$D$2:$D$51,0)</f>
        <v>26.83</v>
      </c>
      <c r="M533">
        <f t="shared" si="8"/>
        <v>24.36</v>
      </c>
    </row>
    <row r="534" spans="1:13">
      <c r="A534" t="s">
        <v>859</v>
      </c>
      <c r="B534" t="s">
        <v>190</v>
      </c>
      <c r="C534" t="str">
        <f>_xlfn.XLOOKUP(F534,Products!$A$2:$A$51,Products!$C$2:$C$51,0)</f>
        <v>Grinders &amp; Brewers</v>
      </c>
      <c r="D534" t="str">
        <f>_xlfn.XLOOKUP(F534,Products!$A$2:$A$51,Products!$B$2:$B$51,0)</f>
        <v>Automated Drip Brewer</v>
      </c>
      <c r="E534" t="str">
        <f>_xlfn.XLOOKUP(B534,customers!$A$2:$A$195,customers!$B$2:$B$195,,0)</f>
        <v>East</v>
      </c>
      <c r="F534">
        <v>1008</v>
      </c>
      <c r="G534" s="9">
        <f>_xlfn.XLOOKUP(B534,customers!$A$1:$A$195,customers!$C$1:$C$195)</f>
        <v>45043</v>
      </c>
      <c r="H534" s="13">
        <v>45844</v>
      </c>
      <c r="I534">
        <v>1</v>
      </c>
      <c r="J534">
        <v>235.76</v>
      </c>
      <c r="K534">
        <v>132.48</v>
      </c>
      <c r="L534">
        <f>_xlfn.XLOOKUP(F534,Products!$A$2:$A$51,Products!$D$2:$D$51,0)</f>
        <v>235.76</v>
      </c>
      <c r="M534">
        <f t="shared" si="8"/>
        <v>103.28</v>
      </c>
    </row>
    <row r="535" spans="1:13">
      <c r="A535" t="s">
        <v>860</v>
      </c>
      <c r="B535" t="s">
        <v>196</v>
      </c>
      <c r="C535" t="str">
        <f>_xlfn.XLOOKUP(F535,Products!$A$2:$A$51,Products!$C$2:$C$51,0)</f>
        <v>Consumables</v>
      </c>
      <c r="D535" t="str">
        <f>_xlfn.XLOOKUP(F535,Products!$A$2:$A$51,Products!$B$2:$B$51,0)</f>
        <v>Single-Origin Ethiopian (250g)</v>
      </c>
      <c r="E535" t="str">
        <f>_xlfn.XLOOKUP(B535,customers!$A$2:$A$195,customers!$B$2:$B$195,,0)</f>
        <v>West</v>
      </c>
      <c r="F535">
        <v>1001</v>
      </c>
      <c r="G535" s="9">
        <f>_xlfn.XLOOKUP(B535,customers!$A$1:$A$195,customers!$C$1:$C$195)</f>
        <v>45186</v>
      </c>
      <c r="H535" s="13">
        <v>45875</v>
      </c>
      <c r="I535">
        <v>3</v>
      </c>
      <c r="J535">
        <v>58.47</v>
      </c>
      <c r="K535">
        <v>38.12</v>
      </c>
      <c r="L535">
        <f>_xlfn.XLOOKUP(F535,Products!$A$2:$A$51,Products!$D$2:$D$51,0)</f>
        <v>19.49</v>
      </c>
      <c r="M535">
        <f t="shared" si="8"/>
        <v>20.35</v>
      </c>
    </row>
    <row r="536" spans="1:13">
      <c r="A536" t="s">
        <v>861</v>
      </c>
      <c r="B536" t="s">
        <v>98</v>
      </c>
      <c r="C536" t="str">
        <f>_xlfn.XLOOKUP(F536,Products!$A$2:$A$51,Products!$C$2:$C$51,0)</f>
        <v>Subscriptions</v>
      </c>
      <c r="D536" t="str">
        <f>_xlfn.XLOOKUP(F536,Products!$A$2:$A$51,Products!$B$2:$B$51,0)</f>
        <v>Espresso Lovers Quarterly Pack</v>
      </c>
      <c r="E536" t="str">
        <f>_xlfn.XLOOKUP(B536,customers!$A$2:$A$195,customers!$B$2:$B$195,,0)</f>
        <v>South</v>
      </c>
      <c r="F536">
        <v>1024</v>
      </c>
      <c r="G536" s="9">
        <f>_xlfn.XLOOKUP(B536,customers!$A$1:$A$195,customers!$C$1:$C$195)</f>
        <v>45122</v>
      </c>
      <c r="H536" s="13">
        <v>45906</v>
      </c>
      <c r="I536">
        <v>3</v>
      </c>
      <c r="J536">
        <v>224.61</v>
      </c>
      <c r="K536">
        <v>57.58</v>
      </c>
      <c r="L536">
        <f>_xlfn.XLOOKUP(F536,Products!$A$2:$A$51,Products!$D$2:$D$51,0)</f>
        <v>74.87</v>
      </c>
      <c r="M536">
        <f t="shared" si="8"/>
        <v>167.03</v>
      </c>
    </row>
    <row r="537" spans="1:13">
      <c r="A537" t="s">
        <v>862</v>
      </c>
      <c r="B537" t="s">
        <v>57</v>
      </c>
      <c r="C537" t="str">
        <f>_xlfn.XLOOKUP(F537,Products!$A$2:$A$51,Products!$C$2:$C$51,0)</f>
        <v>Grinders &amp; Brewers</v>
      </c>
      <c r="D537" t="str">
        <f>_xlfn.XLOOKUP(F537,Products!$A$2:$A$51,Products!$B$2:$B$51,0)</f>
        <v>Automated Drip Brewer</v>
      </c>
      <c r="E537" t="str">
        <f>_xlfn.XLOOKUP(B537,customers!$A$2:$A$195,customers!$B$2:$B$195,,0)</f>
        <v>North</v>
      </c>
      <c r="F537">
        <v>1008</v>
      </c>
      <c r="G537" s="9">
        <f>_xlfn.XLOOKUP(B537,customers!$A$1:$A$195,customers!$C$1:$C$195)</f>
        <v>44933</v>
      </c>
      <c r="H537" s="13">
        <v>45936</v>
      </c>
      <c r="I537">
        <v>3</v>
      </c>
      <c r="J537">
        <v>707.28</v>
      </c>
      <c r="K537">
        <v>397.45</v>
      </c>
      <c r="L537">
        <f>_xlfn.XLOOKUP(F537,Products!$A$2:$A$51,Products!$D$2:$D$51,0)</f>
        <v>235.76</v>
      </c>
      <c r="M537">
        <f t="shared" si="8"/>
        <v>309.83</v>
      </c>
    </row>
    <row r="538" spans="1:13">
      <c r="A538" t="s">
        <v>863</v>
      </c>
      <c r="B538" t="s">
        <v>62</v>
      </c>
      <c r="C538" t="str">
        <f>_xlfn.XLOOKUP(F538,Products!$A$2:$A$51,Products!$C$2:$C$51,0)</f>
        <v>Consumables</v>
      </c>
      <c r="D538" t="str">
        <f>_xlfn.XLOOKUP(F538,Products!$A$2:$A$51,Products!$B$2:$B$51,0)</f>
        <v>Decaf Blend (1kg)</v>
      </c>
      <c r="E538" t="str">
        <f>_xlfn.XLOOKUP(B538,customers!$A$2:$A$195,customers!$B$2:$B$195,,0)</f>
        <v>West</v>
      </c>
      <c r="F538">
        <v>1003</v>
      </c>
      <c r="G538" s="9">
        <f>_xlfn.XLOOKUP(B538,customers!$A$1:$A$195,customers!$C$1:$C$195)</f>
        <v>45178</v>
      </c>
      <c r="H538" s="13">
        <v>45936</v>
      </c>
      <c r="I538">
        <v>2</v>
      </c>
      <c r="J538">
        <v>80.7</v>
      </c>
      <c r="K538">
        <v>25.72</v>
      </c>
      <c r="L538">
        <f>_xlfn.XLOOKUP(F538,Products!$A$2:$A$51,Products!$D$2:$D$51,0)</f>
        <v>40.35</v>
      </c>
      <c r="M538">
        <f t="shared" si="8"/>
        <v>54.98</v>
      </c>
    </row>
    <row r="539" spans="1:13">
      <c r="A539" t="s">
        <v>864</v>
      </c>
      <c r="B539" t="s">
        <v>98</v>
      </c>
      <c r="C539" t="str">
        <f>_xlfn.XLOOKUP(F539,Products!$A$2:$A$51,Products!$C$2:$C$51,0)</f>
        <v>Grinders &amp; Brewers</v>
      </c>
      <c r="D539" t="str">
        <f>_xlfn.XLOOKUP(F539,Products!$A$2:$A$51,Products!$B$2:$B$51,0)</f>
        <v>High-Capacity French Press</v>
      </c>
      <c r="E539" t="str">
        <f>_xlfn.XLOOKUP(B539,customers!$A$2:$A$195,customers!$B$2:$B$195,,0)</f>
        <v>South</v>
      </c>
      <c r="F539">
        <v>1009</v>
      </c>
      <c r="G539" s="9">
        <f>_xlfn.XLOOKUP(B539,customers!$A$1:$A$195,customers!$C$1:$C$195)</f>
        <v>45122</v>
      </c>
      <c r="H539" s="13">
        <v>45936</v>
      </c>
      <c r="I539">
        <v>3</v>
      </c>
      <c r="J539">
        <v>1015.08</v>
      </c>
      <c r="K539">
        <v>444.51</v>
      </c>
      <c r="L539">
        <f>_xlfn.XLOOKUP(F539,Products!$A$2:$A$51,Products!$D$2:$D$51,0)</f>
        <v>338.36</v>
      </c>
      <c r="M539">
        <f t="shared" si="8"/>
        <v>570.57</v>
      </c>
    </row>
    <row r="540" spans="1:13">
      <c r="A540" t="s">
        <v>865</v>
      </c>
      <c r="B540" t="s">
        <v>14</v>
      </c>
      <c r="C540" t="str">
        <f>_xlfn.XLOOKUP(F540,Products!$A$2:$A$51,Products!$C$2:$C$51,0)</f>
        <v>Merchandise</v>
      </c>
      <c r="D540" t="str">
        <f>_xlfn.XLOOKUP(F540,Products!$A$2:$A$51,Products!$B$2:$B$51,0)</f>
        <v>Daily Grind T-Shirt</v>
      </c>
      <c r="E540" t="str">
        <f>_xlfn.XLOOKUP(B540,customers!$A$2:$A$195,customers!$B$2:$B$195,,0)</f>
        <v>West</v>
      </c>
      <c r="F540">
        <v>1019</v>
      </c>
      <c r="G540" s="9">
        <f>_xlfn.XLOOKUP(B540,customers!$A$1:$A$195,customers!$C$1:$C$195)</f>
        <v>45134</v>
      </c>
      <c r="H540" s="13">
        <v>45967</v>
      </c>
      <c r="I540">
        <v>3</v>
      </c>
      <c r="J540">
        <v>64.11</v>
      </c>
      <c r="K540">
        <v>24.78</v>
      </c>
      <c r="L540">
        <f>_xlfn.XLOOKUP(F540,Products!$A$2:$A$51,Products!$D$2:$D$51,0)</f>
        <v>21.37</v>
      </c>
      <c r="M540">
        <f t="shared" si="8"/>
        <v>39.33</v>
      </c>
    </row>
    <row r="541" spans="1:13">
      <c r="A541" t="s">
        <v>866</v>
      </c>
      <c r="B541" t="s">
        <v>69</v>
      </c>
      <c r="C541" t="str">
        <f>_xlfn.XLOOKUP(F541,Products!$A$2:$A$51,Products!$C$2:$C$51,0)</f>
        <v>Accessories</v>
      </c>
      <c r="D541" t="str">
        <f>_xlfn.XLOOKUP(F541,Products!$A$2:$A$51,Products!$B$2:$B$51,0)</f>
        <v>Airtight Storage Container</v>
      </c>
      <c r="E541" t="str">
        <f>_xlfn.XLOOKUP(B541,customers!$A$2:$A$195,customers!$B$2:$B$195,,0)</f>
        <v>East</v>
      </c>
      <c r="F541">
        <v>1038</v>
      </c>
      <c r="G541" s="9">
        <f>_xlfn.XLOOKUP(B541,customers!$A$1:$A$195,customers!$C$1:$C$195)</f>
        <v>44933</v>
      </c>
      <c r="H541" s="13">
        <v>45967</v>
      </c>
      <c r="I541">
        <v>2</v>
      </c>
      <c r="J541">
        <v>122.08</v>
      </c>
      <c r="K541">
        <v>51.41</v>
      </c>
      <c r="L541">
        <f>_xlfn.XLOOKUP(F541,Products!$A$2:$A$51,Products!$D$2:$D$51,0)</f>
        <v>61.04</v>
      </c>
      <c r="M541">
        <f t="shared" si="8"/>
        <v>70.67</v>
      </c>
    </row>
    <row r="542" spans="1:13">
      <c r="A542" t="s">
        <v>867</v>
      </c>
      <c r="B542" t="s">
        <v>79</v>
      </c>
      <c r="C542" t="str">
        <f>_xlfn.XLOOKUP(F542,Products!$A$2:$A$51,Products!$C$2:$C$51,0)</f>
        <v>Subscriptions</v>
      </c>
      <c r="D542" t="str">
        <f>_xlfn.XLOOKUP(F542,Products!$A$2:$A$51,Products!$B$2:$B$51,0)</f>
        <v>Three-Month Gift Subscription</v>
      </c>
      <c r="E542" t="str">
        <f>_xlfn.XLOOKUP(B542,customers!$A$2:$A$195,customers!$B$2:$B$195,,0)</f>
        <v>South</v>
      </c>
      <c r="F542">
        <v>1048</v>
      </c>
      <c r="G542" s="9">
        <f>_xlfn.XLOOKUP(B542,customers!$A$1:$A$195,customers!$C$1:$C$195)</f>
        <v>44978</v>
      </c>
      <c r="H542" s="13">
        <v>45967</v>
      </c>
      <c r="I542">
        <v>2</v>
      </c>
      <c r="J542">
        <v>130.42</v>
      </c>
      <c r="K542">
        <v>55.22</v>
      </c>
      <c r="L542">
        <f>_xlfn.XLOOKUP(F542,Products!$A$2:$A$51,Products!$D$2:$D$51,0)</f>
        <v>65.21</v>
      </c>
      <c r="M542">
        <f t="shared" si="8"/>
        <v>75.2</v>
      </c>
    </row>
    <row r="543" spans="1:13">
      <c r="A543" t="s">
        <v>868</v>
      </c>
      <c r="B543" t="s">
        <v>100</v>
      </c>
      <c r="C543" t="str">
        <f>_xlfn.XLOOKUP(F543,Products!$A$2:$A$51,Products!$C$2:$C$51,0)</f>
        <v>Consumables</v>
      </c>
      <c r="D543" t="str">
        <f>_xlfn.XLOOKUP(F543,Products!$A$2:$A$51,Products!$B$2:$B$51,0)</f>
        <v>Espresso Bean Sampler Pack</v>
      </c>
      <c r="E543" t="str">
        <f>_xlfn.XLOOKUP(B543,customers!$A$2:$A$195,customers!$B$2:$B$195,,0)</f>
        <v>West</v>
      </c>
      <c r="F543">
        <v>1030</v>
      </c>
      <c r="G543" s="9">
        <f>_xlfn.XLOOKUP(B543,customers!$A$1:$A$195,customers!$C$1:$C$195)</f>
        <v>45128</v>
      </c>
      <c r="H543" s="13">
        <v>45967</v>
      </c>
      <c r="I543">
        <v>2</v>
      </c>
      <c r="J543">
        <v>38.12</v>
      </c>
      <c r="K543">
        <v>23.94</v>
      </c>
      <c r="L543">
        <f>_xlfn.XLOOKUP(F543,Products!$A$2:$A$51,Products!$D$2:$D$51,0)</f>
        <v>19.06</v>
      </c>
      <c r="M543">
        <f t="shared" si="8"/>
        <v>14.18</v>
      </c>
    </row>
    <row r="544" spans="1:13">
      <c r="A544" t="s">
        <v>869</v>
      </c>
      <c r="B544" t="s">
        <v>103</v>
      </c>
      <c r="C544" t="str">
        <f>_xlfn.XLOOKUP(F544,Products!$A$2:$A$51,Products!$C$2:$C$51,0)</f>
        <v>Grinders &amp; Brewers</v>
      </c>
      <c r="D544" t="str">
        <f>_xlfn.XLOOKUP(F544,Products!$A$2:$A$51,Products!$B$2:$B$51,0)</f>
        <v>Precision Electric Grinder</v>
      </c>
      <c r="E544" t="str">
        <f>_xlfn.XLOOKUP(B544,customers!$A$2:$A$195,customers!$B$2:$B$195,,0)</f>
        <v>West</v>
      </c>
      <c r="F544">
        <v>1031</v>
      </c>
      <c r="G544" s="9">
        <f>_xlfn.XLOOKUP(B544,customers!$A$1:$A$195,customers!$C$1:$C$195)</f>
        <v>45132</v>
      </c>
      <c r="H544" s="13">
        <v>45967</v>
      </c>
      <c r="I544">
        <v>3</v>
      </c>
      <c r="J544">
        <v>696.6</v>
      </c>
      <c r="K544">
        <v>235.16</v>
      </c>
      <c r="L544">
        <f>_xlfn.XLOOKUP(F544,Products!$A$2:$A$51,Products!$D$2:$D$51,0)</f>
        <v>232.2</v>
      </c>
      <c r="M544">
        <f t="shared" si="8"/>
        <v>461.44</v>
      </c>
    </row>
    <row r="545" spans="1:13">
      <c r="A545" t="s">
        <v>870</v>
      </c>
      <c r="B545" t="s">
        <v>117</v>
      </c>
      <c r="C545" t="str">
        <f>_xlfn.XLOOKUP(F545,Products!$A$2:$A$51,Products!$C$2:$C$51,0)</f>
        <v>Merchandise</v>
      </c>
      <c r="D545" t="str">
        <f>_xlfn.XLOOKUP(F545,Products!$A$2:$A$51,Products!$B$2:$B$51,0)</f>
        <v>Daily Grind T-Shirt</v>
      </c>
      <c r="E545" t="str">
        <f>_xlfn.XLOOKUP(B545,customers!$A$2:$A$195,customers!$B$2:$B$195,,0)</f>
        <v>East</v>
      </c>
      <c r="F545">
        <v>1044</v>
      </c>
      <c r="G545" s="9">
        <f>_xlfn.XLOOKUP(B545,customers!$A$1:$A$195,customers!$C$1:$C$195)</f>
        <v>45139</v>
      </c>
      <c r="H545" s="13">
        <v>45967</v>
      </c>
      <c r="I545">
        <v>4</v>
      </c>
      <c r="J545">
        <v>85.48</v>
      </c>
      <c r="K545">
        <v>33.04</v>
      </c>
      <c r="L545">
        <f>_xlfn.XLOOKUP(F545,Products!$A$2:$A$51,Products!$D$2:$D$51,0)</f>
        <v>21.37</v>
      </c>
      <c r="M545">
        <f t="shared" si="8"/>
        <v>52.44</v>
      </c>
    </row>
    <row r="546" spans="1:13">
      <c r="A546" t="s">
        <v>871</v>
      </c>
      <c r="B546" t="s">
        <v>129</v>
      </c>
      <c r="C546" t="str">
        <f>_xlfn.XLOOKUP(F546,Products!$A$2:$A$51,Products!$C$2:$C$51,0)</f>
        <v>Grinders &amp; Brewers</v>
      </c>
      <c r="D546" t="str">
        <f>_xlfn.XLOOKUP(F546,Products!$A$2:$A$51,Products!$B$2:$B$51,0)</f>
        <v>High-Capacity French Press</v>
      </c>
      <c r="E546" t="str">
        <f>_xlfn.XLOOKUP(B546,customers!$A$2:$A$195,customers!$B$2:$B$195,,0)</f>
        <v>East</v>
      </c>
      <c r="F546">
        <v>1034</v>
      </c>
      <c r="G546" s="9">
        <f>_xlfn.XLOOKUP(B546,customers!$A$1:$A$195,customers!$C$1:$C$195)</f>
        <v>45151</v>
      </c>
      <c r="H546" s="13">
        <v>45967</v>
      </c>
      <c r="I546">
        <v>4</v>
      </c>
      <c r="J546">
        <v>1353.44</v>
      </c>
      <c r="K546">
        <v>592.68</v>
      </c>
      <c r="L546">
        <f>_xlfn.XLOOKUP(F546,Products!$A$2:$A$51,Products!$D$2:$D$51,0)</f>
        <v>338.36</v>
      </c>
      <c r="M546">
        <f t="shared" si="8"/>
        <v>760.76</v>
      </c>
    </row>
    <row r="547" spans="1:13">
      <c r="A547" t="s">
        <v>872</v>
      </c>
      <c r="B547" t="s">
        <v>129</v>
      </c>
      <c r="C547" t="str">
        <f>_xlfn.XLOOKUP(F547,Products!$A$2:$A$51,Products!$C$2:$C$51,0)</f>
        <v>Merchandise</v>
      </c>
      <c r="D547" t="str">
        <f>_xlfn.XLOOKUP(F547,Products!$A$2:$A$51,Products!$B$2:$B$51,0)</f>
        <v>Daily Grind T-Shirt</v>
      </c>
      <c r="E547" t="str">
        <f>_xlfn.XLOOKUP(B547,customers!$A$2:$A$195,customers!$B$2:$B$195,,0)</f>
        <v>East</v>
      </c>
      <c r="F547">
        <v>1019</v>
      </c>
      <c r="G547" s="9">
        <f>_xlfn.XLOOKUP(B547,customers!$A$1:$A$195,customers!$C$1:$C$195)</f>
        <v>45151</v>
      </c>
      <c r="H547" s="13">
        <v>45967</v>
      </c>
      <c r="I547">
        <v>4</v>
      </c>
      <c r="J547">
        <v>85.48</v>
      </c>
      <c r="K547">
        <v>33.04</v>
      </c>
      <c r="L547">
        <f>_xlfn.XLOOKUP(F547,Products!$A$2:$A$51,Products!$D$2:$D$51,0)</f>
        <v>21.37</v>
      </c>
      <c r="M547">
        <f t="shared" si="8"/>
        <v>52.44</v>
      </c>
    </row>
    <row r="548" spans="1:13">
      <c r="A548" t="s">
        <v>873</v>
      </c>
      <c r="B548" t="s">
        <v>24</v>
      </c>
      <c r="C548" t="str">
        <f>_xlfn.XLOOKUP(F548,Products!$A$2:$A$51,Products!$C$2:$C$51,0)</f>
        <v>Consumables</v>
      </c>
      <c r="D548" t="str">
        <f>_xlfn.XLOOKUP(F548,Products!$A$2:$A$51,Products!$B$2:$B$51,0)</f>
        <v>Single-Origin Ethiopian (250g)</v>
      </c>
      <c r="E548" t="str">
        <f>_xlfn.XLOOKUP(B548,customers!$A$2:$A$195,customers!$B$2:$B$195,,0)</f>
        <v>East</v>
      </c>
      <c r="F548">
        <v>1001</v>
      </c>
      <c r="G548" s="9">
        <f>_xlfn.XLOOKUP(B548,customers!$A$1:$A$195,customers!$C$1:$C$195)</f>
        <v>45169</v>
      </c>
      <c r="H548" s="13" t="s">
        <v>874</v>
      </c>
      <c r="I548">
        <v>3</v>
      </c>
      <c r="J548">
        <v>58.47</v>
      </c>
      <c r="K548">
        <v>38.12</v>
      </c>
      <c r="L548">
        <f>_xlfn.XLOOKUP(F548,Products!$A$2:$A$51,Products!$D$2:$D$51,0)</f>
        <v>19.49</v>
      </c>
      <c r="M548">
        <f t="shared" si="8"/>
        <v>20.35</v>
      </c>
    </row>
    <row r="549" spans="1:13">
      <c r="A549" t="s">
        <v>875</v>
      </c>
      <c r="B549" t="s">
        <v>37</v>
      </c>
      <c r="C549" t="str">
        <f>_xlfn.XLOOKUP(F549,Products!$A$2:$A$51,Products!$C$2:$C$51,0)</f>
        <v>Grinders &amp; Brewers</v>
      </c>
      <c r="D549" t="str">
        <f>_xlfn.XLOOKUP(F549,Products!$A$2:$A$51,Products!$B$2:$B$51,0)</f>
        <v>Automated Drip Brewer</v>
      </c>
      <c r="E549" t="str">
        <f>_xlfn.XLOOKUP(B549,customers!$A$2:$A$195,customers!$B$2:$B$195,,0)</f>
        <v>South</v>
      </c>
      <c r="F549">
        <v>1008</v>
      </c>
      <c r="G549" s="9">
        <f>_xlfn.XLOOKUP(B549,customers!$A$1:$A$195,customers!$C$1:$C$195)</f>
        <v>45059</v>
      </c>
      <c r="H549" s="13" t="s">
        <v>874</v>
      </c>
      <c r="I549">
        <v>3</v>
      </c>
      <c r="J549">
        <v>707.28</v>
      </c>
      <c r="K549">
        <v>397.45</v>
      </c>
      <c r="L549">
        <f>_xlfn.XLOOKUP(F549,Products!$A$2:$A$51,Products!$D$2:$D$51,0)</f>
        <v>235.76</v>
      </c>
      <c r="M549">
        <f t="shared" si="8"/>
        <v>309.83</v>
      </c>
    </row>
    <row r="550" spans="1:13">
      <c r="A550" t="s">
        <v>876</v>
      </c>
      <c r="B550" t="s">
        <v>49</v>
      </c>
      <c r="C550" t="str">
        <f>_xlfn.XLOOKUP(F550,Products!$A$2:$A$51,Products!$C$2:$C$51,0)</f>
        <v>Merchandise</v>
      </c>
      <c r="D550" t="str">
        <f>_xlfn.XLOOKUP(F550,Products!$A$2:$A$51,Products!$B$2:$B$51,0)</f>
        <v>Branded Ceramic Mug (Large)</v>
      </c>
      <c r="E550" t="str">
        <f>_xlfn.XLOOKUP(B550,customers!$A$2:$A$195,customers!$B$2:$B$195,,0)</f>
        <v>West</v>
      </c>
      <c r="F550">
        <v>1041</v>
      </c>
      <c r="G550" s="9">
        <f>_xlfn.XLOOKUP(B550,customers!$A$1:$A$195,customers!$C$1:$C$195)</f>
        <v>45152</v>
      </c>
      <c r="H550" s="13" t="s">
        <v>874</v>
      </c>
      <c r="I550">
        <v>3</v>
      </c>
      <c r="J550">
        <v>129.6</v>
      </c>
      <c r="K550">
        <v>93.32</v>
      </c>
      <c r="L550">
        <f>_xlfn.XLOOKUP(F550,Products!$A$2:$A$51,Products!$D$2:$D$51,0)</f>
        <v>43.2</v>
      </c>
      <c r="M550">
        <f t="shared" si="8"/>
        <v>36.28</v>
      </c>
    </row>
    <row r="551" spans="1:13">
      <c r="A551" t="s">
        <v>877</v>
      </c>
      <c r="B551" t="s">
        <v>65</v>
      </c>
      <c r="C551" t="str">
        <f>_xlfn.XLOOKUP(F551,Products!$A$2:$A$51,Products!$C$2:$C$51,0)</f>
        <v>Grinders &amp; Brewers</v>
      </c>
      <c r="D551" t="str">
        <f>_xlfn.XLOOKUP(F551,Products!$A$2:$A$51,Products!$B$2:$B$51,0)</f>
        <v>Pour-Over Starter Kit</v>
      </c>
      <c r="E551" t="str">
        <f>_xlfn.XLOOKUP(B551,customers!$A$2:$A$195,customers!$B$2:$B$195,,0)</f>
        <v>West</v>
      </c>
      <c r="F551">
        <v>1035</v>
      </c>
      <c r="G551" s="9">
        <f>_xlfn.XLOOKUP(B551,customers!$A$1:$A$195,customers!$C$1:$C$195)</f>
        <v>44939</v>
      </c>
      <c r="H551" s="13" t="s">
        <v>874</v>
      </c>
      <c r="I551">
        <v>1</v>
      </c>
      <c r="J551">
        <v>105.23</v>
      </c>
      <c r="K551">
        <v>74.74</v>
      </c>
      <c r="L551">
        <f>_xlfn.XLOOKUP(F551,Products!$A$2:$A$51,Products!$D$2:$D$51,0)</f>
        <v>105.23</v>
      </c>
      <c r="M551">
        <f t="shared" si="8"/>
        <v>30.49</v>
      </c>
    </row>
    <row r="552" spans="1:13">
      <c r="A552" t="s">
        <v>878</v>
      </c>
      <c r="B552" t="s">
        <v>94</v>
      </c>
      <c r="C552" t="str">
        <f>_xlfn.XLOOKUP(F552,Products!$A$2:$A$51,Products!$C$2:$C$51,0)</f>
        <v>Accessories</v>
      </c>
      <c r="D552" t="str">
        <f>_xlfn.XLOOKUP(F552,Products!$A$2:$A$51,Products!$B$2:$B$51,0)</f>
        <v>Refillable Coffee Pods</v>
      </c>
      <c r="E552" t="str">
        <f>_xlfn.XLOOKUP(B552,customers!$A$2:$A$195,customers!$B$2:$B$195,,0)</f>
        <v>East</v>
      </c>
      <c r="F552">
        <v>1040</v>
      </c>
      <c r="G552" s="9">
        <f>_xlfn.XLOOKUP(B552,customers!$A$1:$A$195,customers!$C$1:$C$195)</f>
        <v>44956</v>
      </c>
      <c r="H552" s="13" t="s">
        <v>874</v>
      </c>
      <c r="I552">
        <v>2</v>
      </c>
      <c r="J552">
        <v>48.26</v>
      </c>
      <c r="K552">
        <v>18.59</v>
      </c>
      <c r="L552">
        <f>_xlfn.XLOOKUP(F552,Products!$A$2:$A$51,Products!$D$2:$D$51,0)</f>
        <v>24.13</v>
      </c>
      <c r="M552">
        <f t="shared" si="8"/>
        <v>29.67</v>
      </c>
    </row>
    <row r="553" spans="1:13">
      <c r="A553" t="s">
        <v>879</v>
      </c>
      <c r="B553" t="s">
        <v>117</v>
      </c>
      <c r="C553" t="str">
        <f>_xlfn.XLOOKUP(F553,Products!$A$2:$A$51,Products!$C$2:$C$51,0)</f>
        <v>Consumables</v>
      </c>
      <c r="D553" t="str">
        <f>_xlfn.XLOOKUP(F553,Products!$A$2:$A$51,Products!$B$2:$B$51,0)</f>
        <v>Seasonal Blend Light Roast</v>
      </c>
      <c r="E553" t="str">
        <f>_xlfn.XLOOKUP(B553,customers!$A$2:$A$195,customers!$B$2:$B$195,,0)</f>
        <v>East</v>
      </c>
      <c r="F553">
        <v>1002</v>
      </c>
      <c r="G553" s="9">
        <f>_xlfn.XLOOKUP(B553,customers!$A$1:$A$195,customers!$C$1:$C$195)</f>
        <v>45139</v>
      </c>
      <c r="H553" s="13" t="s">
        <v>880</v>
      </c>
      <c r="I553">
        <v>1</v>
      </c>
      <c r="J553">
        <v>35.53</v>
      </c>
      <c r="K553">
        <v>5.93</v>
      </c>
      <c r="L553">
        <f>_xlfn.XLOOKUP(F553,Products!$A$2:$A$51,Products!$D$2:$D$51,0)</f>
        <v>35.53</v>
      </c>
      <c r="M553">
        <f t="shared" si="8"/>
        <v>29.6</v>
      </c>
    </row>
    <row r="554" spans="1:13">
      <c r="A554" t="s">
        <v>881</v>
      </c>
      <c r="B554" t="s">
        <v>168</v>
      </c>
      <c r="C554" t="str">
        <f>_xlfn.XLOOKUP(F554,Products!$A$2:$A$51,Products!$C$2:$C$51,0)</f>
        <v>Accessories</v>
      </c>
      <c r="D554" t="str">
        <f>_xlfn.XLOOKUP(F554,Products!$A$2:$A$51,Products!$B$2:$B$51,0)</f>
        <v>Airtight Storage Container</v>
      </c>
      <c r="E554" t="str">
        <f>_xlfn.XLOOKUP(B554,customers!$A$2:$A$195,customers!$B$2:$B$195,,0)</f>
        <v>West</v>
      </c>
      <c r="F554">
        <v>1038</v>
      </c>
      <c r="G554" s="9">
        <f>_xlfn.XLOOKUP(B554,customers!$A$1:$A$195,customers!$C$1:$C$195)</f>
        <v>45128</v>
      </c>
      <c r="H554" s="13" t="s">
        <v>880</v>
      </c>
      <c r="I554">
        <v>2</v>
      </c>
      <c r="J554">
        <v>122.08</v>
      </c>
      <c r="K554">
        <v>51.41</v>
      </c>
      <c r="L554">
        <f>_xlfn.XLOOKUP(F554,Products!$A$2:$A$51,Products!$D$2:$D$51,0)</f>
        <v>61.04</v>
      </c>
      <c r="M554">
        <f t="shared" si="8"/>
        <v>70.67</v>
      </c>
    </row>
    <row r="555" spans="1:13">
      <c r="A555" t="s">
        <v>882</v>
      </c>
      <c r="B555" t="s">
        <v>92</v>
      </c>
      <c r="C555" t="str">
        <f>_xlfn.XLOOKUP(F555,Products!$A$2:$A$51,Products!$C$2:$C$51,0)</f>
        <v>Merchandise</v>
      </c>
      <c r="D555" t="str">
        <f>_xlfn.XLOOKUP(F555,Products!$A$2:$A$51,Products!$B$2:$B$51,0)</f>
        <v>Minimalist Keychain</v>
      </c>
      <c r="E555" t="str">
        <f>_xlfn.XLOOKUP(B555,customers!$A$2:$A$195,customers!$B$2:$B$195,,0)</f>
        <v>South</v>
      </c>
      <c r="F555">
        <v>1020</v>
      </c>
      <c r="G555" s="9">
        <f>_xlfn.XLOOKUP(B555,customers!$A$1:$A$195,customers!$C$1:$C$195)</f>
        <v>45125</v>
      </c>
      <c r="H555" s="13" t="s">
        <v>883</v>
      </c>
      <c r="I555">
        <v>3</v>
      </c>
      <c r="J555">
        <v>82.11</v>
      </c>
      <c r="K555">
        <v>72.27</v>
      </c>
      <c r="L555">
        <f>_xlfn.XLOOKUP(F555,Products!$A$2:$A$51,Products!$D$2:$D$51,0)</f>
        <v>27.37</v>
      </c>
      <c r="M555">
        <f t="shared" si="8"/>
        <v>9.84</v>
      </c>
    </row>
    <row r="556" spans="1:13">
      <c r="A556" t="s">
        <v>884</v>
      </c>
      <c r="B556" t="s">
        <v>58</v>
      </c>
      <c r="C556" t="str">
        <f>_xlfn.XLOOKUP(F556,Products!$A$2:$A$51,Products!$C$2:$C$51,0)</f>
        <v>Accessories</v>
      </c>
      <c r="D556" t="str">
        <f>_xlfn.XLOOKUP(F556,Products!$A$2:$A$51,Products!$B$2:$B$51,0)</f>
        <v>Chemex Filters (100 pack)</v>
      </c>
      <c r="E556" t="str">
        <f>_xlfn.XLOOKUP(B556,customers!$A$2:$A$195,customers!$B$2:$B$195,,0)</f>
        <v>East</v>
      </c>
      <c r="F556">
        <v>1039</v>
      </c>
      <c r="G556" s="9">
        <f>_xlfn.XLOOKUP(B556,customers!$A$1:$A$195,customers!$C$1:$C$195)</f>
        <v>45287</v>
      </c>
      <c r="H556" s="13" t="s">
        <v>885</v>
      </c>
      <c r="I556">
        <v>4</v>
      </c>
      <c r="J556">
        <v>96.4</v>
      </c>
      <c r="K556">
        <v>84.83</v>
      </c>
      <c r="L556">
        <f>_xlfn.XLOOKUP(F556,Products!$A$2:$A$51,Products!$D$2:$D$51,0)</f>
        <v>24.1</v>
      </c>
      <c r="M556">
        <f t="shared" si="8"/>
        <v>11.57</v>
      </c>
    </row>
    <row r="557" spans="1:13">
      <c r="A557" t="s">
        <v>886</v>
      </c>
      <c r="B557" t="s">
        <v>107</v>
      </c>
      <c r="C557" t="str">
        <f>_xlfn.XLOOKUP(F557,Products!$A$2:$A$51,Products!$C$2:$C$51,0)</f>
        <v>Accessories</v>
      </c>
      <c r="D557" t="str">
        <f>_xlfn.XLOOKUP(F557,Products!$A$2:$A$51,Products!$B$2:$B$51,0)</f>
        <v>Gooseneck Electric Kettle</v>
      </c>
      <c r="E557" t="str">
        <f>_xlfn.XLOOKUP(B557,customers!$A$2:$A$195,customers!$B$2:$B$195,,0)</f>
        <v>North</v>
      </c>
      <c r="F557">
        <v>1012</v>
      </c>
      <c r="G557" s="9">
        <f>_xlfn.XLOOKUP(B557,customers!$A$1:$A$195,customers!$C$1:$C$195)</f>
        <v>45039</v>
      </c>
      <c r="H557" s="13" t="s">
        <v>885</v>
      </c>
      <c r="I557">
        <v>4</v>
      </c>
      <c r="J557">
        <v>139.48</v>
      </c>
      <c r="K557">
        <v>103.88</v>
      </c>
      <c r="L557">
        <f>_xlfn.XLOOKUP(F557,Products!$A$2:$A$51,Products!$D$2:$D$51,0)</f>
        <v>34.87</v>
      </c>
      <c r="M557">
        <f t="shared" si="8"/>
        <v>35.6</v>
      </c>
    </row>
    <row r="558" spans="1:13">
      <c r="A558" t="s">
        <v>887</v>
      </c>
      <c r="B558" t="s">
        <v>129</v>
      </c>
      <c r="C558" t="str">
        <f>_xlfn.XLOOKUP(F558,Products!$A$2:$A$51,Products!$C$2:$C$51,0)</f>
        <v>Accessories</v>
      </c>
      <c r="D558" t="str">
        <f>_xlfn.XLOOKUP(F558,Products!$A$2:$A$51,Products!$B$2:$B$51,0)</f>
        <v>Chemex Filters (100 pack)</v>
      </c>
      <c r="E558" t="str">
        <f>_xlfn.XLOOKUP(B558,customers!$A$2:$A$195,customers!$B$2:$B$195,,0)</f>
        <v>East</v>
      </c>
      <c r="F558">
        <v>1039</v>
      </c>
      <c r="G558" s="9">
        <f>_xlfn.XLOOKUP(B558,customers!$A$1:$A$195,customers!$C$1:$C$195)</f>
        <v>45151</v>
      </c>
      <c r="H558" s="13" t="s">
        <v>885</v>
      </c>
      <c r="I558">
        <v>1</v>
      </c>
      <c r="J558">
        <v>24.1</v>
      </c>
      <c r="K558">
        <v>21.21</v>
      </c>
      <c r="L558">
        <f>_xlfn.XLOOKUP(F558,Products!$A$2:$A$51,Products!$D$2:$D$51,0)</f>
        <v>24.1</v>
      </c>
      <c r="M558">
        <f t="shared" si="8"/>
        <v>2.89</v>
      </c>
    </row>
    <row r="559" spans="1:13">
      <c r="A559" t="s">
        <v>888</v>
      </c>
      <c r="B559" t="s">
        <v>142</v>
      </c>
      <c r="C559" t="str">
        <f>_xlfn.XLOOKUP(F559,Products!$A$2:$A$51,Products!$C$2:$C$51,0)</f>
        <v>Merchandise</v>
      </c>
      <c r="D559" t="str">
        <f>_xlfn.XLOOKUP(F559,Products!$A$2:$A$51,Products!$B$2:$B$51,0)</f>
        <v>Daily Grind T-Shirt</v>
      </c>
      <c r="E559" t="str">
        <f>_xlfn.XLOOKUP(B559,customers!$A$2:$A$195,customers!$B$2:$B$195,,0)</f>
        <v>South</v>
      </c>
      <c r="F559">
        <v>1044</v>
      </c>
      <c r="G559" s="9">
        <f>_xlfn.XLOOKUP(B559,customers!$A$1:$A$195,customers!$C$1:$C$195)</f>
        <v>45079</v>
      </c>
      <c r="H559" s="13" t="s">
        <v>885</v>
      </c>
      <c r="I559">
        <v>2</v>
      </c>
      <c r="J559">
        <v>42.74</v>
      </c>
      <c r="K559">
        <v>16.52</v>
      </c>
      <c r="L559">
        <f>_xlfn.XLOOKUP(F559,Products!$A$2:$A$51,Products!$D$2:$D$51,0)</f>
        <v>21.37</v>
      </c>
      <c r="M559">
        <f t="shared" si="8"/>
        <v>26.22</v>
      </c>
    </row>
    <row r="560" spans="1:13">
      <c r="A560" t="s">
        <v>889</v>
      </c>
      <c r="B560" t="s">
        <v>10</v>
      </c>
      <c r="C560" t="str">
        <f>_xlfn.XLOOKUP(F560,Products!$A$2:$A$51,Products!$C$2:$C$51,0)</f>
        <v>Merchandise</v>
      </c>
      <c r="D560" t="str">
        <f>_xlfn.XLOOKUP(F560,Products!$A$2:$A$51,Products!$B$2:$B$51,0)</f>
        <v>Insulated Travel Tumbler</v>
      </c>
      <c r="E560" t="str">
        <f>_xlfn.XLOOKUP(B560,customers!$A$2:$A$195,customers!$B$2:$B$195,,0)</f>
        <v>West</v>
      </c>
      <c r="F560">
        <v>1043</v>
      </c>
      <c r="G560" s="9">
        <f>_xlfn.XLOOKUP(B560,customers!$A$1:$A$195,customers!$C$1:$C$195)</f>
        <v>45195</v>
      </c>
      <c r="H560" s="13" t="s">
        <v>890</v>
      </c>
      <c r="I560">
        <v>3</v>
      </c>
      <c r="J560">
        <v>129.84</v>
      </c>
      <c r="K560">
        <v>62.47</v>
      </c>
      <c r="L560">
        <f>_xlfn.XLOOKUP(F560,Products!$A$2:$A$51,Products!$D$2:$D$51,0)</f>
        <v>43.28</v>
      </c>
      <c r="M560">
        <f t="shared" si="8"/>
        <v>67.37</v>
      </c>
    </row>
    <row r="561" spans="1:13">
      <c r="A561" t="s">
        <v>891</v>
      </c>
      <c r="B561" t="s">
        <v>27</v>
      </c>
      <c r="C561" t="str">
        <f>_xlfn.XLOOKUP(F561,Products!$A$2:$A$51,Products!$C$2:$C$51,0)</f>
        <v>Merchandise</v>
      </c>
      <c r="D561" t="str">
        <f>_xlfn.XLOOKUP(F561,Products!$A$2:$A$51,Products!$B$2:$B$51,0)</f>
        <v>Logo Hoodie (Black)</v>
      </c>
      <c r="E561" t="str">
        <f>_xlfn.XLOOKUP(B561,customers!$A$2:$A$195,customers!$B$2:$B$195,,0)</f>
        <v>West</v>
      </c>
      <c r="F561">
        <v>1017</v>
      </c>
      <c r="G561" s="9">
        <f>_xlfn.XLOOKUP(B561,customers!$A$1:$A$195,customers!$C$1:$C$195)</f>
        <v>45093</v>
      </c>
      <c r="H561" s="13" t="s">
        <v>890</v>
      </c>
      <c r="I561">
        <v>4</v>
      </c>
      <c r="J561">
        <v>60.92</v>
      </c>
      <c r="K561">
        <v>53.59</v>
      </c>
      <c r="L561">
        <f>_xlfn.XLOOKUP(F561,Products!$A$2:$A$51,Products!$D$2:$D$51,0)</f>
        <v>15.23</v>
      </c>
      <c r="M561">
        <f t="shared" si="8"/>
        <v>7.33</v>
      </c>
    </row>
    <row r="562" spans="1:13">
      <c r="A562" t="s">
        <v>892</v>
      </c>
      <c r="B562" t="s">
        <v>65</v>
      </c>
      <c r="C562" t="str">
        <f>_xlfn.XLOOKUP(F562,Products!$A$2:$A$51,Products!$C$2:$C$51,0)</f>
        <v>Accessories</v>
      </c>
      <c r="D562" t="str">
        <f>_xlfn.XLOOKUP(F562,Products!$A$2:$A$51,Products!$B$2:$B$51,0)</f>
        <v>Chemex Filters (100 pack)</v>
      </c>
      <c r="E562" t="str">
        <f>_xlfn.XLOOKUP(B562,customers!$A$2:$A$195,customers!$B$2:$B$195,,0)</f>
        <v>West</v>
      </c>
      <c r="F562">
        <v>1014</v>
      </c>
      <c r="G562" s="9">
        <f>_xlfn.XLOOKUP(B562,customers!$A$1:$A$195,customers!$C$1:$C$195)</f>
        <v>44939</v>
      </c>
      <c r="H562" s="13" t="s">
        <v>893</v>
      </c>
      <c r="I562">
        <v>2</v>
      </c>
      <c r="J562">
        <v>48.2</v>
      </c>
      <c r="K562">
        <v>42.42</v>
      </c>
      <c r="L562">
        <f>_xlfn.XLOOKUP(F562,Products!$A$2:$A$51,Products!$D$2:$D$51,0)</f>
        <v>24.1</v>
      </c>
      <c r="M562">
        <f t="shared" si="8"/>
        <v>5.78</v>
      </c>
    </row>
    <row r="563" spans="1:13">
      <c r="A563" t="s">
        <v>894</v>
      </c>
      <c r="B563" t="s">
        <v>99</v>
      </c>
      <c r="C563" t="str">
        <f>_xlfn.XLOOKUP(F563,Products!$A$2:$A$51,Products!$C$2:$C$51,0)</f>
        <v>Accessories</v>
      </c>
      <c r="D563" t="str">
        <f>_xlfn.XLOOKUP(F563,Products!$A$2:$A$51,Products!$B$2:$B$51,0)</f>
        <v>Refillable Coffee Pods</v>
      </c>
      <c r="E563" t="str">
        <f>_xlfn.XLOOKUP(B563,customers!$A$2:$A$195,customers!$B$2:$B$195,,0)</f>
        <v>West</v>
      </c>
      <c r="F563">
        <v>1015</v>
      </c>
      <c r="G563" s="9">
        <f>_xlfn.XLOOKUP(B563,customers!$A$1:$A$195,customers!$C$1:$C$195)</f>
        <v>45052</v>
      </c>
      <c r="H563" s="13" t="s">
        <v>893</v>
      </c>
      <c r="I563">
        <v>3</v>
      </c>
      <c r="J563">
        <v>72.39</v>
      </c>
      <c r="K563">
        <v>27.88</v>
      </c>
      <c r="L563">
        <f>_xlfn.XLOOKUP(F563,Products!$A$2:$A$51,Products!$D$2:$D$51,0)</f>
        <v>24.13</v>
      </c>
      <c r="M563">
        <f t="shared" si="8"/>
        <v>44.51</v>
      </c>
    </row>
    <row r="564" spans="1:13">
      <c r="A564" t="s">
        <v>895</v>
      </c>
      <c r="B564" t="s">
        <v>166</v>
      </c>
      <c r="C564" t="str">
        <f>_xlfn.XLOOKUP(F564,Products!$A$2:$A$51,Products!$C$2:$C$51,0)</f>
        <v>Consumables</v>
      </c>
      <c r="D564" t="str">
        <f>_xlfn.XLOOKUP(F564,Products!$A$2:$A$51,Products!$B$2:$B$51,0)</f>
        <v>Seasonal Blend Light Roast</v>
      </c>
      <c r="E564" t="str">
        <f>_xlfn.XLOOKUP(B564,customers!$A$2:$A$195,customers!$B$2:$B$195,,0)</f>
        <v>North</v>
      </c>
      <c r="F564">
        <v>1002</v>
      </c>
      <c r="G564" s="9">
        <f>_xlfn.XLOOKUP(B564,customers!$A$1:$A$195,customers!$C$1:$C$195)</f>
        <v>45164</v>
      </c>
      <c r="H564" s="13" t="s">
        <v>893</v>
      </c>
      <c r="I564">
        <v>2</v>
      </c>
      <c r="J564">
        <v>71.06</v>
      </c>
      <c r="K564">
        <v>11.86</v>
      </c>
      <c r="L564">
        <f>_xlfn.XLOOKUP(F564,Products!$A$2:$A$51,Products!$D$2:$D$51,0)</f>
        <v>35.53</v>
      </c>
      <c r="M564">
        <f t="shared" si="8"/>
        <v>59.2</v>
      </c>
    </row>
    <row r="565" spans="1:13">
      <c r="A565" t="s">
        <v>896</v>
      </c>
      <c r="B565" t="s">
        <v>40</v>
      </c>
      <c r="C565" t="str">
        <f>_xlfn.XLOOKUP(F565,Products!$A$2:$A$51,Products!$C$2:$C$51,0)</f>
        <v>Consumables</v>
      </c>
      <c r="D565" t="str">
        <f>_xlfn.XLOOKUP(F565,Products!$A$2:$A$51,Products!$B$2:$B$51,0)</f>
        <v>Seasonal Blend Light Roast</v>
      </c>
      <c r="E565" t="str">
        <f>_xlfn.XLOOKUP(B565,customers!$A$2:$A$195,customers!$B$2:$B$195,,0)</f>
        <v>North</v>
      </c>
      <c r="F565">
        <v>1027</v>
      </c>
      <c r="G565" s="9">
        <f>_xlfn.XLOOKUP(B565,customers!$A$1:$A$195,customers!$C$1:$C$195)</f>
        <v>45068</v>
      </c>
      <c r="H565" s="13" t="s">
        <v>897</v>
      </c>
      <c r="I565">
        <v>1</v>
      </c>
      <c r="J565">
        <v>35.53</v>
      </c>
      <c r="K565">
        <v>5.93</v>
      </c>
      <c r="L565">
        <f>_xlfn.XLOOKUP(F565,Products!$A$2:$A$51,Products!$D$2:$D$51,0)</f>
        <v>35.53</v>
      </c>
      <c r="M565">
        <f t="shared" si="8"/>
        <v>29.6</v>
      </c>
    </row>
    <row r="566" spans="1:13">
      <c r="A566" t="s">
        <v>898</v>
      </c>
      <c r="B566" t="s">
        <v>53</v>
      </c>
      <c r="C566" t="str">
        <f>_xlfn.XLOOKUP(F566,Products!$A$2:$A$51,Products!$C$2:$C$51,0)</f>
        <v>Consumables</v>
      </c>
      <c r="D566" t="str">
        <f>_xlfn.XLOOKUP(F566,Products!$A$2:$A$51,Products!$B$2:$B$51,0)</f>
        <v>Decaf Blend (1kg)</v>
      </c>
      <c r="E566" t="str">
        <f>_xlfn.XLOOKUP(B566,customers!$A$2:$A$195,customers!$B$2:$B$195,,0)</f>
        <v>East</v>
      </c>
      <c r="F566">
        <v>1003</v>
      </c>
      <c r="G566" s="9">
        <f>_xlfn.XLOOKUP(B566,customers!$A$1:$A$195,customers!$C$1:$C$195)</f>
        <v>45154</v>
      </c>
      <c r="H566" s="13" t="s">
        <v>897</v>
      </c>
      <c r="I566">
        <v>3</v>
      </c>
      <c r="J566">
        <v>121.05</v>
      </c>
      <c r="K566">
        <v>38.58</v>
      </c>
      <c r="L566">
        <f>_xlfn.XLOOKUP(F566,Products!$A$2:$A$51,Products!$D$2:$D$51,0)</f>
        <v>40.35</v>
      </c>
      <c r="M566">
        <f t="shared" si="8"/>
        <v>82.47</v>
      </c>
    </row>
    <row r="567" spans="1:13">
      <c r="A567" t="s">
        <v>899</v>
      </c>
      <c r="B567" t="s">
        <v>54</v>
      </c>
      <c r="C567" t="str">
        <f>_xlfn.XLOOKUP(F567,Products!$A$2:$A$51,Products!$C$2:$C$51,0)</f>
        <v>Grinders &amp; Brewers</v>
      </c>
      <c r="D567" t="str">
        <f>_xlfn.XLOOKUP(F567,Products!$A$2:$A$51,Products!$B$2:$B$51,0)</f>
        <v>Automated Drip Brewer</v>
      </c>
      <c r="E567" t="str">
        <f>_xlfn.XLOOKUP(B567,customers!$A$2:$A$195,customers!$B$2:$B$195,,0)</f>
        <v>West</v>
      </c>
      <c r="F567">
        <v>1008</v>
      </c>
      <c r="G567" s="9">
        <f>_xlfn.XLOOKUP(B567,customers!$A$1:$A$195,customers!$C$1:$C$195)</f>
        <v>45201</v>
      </c>
      <c r="H567" s="13" t="s">
        <v>897</v>
      </c>
      <c r="I567">
        <v>2</v>
      </c>
      <c r="J567">
        <v>471.52</v>
      </c>
      <c r="K567">
        <v>264.97</v>
      </c>
      <c r="L567">
        <f>_xlfn.XLOOKUP(F567,Products!$A$2:$A$51,Products!$D$2:$D$51,0)</f>
        <v>235.76</v>
      </c>
      <c r="M567">
        <f t="shared" si="8"/>
        <v>206.55</v>
      </c>
    </row>
    <row r="568" spans="1:13">
      <c r="A568" t="s">
        <v>900</v>
      </c>
      <c r="B568" t="s">
        <v>65</v>
      </c>
      <c r="C568" t="str">
        <f>_xlfn.XLOOKUP(F568,Products!$A$2:$A$51,Products!$C$2:$C$51,0)</f>
        <v>Accessories</v>
      </c>
      <c r="D568" t="str">
        <f>_xlfn.XLOOKUP(F568,Products!$A$2:$A$51,Products!$B$2:$B$51,0)</f>
        <v>Digital Coffee Scale</v>
      </c>
      <c r="E568" t="str">
        <f>_xlfn.XLOOKUP(B568,customers!$A$2:$A$195,customers!$B$2:$B$195,,0)</f>
        <v>West</v>
      </c>
      <c r="F568">
        <v>1011</v>
      </c>
      <c r="G568" s="9">
        <f>_xlfn.XLOOKUP(B568,customers!$A$1:$A$195,customers!$C$1:$C$195)</f>
        <v>44939</v>
      </c>
      <c r="H568" s="13" t="s">
        <v>897</v>
      </c>
      <c r="I568">
        <v>1</v>
      </c>
      <c r="J568">
        <v>26.83</v>
      </c>
      <c r="K568">
        <v>14.65</v>
      </c>
      <c r="L568">
        <f>_xlfn.XLOOKUP(F568,Products!$A$2:$A$51,Products!$D$2:$D$51,0)</f>
        <v>26.83</v>
      </c>
      <c r="M568">
        <f t="shared" si="8"/>
        <v>12.18</v>
      </c>
    </row>
    <row r="569" spans="1:13">
      <c r="A569" t="s">
        <v>901</v>
      </c>
      <c r="B569" t="s">
        <v>88</v>
      </c>
      <c r="C569" t="str">
        <f>_xlfn.XLOOKUP(F569,Products!$A$2:$A$51,Products!$C$2:$C$51,0)</f>
        <v>Grinders &amp; Brewers</v>
      </c>
      <c r="D569" t="str">
        <f>_xlfn.XLOOKUP(F569,Products!$A$2:$A$51,Products!$B$2:$B$51,0)</f>
        <v>Hand Grinder (Travel Size)</v>
      </c>
      <c r="E569" t="str">
        <f>_xlfn.XLOOKUP(B569,customers!$A$2:$A$195,customers!$B$2:$B$195,,0)</f>
        <v>East</v>
      </c>
      <c r="F569">
        <v>1032</v>
      </c>
      <c r="G569" s="9">
        <f>_xlfn.XLOOKUP(B569,customers!$A$1:$A$195,customers!$C$1:$C$195)</f>
        <v>45042</v>
      </c>
      <c r="H569" s="13" t="s">
        <v>897</v>
      </c>
      <c r="I569">
        <v>2</v>
      </c>
      <c r="J569">
        <v>509.44</v>
      </c>
      <c r="K569">
        <v>260.57</v>
      </c>
      <c r="L569">
        <f>_xlfn.XLOOKUP(F569,Products!$A$2:$A$51,Products!$D$2:$D$51,0)</f>
        <v>254.72</v>
      </c>
      <c r="M569">
        <f t="shared" si="8"/>
        <v>248.87</v>
      </c>
    </row>
    <row r="570" spans="1:13">
      <c r="A570" t="s">
        <v>902</v>
      </c>
      <c r="B570" t="s">
        <v>148</v>
      </c>
      <c r="C570" t="str">
        <f>_xlfn.XLOOKUP(F570,Products!$A$2:$A$51,Products!$C$2:$C$51,0)</f>
        <v>Subscriptions</v>
      </c>
      <c r="D570" t="str">
        <f>_xlfn.XLOOKUP(F570,Products!$A$2:$A$51,Products!$B$2:$B$51,0)</f>
        <v>Three-Month Gift Subscription</v>
      </c>
      <c r="E570" t="str">
        <f>_xlfn.XLOOKUP(B570,customers!$A$2:$A$195,customers!$B$2:$B$195,,0)</f>
        <v>West</v>
      </c>
      <c r="F570">
        <v>1048</v>
      </c>
      <c r="G570" s="9">
        <f>_xlfn.XLOOKUP(B570,customers!$A$1:$A$195,customers!$C$1:$C$195)</f>
        <v>44955</v>
      </c>
      <c r="H570" s="13" t="s">
        <v>897</v>
      </c>
      <c r="I570">
        <v>2</v>
      </c>
      <c r="J570">
        <v>130.42</v>
      </c>
      <c r="K570">
        <v>55.22</v>
      </c>
      <c r="L570">
        <f>_xlfn.XLOOKUP(F570,Products!$A$2:$A$51,Products!$D$2:$D$51,0)</f>
        <v>65.21</v>
      </c>
      <c r="M570">
        <f t="shared" si="8"/>
        <v>75.2</v>
      </c>
    </row>
    <row r="571" spans="1:13">
      <c r="A571" t="s">
        <v>903</v>
      </c>
      <c r="B571" t="s">
        <v>88</v>
      </c>
      <c r="C571" t="str">
        <f>_xlfn.XLOOKUP(F571,Products!$A$2:$A$51,Products!$C$2:$C$51,0)</f>
        <v>Consumables</v>
      </c>
      <c r="D571" t="str">
        <f>_xlfn.XLOOKUP(F571,Products!$A$2:$A$51,Products!$B$2:$B$51,0)</f>
        <v>Espresso Bean Sampler Pack</v>
      </c>
      <c r="E571" t="str">
        <f>_xlfn.XLOOKUP(B571,customers!$A$2:$A$195,customers!$B$2:$B$195,,0)</f>
        <v>East</v>
      </c>
      <c r="F571">
        <v>1030</v>
      </c>
      <c r="G571" s="9">
        <f>_xlfn.XLOOKUP(B571,customers!$A$1:$A$195,customers!$C$1:$C$195)</f>
        <v>45042</v>
      </c>
      <c r="H571" s="13" t="s">
        <v>904</v>
      </c>
      <c r="I571">
        <v>2</v>
      </c>
      <c r="J571">
        <v>38.12</v>
      </c>
      <c r="K571">
        <v>23.94</v>
      </c>
      <c r="L571">
        <f>_xlfn.XLOOKUP(F571,Products!$A$2:$A$51,Products!$D$2:$D$51,0)</f>
        <v>19.06</v>
      </c>
      <c r="M571">
        <f t="shared" si="8"/>
        <v>14.18</v>
      </c>
    </row>
    <row r="572" spans="1:13">
      <c r="A572" t="s">
        <v>905</v>
      </c>
      <c r="B572" t="s">
        <v>181</v>
      </c>
      <c r="C572" t="str">
        <f>_xlfn.XLOOKUP(F572,Products!$A$2:$A$51,Products!$C$2:$C$51,0)</f>
        <v>Subscriptions</v>
      </c>
      <c r="D572" t="str">
        <f>_xlfn.XLOOKUP(F572,Products!$A$2:$A$51,Products!$B$2:$B$51,0)</f>
        <v>Subscription Renewal Service</v>
      </c>
      <c r="E572" t="str">
        <f>_xlfn.XLOOKUP(B572,customers!$A$2:$A$195,customers!$B$2:$B$195,,0)</f>
        <v>East</v>
      </c>
      <c r="F572">
        <v>1025</v>
      </c>
      <c r="G572" s="9">
        <f>_xlfn.XLOOKUP(B572,customers!$A$1:$A$195,customers!$C$1:$C$195)</f>
        <v>45125</v>
      </c>
      <c r="H572" s="13" t="s">
        <v>904</v>
      </c>
      <c r="I572">
        <v>3</v>
      </c>
      <c r="J572">
        <v>220.23</v>
      </c>
      <c r="K572">
        <v>81.87</v>
      </c>
      <c r="L572">
        <f>_xlfn.XLOOKUP(F572,Products!$A$2:$A$51,Products!$D$2:$D$51,0)</f>
        <v>73.41</v>
      </c>
      <c r="M572">
        <f t="shared" si="8"/>
        <v>138.36</v>
      </c>
    </row>
    <row r="573" spans="1:13">
      <c r="A573" t="s">
        <v>906</v>
      </c>
      <c r="B573" t="s">
        <v>185</v>
      </c>
      <c r="C573" t="str">
        <f>_xlfn.XLOOKUP(F573,Products!$A$2:$A$51,Products!$C$2:$C$51,0)</f>
        <v>Grinders &amp; Brewers</v>
      </c>
      <c r="D573" t="str">
        <f>_xlfn.XLOOKUP(F573,Products!$A$2:$A$51,Products!$B$2:$B$51,0)</f>
        <v>Pour-Over Starter Kit</v>
      </c>
      <c r="E573" t="str">
        <f>_xlfn.XLOOKUP(B573,customers!$A$2:$A$195,customers!$B$2:$B$195,,0)</f>
        <v>South</v>
      </c>
      <c r="F573">
        <v>1010</v>
      </c>
      <c r="G573" s="9">
        <f>_xlfn.XLOOKUP(B573,customers!$A$1:$A$195,customers!$C$1:$C$195)</f>
        <v>45288</v>
      </c>
      <c r="H573" s="13" t="s">
        <v>904</v>
      </c>
      <c r="I573">
        <v>4</v>
      </c>
      <c r="J573">
        <v>420.92</v>
      </c>
      <c r="K573">
        <v>298.98</v>
      </c>
      <c r="L573">
        <f>_xlfn.XLOOKUP(F573,Products!$A$2:$A$51,Products!$D$2:$D$51,0)</f>
        <v>105.23</v>
      </c>
      <c r="M573">
        <f t="shared" si="8"/>
        <v>121.94</v>
      </c>
    </row>
    <row r="574" spans="1:13">
      <c r="A574" t="s">
        <v>907</v>
      </c>
      <c r="B574" t="s">
        <v>64</v>
      </c>
      <c r="C574" t="str">
        <f>_xlfn.XLOOKUP(F574,Products!$A$2:$A$51,Products!$C$2:$C$51,0)</f>
        <v>Subscriptions</v>
      </c>
      <c r="D574" t="str">
        <f>_xlfn.XLOOKUP(F574,Products!$A$2:$A$51,Products!$B$2:$B$51,0)</f>
        <v>Monthly Dark Roast Subscription</v>
      </c>
      <c r="E574" t="str">
        <f>_xlfn.XLOOKUP(B574,customers!$A$2:$A$195,customers!$B$2:$B$195,,0)</f>
        <v>East</v>
      </c>
      <c r="F574">
        <v>1046</v>
      </c>
      <c r="G574" s="9">
        <f>_xlfn.XLOOKUP(B574,customers!$A$1:$A$195,customers!$C$1:$C$195)</f>
        <v>44933</v>
      </c>
      <c r="H574" s="13" t="s">
        <v>908</v>
      </c>
      <c r="I574">
        <v>3</v>
      </c>
      <c r="J574">
        <v>183.78</v>
      </c>
      <c r="K574">
        <v>105.44</v>
      </c>
      <c r="L574">
        <f>_xlfn.XLOOKUP(F574,Products!$A$2:$A$51,Products!$D$2:$D$51,0)</f>
        <v>61.26</v>
      </c>
      <c r="M574">
        <f t="shared" si="8"/>
        <v>78.34</v>
      </c>
    </row>
    <row r="575" spans="1:13">
      <c r="A575" t="s">
        <v>909</v>
      </c>
      <c r="B575" t="s">
        <v>129</v>
      </c>
      <c r="C575" t="str">
        <f>_xlfn.XLOOKUP(F575,Products!$A$2:$A$51,Products!$C$2:$C$51,0)</f>
        <v>Subscriptions</v>
      </c>
      <c r="D575" t="str">
        <f>_xlfn.XLOOKUP(F575,Products!$A$2:$A$51,Products!$B$2:$B$51,0)</f>
        <v>Espresso Lovers Quarterly Pack</v>
      </c>
      <c r="E575" t="str">
        <f>_xlfn.XLOOKUP(B575,customers!$A$2:$A$195,customers!$B$2:$B$195,,0)</f>
        <v>East</v>
      </c>
      <c r="F575">
        <v>1024</v>
      </c>
      <c r="G575" s="9">
        <f>_xlfn.XLOOKUP(B575,customers!$A$1:$A$195,customers!$C$1:$C$195)</f>
        <v>45151</v>
      </c>
      <c r="H575" s="13" t="s">
        <v>908</v>
      </c>
      <c r="I575">
        <v>2</v>
      </c>
      <c r="J575">
        <v>149.74</v>
      </c>
      <c r="K575">
        <v>38.39</v>
      </c>
      <c r="L575">
        <f>_xlfn.XLOOKUP(F575,Products!$A$2:$A$51,Products!$D$2:$D$51,0)</f>
        <v>74.87</v>
      </c>
      <c r="M575">
        <f t="shared" si="8"/>
        <v>111.35</v>
      </c>
    </row>
    <row r="576" spans="1:13">
      <c r="A576" t="s">
        <v>910</v>
      </c>
      <c r="B576" t="s">
        <v>18</v>
      </c>
      <c r="C576" t="str">
        <f>_xlfn.XLOOKUP(F576,Products!$A$2:$A$51,Products!$C$2:$C$51,0)</f>
        <v>Subscriptions</v>
      </c>
      <c r="D576" t="str">
        <f>_xlfn.XLOOKUP(F576,Products!$A$2:$A$51,Products!$B$2:$B$51,0)</f>
        <v>Three-Month Gift Subscription</v>
      </c>
      <c r="E576" t="str">
        <f>_xlfn.XLOOKUP(B576,customers!$A$2:$A$195,customers!$B$2:$B$195,,0)</f>
        <v>East</v>
      </c>
      <c r="F576">
        <v>1023</v>
      </c>
      <c r="G576" s="9">
        <f>_xlfn.XLOOKUP(B576,customers!$A$1:$A$195,customers!$C$1:$C$195)</f>
        <v>45159</v>
      </c>
      <c r="H576" s="13" t="s">
        <v>911</v>
      </c>
      <c r="I576">
        <v>4</v>
      </c>
      <c r="J576">
        <v>260.84</v>
      </c>
      <c r="K576">
        <v>110.44</v>
      </c>
      <c r="L576">
        <f>_xlfn.XLOOKUP(F576,Products!$A$2:$A$51,Products!$D$2:$D$51,0)</f>
        <v>65.21</v>
      </c>
      <c r="M576">
        <f t="shared" si="8"/>
        <v>150.4</v>
      </c>
    </row>
    <row r="577" spans="1:13">
      <c r="A577" t="s">
        <v>912</v>
      </c>
      <c r="B577" t="s">
        <v>57</v>
      </c>
      <c r="C577" t="str">
        <f>_xlfn.XLOOKUP(F577,Products!$A$2:$A$51,Products!$C$2:$C$51,0)</f>
        <v>Subscriptions</v>
      </c>
      <c r="D577" t="str">
        <f>_xlfn.XLOOKUP(F577,Products!$A$2:$A$51,Products!$B$2:$B$51,0)</f>
        <v>Three-Month Gift Subscription</v>
      </c>
      <c r="E577" t="str">
        <f>_xlfn.XLOOKUP(B577,customers!$A$2:$A$195,customers!$B$2:$B$195,,0)</f>
        <v>North</v>
      </c>
      <c r="F577">
        <v>1048</v>
      </c>
      <c r="G577" s="9">
        <f>_xlfn.XLOOKUP(B577,customers!$A$1:$A$195,customers!$C$1:$C$195)</f>
        <v>44933</v>
      </c>
      <c r="H577" s="13" t="s">
        <v>911</v>
      </c>
      <c r="I577">
        <v>1</v>
      </c>
      <c r="J577">
        <v>65.21</v>
      </c>
      <c r="K577">
        <v>27.61</v>
      </c>
      <c r="L577">
        <f>_xlfn.XLOOKUP(F577,Products!$A$2:$A$51,Products!$D$2:$D$51,0)</f>
        <v>65.21</v>
      </c>
      <c r="M577">
        <f t="shared" si="8"/>
        <v>37.6</v>
      </c>
    </row>
    <row r="578" spans="1:13">
      <c r="A578" t="s">
        <v>913</v>
      </c>
      <c r="B578" t="s">
        <v>84</v>
      </c>
      <c r="C578" t="str">
        <f>_xlfn.XLOOKUP(F578,Products!$A$2:$A$51,Products!$C$2:$C$51,0)</f>
        <v>Accessories</v>
      </c>
      <c r="D578" t="str">
        <f>_xlfn.XLOOKUP(F578,Products!$A$2:$A$51,Products!$B$2:$B$51,0)</f>
        <v>Gooseneck Electric Kettle</v>
      </c>
      <c r="E578" t="str">
        <f>_xlfn.XLOOKUP(B578,customers!$A$2:$A$195,customers!$B$2:$B$195,,0)</f>
        <v>South</v>
      </c>
      <c r="F578">
        <v>1037</v>
      </c>
      <c r="G578" s="9">
        <f>_xlfn.XLOOKUP(B578,customers!$A$1:$A$195,customers!$C$1:$C$195)</f>
        <v>45174</v>
      </c>
      <c r="H578" s="13" t="s">
        <v>911</v>
      </c>
      <c r="I578">
        <v>4</v>
      </c>
      <c r="J578">
        <v>139.48</v>
      </c>
      <c r="K578">
        <v>103.88</v>
      </c>
      <c r="L578">
        <f>_xlfn.XLOOKUP(F578,Products!$A$2:$A$51,Products!$D$2:$D$51,0)</f>
        <v>34.87</v>
      </c>
      <c r="M578">
        <f t="shared" si="8"/>
        <v>35.6</v>
      </c>
    </row>
    <row r="579" spans="1:13">
      <c r="A579" t="s">
        <v>914</v>
      </c>
      <c r="B579" t="s">
        <v>91</v>
      </c>
      <c r="C579" t="str">
        <f>_xlfn.XLOOKUP(F579,Products!$A$2:$A$51,Products!$C$2:$C$51,0)</f>
        <v>Accessories</v>
      </c>
      <c r="D579" t="str">
        <f>_xlfn.XLOOKUP(F579,Products!$A$2:$A$51,Products!$B$2:$B$51,0)</f>
        <v>Airtight Storage Container</v>
      </c>
      <c r="E579" t="str">
        <f>_xlfn.XLOOKUP(B579,customers!$A$2:$A$195,customers!$B$2:$B$195,,0)</f>
        <v>South</v>
      </c>
      <c r="F579">
        <v>1013</v>
      </c>
      <c r="G579" s="9">
        <f>_xlfn.XLOOKUP(B579,customers!$A$1:$A$195,customers!$C$1:$C$195)</f>
        <v>45026</v>
      </c>
      <c r="H579" s="13" t="s">
        <v>911</v>
      </c>
      <c r="I579">
        <v>1</v>
      </c>
      <c r="J579">
        <v>61.04</v>
      </c>
      <c r="K579">
        <v>25.71</v>
      </c>
      <c r="L579">
        <f>_xlfn.XLOOKUP(F579,Products!$A$2:$A$51,Products!$D$2:$D$51,0)</f>
        <v>61.04</v>
      </c>
      <c r="M579">
        <f t="shared" ref="M579:M642" si="9">J579-K579</f>
        <v>35.33</v>
      </c>
    </row>
    <row r="580" spans="1:13">
      <c r="A580" t="s">
        <v>915</v>
      </c>
      <c r="B580" t="s">
        <v>152</v>
      </c>
      <c r="C580" t="str">
        <f>_xlfn.XLOOKUP(F580,Products!$A$2:$A$51,Products!$C$2:$C$51,0)</f>
        <v>Grinders &amp; Brewers</v>
      </c>
      <c r="D580" t="str">
        <f>_xlfn.XLOOKUP(F580,Products!$A$2:$A$51,Products!$B$2:$B$51,0)</f>
        <v>Precision Electric Grinder</v>
      </c>
      <c r="E580" t="str">
        <f>_xlfn.XLOOKUP(B580,customers!$A$2:$A$195,customers!$B$2:$B$195,,0)</f>
        <v>East</v>
      </c>
      <c r="F580">
        <v>1031</v>
      </c>
      <c r="G580" s="9">
        <f>_xlfn.XLOOKUP(B580,customers!$A$1:$A$195,customers!$C$1:$C$195)</f>
        <v>44949</v>
      </c>
      <c r="H580" s="13" t="s">
        <v>911</v>
      </c>
      <c r="I580">
        <v>1</v>
      </c>
      <c r="J580">
        <v>232.2</v>
      </c>
      <c r="K580">
        <v>78.39</v>
      </c>
      <c r="L580">
        <f>_xlfn.XLOOKUP(F580,Products!$A$2:$A$51,Products!$D$2:$D$51,0)</f>
        <v>232.2</v>
      </c>
      <c r="M580">
        <f t="shared" si="9"/>
        <v>153.81</v>
      </c>
    </row>
    <row r="581" spans="1:13">
      <c r="A581" t="s">
        <v>916</v>
      </c>
      <c r="B581" t="s">
        <v>188</v>
      </c>
      <c r="C581" t="str">
        <f>_xlfn.XLOOKUP(F581,Products!$A$2:$A$51,Products!$C$2:$C$51,0)</f>
        <v>Merchandise</v>
      </c>
      <c r="D581" t="str">
        <f>_xlfn.XLOOKUP(F581,Products!$A$2:$A$51,Products!$B$2:$B$51,0)</f>
        <v>Daily Grind T-Shirt</v>
      </c>
      <c r="E581" t="str">
        <f>_xlfn.XLOOKUP(B581,customers!$A$2:$A$195,customers!$B$2:$B$195,,0)</f>
        <v>West</v>
      </c>
      <c r="F581">
        <v>1019</v>
      </c>
      <c r="G581" s="9">
        <f>_xlfn.XLOOKUP(B581,customers!$A$1:$A$195,customers!$C$1:$C$195)</f>
        <v>45003</v>
      </c>
      <c r="H581" s="13" t="s">
        <v>911</v>
      </c>
      <c r="I581">
        <v>3</v>
      </c>
      <c r="J581">
        <v>64.11</v>
      </c>
      <c r="K581">
        <v>24.78</v>
      </c>
      <c r="L581">
        <f>_xlfn.XLOOKUP(F581,Products!$A$2:$A$51,Products!$D$2:$D$51,0)</f>
        <v>21.37</v>
      </c>
      <c r="M581">
        <f t="shared" si="9"/>
        <v>39.33</v>
      </c>
    </row>
    <row r="582" spans="1:13">
      <c r="A582" t="s">
        <v>917</v>
      </c>
      <c r="B582" t="s">
        <v>53</v>
      </c>
      <c r="C582" t="str">
        <f>_xlfn.XLOOKUP(F582,Products!$A$2:$A$51,Products!$C$2:$C$51,0)</f>
        <v>Subscriptions</v>
      </c>
      <c r="D582" t="str">
        <f>_xlfn.XLOOKUP(F582,Products!$A$2:$A$51,Products!$B$2:$B$51,0)</f>
        <v>Bi-Weekly Sampler Box</v>
      </c>
      <c r="E582" t="str">
        <f>_xlfn.XLOOKUP(B582,customers!$A$2:$A$195,customers!$B$2:$B$195,,0)</f>
        <v>East</v>
      </c>
      <c r="F582">
        <v>1022</v>
      </c>
      <c r="G582" s="9">
        <f>_xlfn.XLOOKUP(B582,customers!$A$1:$A$195,customers!$C$1:$C$195)</f>
        <v>45154</v>
      </c>
      <c r="H582" s="13" t="s">
        <v>918</v>
      </c>
      <c r="I582">
        <v>3</v>
      </c>
      <c r="J582">
        <v>266.31</v>
      </c>
      <c r="K582">
        <v>71.58</v>
      </c>
      <c r="L582">
        <f>_xlfn.XLOOKUP(F582,Products!$A$2:$A$51,Products!$D$2:$D$51,0)</f>
        <v>88.77</v>
      </c>
      <c r="M582">
        <f t="shared" si="9"/>
        <v>194.73</v>
      </c>
    </row>
    <row r="583" spans="1:13">
      <c r="A583" t="s">
        <v>919</v>
      </c>
      <c r="B583" t="s">
        <v>60</v>
      </c>
      <c r="C583" t="str">
        <f>_xlfn.XLOOKUP(F583,Products!$A$2:$A$51,Products!$C$2:$C$51,0)</f>
        <v>Subscriptions</v>
      </c>
      <c r="D583" t="str">
        <f>_xlfn.XLOOKUP(F583,Products!$A$2:$A$51,Products!$B$2:$B$51,0)</f>
        <v>Monthly Dark Roast Subscription</v>
      </c>
      <c r="E583" t="str">
        <f>_xlfn.XLOOKUP(B583,customers!$A$2:$A$195,customers!$B$2:$B$195,,0)</f>
        <v>West</v>
      </c>
      <c r="F583">
        <v>1021</v>
      </c>
      <c r="G583" s="9">
        <f>_xlfn.XLOOKUP(B583,customers!$A$1:$A$195,customers!$C$1:$C$195)</f>
        <v>44943</v>
      </c>
      <c r="H583" s="13" t="s">
        <v>918</v>
      </c>
      <c r="I583">
        <v>3</v>
      </c>
      <c r="J583">
        <v>183.78</v>
      </c>
      <c r="K583">
        <v>105.44</v>
      </c>
      <c r="L583">
        <f>_xlfn.XLOOKUP(F583,Products!$A$2:$A$51,Products!$D$2:$D$51,0)</f>
        <v>61.26</v>
      </c>
      <c r="M583">
        <f t="shared" si="9"/>
        <v>78.34</v>
      </c>
    </row>
    <row r="584" spans="1:13">
      <c r="A584" t="s">
        <v>920</v>
      </c>
      <c r="B584" t="s">
        <v>65</v>
      </c>
      <c r="C584" t="str">
        <f>_xlfn.XLOOKUP(F584,Products!$A$2:$A$51,Products!$C$2:$C$51,0)</f>
        <v>Consumables</v>
      </c>
      <c r="D584" t="str">
        <f>_xlfn.XLOOKUP(F584,Products!$A$2:$A$51,Products!$B$2:$B$51,0)</f>
        <v>Seasonal Blend Light Roast</v>
      </c>
      <c r="E584" t="str">
        <f>_xlfn.XLOOKUP(B584,customers!$A$2:$A$195,customers!$B$2:$B$195,,0)</f>
        <v>West</v>
      </c>
      <c r="F584">
        <v>1002</v>
      </c>
      <c r="G584" s="9">
        <f>_xlfn.XLOOKUP(B584,customers!$A$1:$A$195,customers!$C$1:$C$195)</f>
        <v>44939</v>
      </c>
      <c r="H584" s="13" t="s">
        <v>918</v>
      </c>
      <c r="I584">
        <v>2</v>
      </c>
      <c r="J584">
        <v>71.06</v>
      </c>
      <c r="K584">
        <v>11.86</v>
      </c>
      <c r="L584">
        <f>_xlfn.XLOOKUP(F584,Products!$A$2:$A$51,Products!$D$2:$D$51,0)</f>
        <v>35.53</v>
      </c>
      <c r="M584">
        <f t="shared" si="9"/>
        <v>59.2</v>
      </c>
    </row>
    <row r="585" spans="1:13">
      <c r="A585" t="s">
        <v>921</v>
      </c>
      <c r="B585" t="s">
        <v>118</v>
      </c>
      <c r="C585" t="str">
        <f>_xlfn.XLOOKUP(F585,Products!$A$2:$A$51,Products!$C$2:$C$51,0)</f>
        <v>Consumables</v>
      </c>
      <c r="D585" t="str">
        <f>_xlfn.XLOOKUP(F585,Products!$A$2:$A$51,Products!$B$2:$B$51,0)</f>
        <v>Seasonal Blend Light Roast</v>
      </c>
      <c r="E585" t="str">
        <f>_xlfn.XLOOKUP(B585,customers!$A$2:$A$195,customers!$B$2:$B$195,,0)</f>
        <v>West</v>
      </c>
      <c r="F585">
        <v>1002</v>
      </c>
      <c r="G585" s="9">
        <f>_xlfn.XLOOKUP(B585,customers!$A$1:$A$195,customers!$C$1:$C$195)</f>
        <v>45218</v>
      </c>
      <c r="H585" s="13" t="s">
        <v>918</v>
      </c>
      <c r="I585">
        <v>1</v>
      </c>
      <c r="J585">
        <v>35.53</v>
      </c>
      <c r="K585">
        <v>5.93</v>
      </c>
      <c r="L585">
        <f>_xlfn.XLOOKUP(F585,Products!$A$2:$A$51,Products!$D$2:$D$51,0)</f>
        <v>35.53</v>
      </c>
      <c r="M585">
        <f t="shared" si="9"/>
        <v>29.6</v>
      </c>
    </row>
    <row r="586" spans="1:13">
      <c r="A586" t="s">
        <v>922</v>
      </c>
      <c r="B586" t="s">
        <v>187</v>
      </c>
      <c r="C586" t="str">
        <f>_xlfn.XLOOKUP(F586,Products!$A$2:$A$51,Products!$C$2:$C$51,0)</f>
        <v>Accessories</v>
      </c>
      <c r="D586" t="str">
        <f>_xlfn.XLOOKUP(F586,Products!$A$2:$A$51,Products!$B$2:$B$51,0)</f>
        <v>Gooseneck Electric Kettle</v>
      </c>
      <c r="E586" t="str">
        <f>_xlfn.XLOOKUP(B586,customers!$A$2:$A$195,customers!$B$2:$B$195,,0)</f>
        <v>West</v>
      </c>
      <c r="F586">
        <v>1037</v>
      </c>
      <c r="G586" s="9">
        <f>_xlfn.XLOOKUP(B586,customers!$A$1:$A$195,customers!$C$1:$C$195)</f>
        <v>45282</v>
      </c>
      <c r="H586" s="13" t="s">
        <v>918</v>
      </c>
      <c r="I586">
        <v>2</v>
      </c>
      <c r="J586">
        <v>69.74</v>
      </c>
      <c r="K586">
        <v>51.94</v>
      </c>
      <c r="L586">
        <f>_xlfn.XLOOKUP(F586,Products!$A$2:$A$51,Products!$D$2:$D$51,0)</f>
        <v>34.87</v>
      </c>
      <c r="M586">
        <f t="shared" si="9"/>
        <v>17.8</v>
      </c>
    </row>
    <row r="587" spans="1:13">
      <c r="A587" t="s">
        <v>923</v>
      </c>
      <c r="B587" t="s">
        <v>93</v>
      </c>
      <c r="C587" t="str">
        <f>_xlfn.XLOOKUP(F587,Products!$A$2:$A$51,Products!$C$2:$C$51,0)</f>
        <v>Accessories</v>
      </c>
      <c r="D587" t="str">
        <f>_xlfn.XLOOKUP(F587,Products!$A$2:$A$51,Products!$B$2:$B$51,0)</f>
        <v>Digital Coffee Scale</v>
      </c>
      <c r="E587" t="str">
        <f>_xlfn.XLOOKUP(B587,customers!$A$2:$A$195,customers!$B$2:$B$195,,0)</f>
        <v>West</v>
      </c>
      <c r="F587">
        <v>1011</v>
      </c>
      <c r="G587" s="9">
        <f>_xlfn.XLOOKUP(B587,customers!$A$1:$A$195,customers!$C$1:$C$195)</f>
        <v>45244</v>
      </c>
      <c r="H587" s="13" t="s">
        <v>924</v>
      </c>
      <c r="I587">
        <v>4</v>
      </c>
      <c r="J587">
        <v>107.32</v>
      </c>
      <c r="K587">
        <v>58.61</v>
      </c>
      <c r="L587">
        <f>_xlfn.XLOOKUP(F587,Products!$A$2:$A$51,Products!$D$2:$D$51,0)</f>
        <v>26.83</v>
      </c>
      <c r="M587">
        <f t="shared" si="9"/>
        <v>48.71</v>
      </c>
    </row>
    <row r="588" spans="1:13">
      <c r="A588" t="s">
        <v>925</v>
      </c>
      <c r="B588" t="s">
        <v>111</v>
      </c>
      <c r="C588" t="str">
        <f>_xlfn.XLOOKUP(F588,Products!$A$2:$A$51,Products!$C$2:$C$51,0)</f>
        <v>Subscriptions</v>
      </c>
      <c r="D588" t="str">
        <f>_xlfn.XLOOKUP(F588,Products!$A$2:$A$51,Products!$B$2:$B$51,0)</f>
        <v>Espresso Lovers Quarterly Pack</v>
      </c>
      <c r="E588" t="str">
        <f>_xlfn.XLOOKUP(B588,customers!$A$2:$A$195,customers!$B$2:$B$195,,0)</f>
        <v>East</v>
      </c>
      <c r="F588">
        <v>1049</v>
      </c>
      <c r="G588" s="9">
        <f>_xlfn.XLOOKUP(B588,customers!$A$1:$A$195,customers!$C$1:$C$195)</f>
        <v>45191</v>
      </c>
      <c r="H588" s="13" t="s">
        <v>924</v>
      </c>
      <c r="I588">
        <v>4</v>
      </c>
      <c r="J588">
        <v>299.48</v>
      </c>
      <c r="K588">
        <v>76.78</v>
      </c>
      <c r="L588">
        <f>_xlfn.XLOOKUP(F588,Products!$A$2:$A$51,Products!$D$2:$D$51,0)</f>
        <v>74.87</v>
      </c>
      <c r="M588">
        <f t="shared" si="9"/>
        <v>222.7</v>
      </c>
    </row>
    <row r="589" spans="1:13">
      <c r="A589" t="s">
        <v>926</v>
      </c>
      <c r="B589" t="s">
        <v>158</v>
      </c>
      <c r="C589" t="str">
        <f>_xlfn.XLOOKUP(F589,Products!$A$2:$A$51,Products!$C$2:$C$51,0)</f>
        <v>Grinders &amp; Brewers</v>
      </c>
      <c r="D589" t="str">
        <f>_xlfn.XLOOKUP(F589,Products!$A$2:$A$51,Products!$B$2:$B$51,0)</f>
        <v>High-Capacity French Press</v>
      </c>
      <c r="E589" t="str">
        <f>_xlfn.XLOOKUP(B589,customers!$A$2:$A$195,customers!$B$2:$B$195,,0)</f>
        <v>West</v>
      </c>
      <c r="F589">
        <v>1034</v>
      </c>
      <c r="G589" s="9">
        <f>_xlfn.XLOOKUP(B589,customers!$A$1:$A$195,customers!$C$1:$C$195)</f>
        <v>45061</v>
      </c>
      <c r="H589" s="13" t="s">
        <v>924</v>
      </c>
      <c r="I589">
        <v>4</v>
      </c>
      <c r="J589">
        <v>1353.44</v>
      </c>
      <c r="K589">
        <v>592.68</v>
      </c>
      <c r="L589">
        <f>_xlfn.XLOOKUP(F589,Products!$A$2:$A$51,Products!$D$2:$D$51,0)</f>
        <v>338.36</v>
      </c>
      <c r="M589">
        <f t="shared" si="9"/>
        <v>760.76</v>
      </c>
    </row>
    <row r="590" spans="1:13">
      <c r="A590" t="s">
        <v>927</v>
      </c>
      <c r="B590" t="s">
        <v>175</v>
      </c>
      <c r="C590" t="str">
        <f>_xlfn.XLOOKUP(F590,Products!$A$2:$A$51,Products!$C$2:$C$51,0)</f>
        <v>Accessories</v>
      </c>
      <c r="D590" t="str">
        <f>_xlfn.XLOOKUP(F590,Products!$A$2:$A$51,Products!$B$2:$B$51,0)</f>
        <v>Refillable Coffee Pods</v>
      </c>
      <c r="E590" t="str">
        <f>_xlfn.XLOOKUP(B590,customers!$A$2:$A$195,customers!$B$2:$B$195,,0)</f>
        <v>West</v>
      </c>
      <c r="F590">
        <v>1015</v>
      </c>
      <c r="G590" s="9">
        <f>_xlfn.XLOOKUP(B590,customers!$A$1:$A$195,customers!$C$1:$C$195)</f>
        <v>44964</v>
      </c>
      <c r="H590" s="13" t="s">
        <v>924</v>
      </c>
      <c r="I590">
        <v>1</v>
      </c>
      <c r="J590">
        <v>24.13</v>
      </c>
      <c r="K590">
        <v>9.3</v>
      </c>
      <c r="L590">
        <f>_xlfn.XLOOKUP(F590,Products!$A$2:$A$51,Products!$D$2:$D$51,0)</f>
        <v>24.13</v>
      </c>
      <c r="M590">
        <f t="shared" si="9"/>
        <v>14.83</v>
      </c>
    </row>
    <row r="591" spans="1:13">
      <c r="A591" t="s">
        <v>928</v>
      </c>
      <c r="B591" t="s">
        <v>48</v>
      </c>
      <c r="C591" t="str">
        <f>_xlfn.XLOOKUP(F591,Products!$A$2:$A$51,Products!$C$2:$C$51,0)</f>
        <v>Consumables</v>
      </c>
      <c r="D591" t="str">
        <f>_xlfn.XLOOKUP(F591,Products!$A$2:$A$51,Products!$B$2:$B$51,0)</f>
        <v>Seasonal Blend Light Roast</v>
      </c>
      <c r="E591" t="str">
        <f>_xlfn.XLOOKUP(B591,customers!$A$2:$A$195,customers!$B$2:$B$195,,0)</f>
        <v>West</v>
      </c>
      <c r="F591">
        <v>1002</v>
      </c>
      <c r="G591" s="9">
        <f>_xlfn.XLOOKUP(B591,customers!$A$1:$A$195,customers!$C$1:$C$195)</f>
        <v>45161</v>
      </c>
      <c r="H591" s="13" t="s">
        <v>929</v>
      </c>
      <c r="I591">
        <v>2</v>
      </c>
      <c r="J591">
        <v>71.06</v>
      </c>
      <c r="K591">
        <v>11.86</v>
      </c>
      <c r="L591">
        <f>_xlfn.XLOOKUP(F591,Products!$A$2:$A$51,Products!$D$2:$D$51,0)</f>
        <v>35.53</v>
      </c>
      <c r="M591">
        <f t="shared" si="9"/>
        <v>59.2</v>
      </c>
    </row>
    <row r="592" spans="1:13">
      <c r="A592" t="s">
        <v>930</v>
      </c>
      <c r="B592" t="s">
        <v>136</v>
      </c>
      <c r="C592" t="str">
        <f>_xlfn.XLOOKUP(F592,Products!$A$2:$A$51,Products!$C$2:$C$51,0)</f>
        <v>Accessories</v>
      </c>
      <c r="D592" t="str">
        <f>_xlfn.XLOOKUP(F592,Products!$A$2:$A$51,Products!$B$2:$B$51,0)</f>
        <v>Refillable Coffee Pods</v>
      </c>
      <c r="E592" t="str">
        <f>_xlfn.XLOOKUP(B592,customers!$A$2:$A$195,customers!$B$2:$B$195,,0)</f>
        <v>South</v>
      </c>
      <c r="F592">
        <v>1040</v>
      </c>
      <c r="G592" s="9">
        <f>_xlfn.XLOOKUP(B592,customers!$A$1:$A$195,customers!$C$1:$C$195)</f>
        <v>45181</v>
      </c>
      <c r="H592" s="13" t="s">
        <v>929</v>
      </c>
      <c r="I592">
        <v>1</v>
      </c>
      <c r="J592">
        <v>24.13</v>
      </c>
      <c r="K592">
        <v>9.3</v>
      </c>
      <c r="L592">
        <f>_xlfn.XLOOKUP(F592,Products!$A$2:$A$51,Products!$D$2:$D$51,0)</f>
        <v>24.13</v>
      </c>
      <c r="M592">
        <f t="shared" si="9"/>
        <v>14.83</v>
      </c>
    </row>
    <row r="593" spans="1:13">
      <c r="A593" t="s">
        <v>931</v>
      </c>
      <c r="B593" t="s">
        <v>141</v>
      </c>
      <c r="C593" t="str">
        <f>_xlfn.XLOOKUP(F593,Products!$A$2:$A$51,Products!$C$2:$C$51,0)</f>
        <v>Merchandise</v>
      </c>
      <c r="D593" t="str">
        <f>_xlfn.XLOOKUP(F593,Products!$A$2:$A$51,Products!$B$2:$B$51,0)</f>
        <v>Minimalist Keychain</v>
      </c>
      <c r="E593" t="str">
        <f>_xlfn.XLOOKUP(B593,customers!$A$2:$A$195,customers!$B$2:$B$195,,0)</f>
        <v>East</v>
      </c>
      <c r="F593">
        <v>1045</v>
      </c>
      <c r="G593" s="9">
        <f>_xlfn.XLOOKUP(B593,customers!$A$1:$A$195,customers!$C$1:$C$195)</f>
        <v>45035</v>
      </c>
      <c r="H593" s="13" t="s">
        <v>929</v>
      </c>
      <c r="I593">
        <v>2</v>
      </c>
      <c r="J593">
        <v>54.74</v>
      </c>
      <c r="K593">
        <v>48.18</v>
      </c>
      <c r="L593">
        <f>_xlfn.XLOOKUP(F593,Products!$A$2:$A$51,Products!$D$2:$D$51,0)</f>
        <v>27.37</v>
      </c>
      <c r="M593">
        <f t="shared" si="9"/>
        <v>6.56</v>
      </c>
    </row>
    <row r="594" spans="1:13">
      <c r="A594" t="s">
        <v>932</v>
      </c>
      <c r="B594" t="s">
        <v>49</v>
      </c>
      <c r="C594" t="str">
        <f>_xlfn.XLOOKUP(F594,Products!$A$2:$A$51,Products!$C$2:$C$51,0)</f>
        <v>Grinders &amp; Brewers</v>
      </c>
      <c r="D594" t="str">
        <f>_xlfn.XLOOKUP(F594,Products!$A$2:$A$51,Products!$B$2:$B$51,0)</f>
        <v>High-Capacity French Press</v>
      </c>
      <c r="E594" t="str">
        <f>_xlfn.XLOOKUP(B594,customers!$A$2:$A$195,customers!$B$2:$B$195,,0)</f>
        <v>West</v>
      </c>
      <c r="F594">
        <v>1009</v>
      </c>
      <c r="G594" s="9">
        <f>_xlfn.XLOOKUP(B594,customers!$A$1:$A$195,customers!$C$1:$C$195)</f>
        <v>45152</v>
      </c>
      <c r="H594" s="13" t="s">
        <v>933</v>
      </c>
      <c r="I594">
        <v>4</v>
      </c>
      <c r="J594">
        <v>1353.44</v>
      </c>
      <c r="K594">
        <v>592.68</v>
      </c>
      <c r="L594">
        <f>_xlfn.XLOOKUP(F594,Products!$A$2:$A$51,Products!$D$2:$D$51,0)</f>
        <v>338.36</v>
      </c>
      <c r="M594">
        <f t="shared" si="9"/>
        <v>760.76</v>
      </c>
    </row>
    <row r="595" spans="1:13">
      <c r="A595" t="s">
        <v>934</v>
      </c>
      <c r="B595" t="s">
        <v>106</v>
      </c>
      <c r="C595" t="str">
        <f>_xlfn.XLOOKUP(F595,Products!$A$2:$A$51,Products!$C$2:$C$51,0)</f>
        <v>Subscriptions</v>
      </c>
      <c r="D595" t="str">
        <f>_xlfn.XLOOKUP(F595,Products!$A$2:$A$51,Products!$B$2:$B$51,0)</f>
        <v>Bi-Weekly Sampler Box</v>
      </c>
      <c r="E595" t="str">
        <f>_xlfn.XLOOKUP(B595,customers!$A$2:$A$195,customers!$B$2:$B$195,,0)</f>
        <v>East</v>
      </c>
      <c r="F595">
        <v>1047</v>
      </c>
      <c r="G595" s="9">
        <f>_xlfn.XLOOKUP(B595,customers!$A$1:$A$195,customers!$C$1:$C$195)</f>
        <v>45055</v>
      </c>
      <c r="H595" s="13" t="s">
        <v>933</v>
      </c>
      <c r="I595">
        <v>2</v>
      </c>
      <c r="J595">
        <v>177.54</v>
      </c>
      <c r="K595">
        <v>47.72</v>
      </c>
      <c r="L595">
        <f>_xlfn.XLOOKUP(F595,Products!$A$2:$A$51,Products!$D$2:$D$51,0)</f>
        <v>88.77</v>
      </c>
      <c r="M595">
        <f t="shared" si="9"/>
        <v>129.82</v>
      </c>
    </row>
    <row r="596" spans="1:13">
      <c r="A596" t="s">
        <v>935</v>
      </c>
      <c r="B596" t="s">
        <v>126</v>
      </c>
      <c r="C596" t="str">
        <f>_xlfn.XLOOKUP(F596,Products!$A$2:$A$51,Products!$C$2:$C$51,0)</f>
        <v>Consumables</v>
      </c>
      <c r="D596" t="str">
        <f>_xlfn.XLOOKUP(F596,Products!$A$2:$A$51,Products!$B$2:$B$51,0)</f>
        <v>Seasonal Blend Light Roast</v>
      </c>
      <c r="E596" t="str">
        <f>_xlfn.XLOOKUP(B596,customers!$A$2:$A$195,customers!$B$2:$B$195,,0)</f>
        <v>North</v>
      </c>
      <c r="F596">
        <v>1002</v>
      </c>
      <c r="G596" s="9">
        <f>_xlfn.XLOOKUP(B596,customers!$A$1:$A$195,customers!$C$1:$C$195)</f>
        <v>45192</v>
      </c>
      <c r="H596" s="13" t="s">
        <v>933</v>
      </c>
      <c r="I596">
        <v>3</v>
      </c>
      <c r="J596">
        <v>106.59</v>
      </c>
      <c r="K596">
        <v>17.79</v>
      </c>
      <c r="L596">
        <f>_xlfn.XLOOKUP(F596,Products!$A$2:$A$51,Products!$D$2:$D$51,0)</f>
        <v>35.53</v>
      </c>
      <c r="M596">
        <f t="shared" si="9"/>
        <v>88.8</v>
      </c>
    </row>
    <row r="597" spans="1:13">
      <c r="A597" t="s">
        <v>936</v>
      </c>
      <c r="B597" t="s">
        <v>168</v>
      </c>
      <c r="C597" t="str">
        <f>_xlfn.XLOOKUP(F597,Products!$A$2:$A$51,Products!$C$2:$C$51,0)</f>
        <v>Subscriptions</v>
      </c>
      <c r="D597" t="str">
        <f>_xlfn.XLOOKUP(F597,Products!$A$2:$A$51,Products!$B$2:$B$51,0)</f>
        <v>Subscription Renewal Service</v>
      </c>
      <c r="E597" t="str">
        <f>_xlfn.XLOOKUP(B597,customers!$A$2:$A$195,customers!$B$2:$B$195,,0)</f>
        <v>West</v>
      </c>
      <c r="F597">
        <v>1050</v>
      </c>
      <c r="G597" s="9">
        <f>_xlfn.XLOOKUP(B597,customers!$A$1:$A$195,customers!$C$1:$C$195)</f>
        <v>45128</v>
      </c>
      <c r="H597" s="13" t="s">
        <v>933</v>
      </c>
      <c r="I597">
        <v>3</v>
      </c>
      <c r="J597">
        <v>220.23</v>
      </c>
      <c r="K597">
        <v>81.87</v>
      </c>
      <c r="L597">
        <f>_xlfn.XLOOKUP(F597,Products!$A$2:$A$51,Products!$D$2:$D$51,0)</f>
        <v>73.41</v>
      </c>
      <c r="M597">
        <f t="shared" si="9"/>
        <v>138.36</v>
      </c>
    </row>
    <row r="598" spans="1:13">
      <c r="A598" t="s">
        <v>937</v>
      </c>
      <c r="B598" t="s">
        <v>182</v>
      </c>
      <c r="C598" t="str">
        <f>_xlfn.XLOOKUP(F598,Products!$A$2:$A$51,Products!$C$2:$C$51,0)</f>
        <v>Consumables</v>
      </c>
      <c r="D598" t="str">
        <f>_xlfn.XLOOKUP(F598,Products!$A$2:$A$51,Products!$B$2:$B$51,0)</f>
        <v>Cold Brew Concentrate</v>
      </c>
      <c r="E598" t="str">
        <f>_xlfn.XLOOKUP(B598,customers!$A$2:$A$195,customers!$B$2:$B$195,,0)</f>
        <v>East</v>
      </c>
      <c r="F598">
        <v>1004</v>
      </c>
      <c r="G598" s="9">
        <f>_xlfn.XLOOKUP(B598,customers!$A$1:$A$195,customers!$C$1:$C$195)</f>
        <v>44998</v>
      </c>
      <c r="H598" s="13" t="s">
        <v>933</v>
      </c>
      <c r="I598">
        <v>3</v>
      </c>
      <c r="J598">
        <v>70.47</v>
      </c>
      <c r="K598">
        <v>30.26</v>
      </c>
      <c r="L598">
        <f>_xlfn.XLOOKUP(F598,Products!$A$2:$A$51,Products!$D$2:$D$51,0)</f>
        <v>23.49</v>
      </c>
      <c r="M598">
        <f t="shared" si="9"/>
        <v>40.21</v>
      </c>
    </row>
    <row r="599" spans="1:13">
      <c r="A599" t="s">
        <v>938</v>
      </c>
      <c r="B599" t="s">
        <v>199</v>
      </c>
      <c r="C599" t="str">
        <f>_xlfn.XLOOKUP(F599,Products!$A$2:$A$51,Products!$C$2:$C$51,0)</f>
        <v>Consumables</v>
      </c>
      <c r="D599" t="str">
        <f>_xlfn.XLOOKUP(F599,Products!$A$2:$A$51,Products!$B$2:$B$51,0)</f>
        <v>Decaf Blend (1kg)</v>
      </c>
      <c r="E599" t="str">
        <f>_xlfn.XLOOKUP(B599,customers!$A$2:$A$195,customers!$B$2:$B$195,,0)</f>
        <v>South</v>
      </c>
      <c r="F599">
        <v>1003</v>
      </c>
      <c r="G599" s="9">
        <f>_xlfn.XLOOKUP(B599,customers!$A$1:$A$195,customers!$C$1:$C$195)</f>
        <v>45252</v>
      </c>
      <c r="H599" s="13" t="s">
        <v>933</v>
      </c>
      <c r="I599">
        <v>4</v>
      </c>
      <c r="J599">
        <v>161.4</v>
      </c>
      <c r="K599">
        <v>51.44</v>
      </c>
      <c r="L599">
        <f>_xlfn.XLOOKUP(F599,Products!$A$2:$A$51,Products!$D$2:$D$51,0)</f>
        <v>40.35</v>
      </c>
      <c r="M599">
        <f t="shared" si="9"/>
        <v>109.96</v>
      </c>
    </row>
    <row r="600" spans="1:13">
      <c r="A600" t="s">
        <v>939</v>
      </c>
      <c r="B600" t="s">
        <v>79</v>
      </c>
      <c r="C600" t="str">
        <f>_xlfn.XLOOKUP(F600,Products!$A$2:$A$51,Products!$C$2:$C$51,0)</f>
        <v>Consumables</v>
      </c>
      <c r="D600" t="str">
        <f>_xlfn.XLOOKUP(F600,Products!$A$2:$A$51,Products!$B$2:$B$51,0)</f>
        <v>Single-Origin Ethiopian (250g)</v>
      </c>
      <c r="E600" t="str">
        <f>_xlfn.XLOOKUP(B600,customers!$A$2:$A$195,customers!$B$2:$B$195,,0)</f>
        <v>South</v>
      </c>
      <c r="F600">
        <v>1001</v>
      </c>
      <c r="G600" s="9">
        <f>_xlfn.XLOOKUP(B600,customers!$A$1:$A$195,customers!$C$1:$C$195)</f>
        <v>44978</v>
      </c>
      <c r="H600" s="13" t="s">
        <v>940</v>
      </c>
      <c r="I600">
        <v>1</v>
      </c>
      <c r="J600">
        <v>19.49</v>
      </c>
      <c r="K600">
        <v>12.71</v>
      </c>
      <c r="L600">
        <f>_xlfn.XLOOKUP(F600,Products!$A$2:$A$51,Products!$D$2:$D$51,0)</f>
        <v>19.49</v>
      </c>
      <c r="M600">
        <f t="shared" si="9"/>
        <v>6.78</v>
      </c>
    </row>
    <row r="601" spans="1:13">
      <c r="A601" t="s">
        <v>941</v>
      </c>
      <c r="B601" t="s">
        <v>120</v>
      </c>
      <c r="C601" t="str">
        <f>_xlfn.XLOOKUP(F601,Products!$A$2:$A$51,Products!$C$2:$C$51,0)</f>
        <v>Merchandise</v>
      </c>
      <c r="D601" t="str">
        <f>_xlfn.XLOOKUP(F601,Products!$A$2:$A$51,Products!$B$2:$B$51,0)</f>
        <v>Minimalist Keychain</v>
      </c>
      <c r="E601" t="str">
        <f>_xlfn.XLOOKUP(B601,customers!$A$2:$A$195,customers!$B$2:$B$195,,0)</f>
        <v>South</v>
      </c>
      <c r="F601">
        <v>1045</v>
      </c>
      <c r="G601" s="9">
        <f>_xlfn.XLOOKUP(B601,customers!$A$1:$A$195,customers!$C$1:$C$195)</f>
        <v>45204</v>
      </c>
      <c r="H601" s="13" t="s">
        <v>942</v>
      </c>
      <c r="I601">
        <v>4</v>
      </c>
      <c r="J601">
        <v>109.48</v>
      </c>
      <c r="K601">
        <v>96.36</v>
      </c>
      <c r="L601">
        <f>_xlfn.XLOOKUP(F601,Products!$A$2:$A$51,Products!$D$2:$D$51,0)</f>
        <v>27.37</v>
      </c>
      <c r="M601">
        <f t="shared" si="9"/>
        <v>13.12</v>
      </c>
    </row>
    <row r="602" spans="1:13">
      <c r="A602" t="s">
        <v>943</v>
      </c>
      <c r="B602" t="s">
        <v>142</v>
      </c>
      <c r="C602" t="str">
        <f>_xlfn.XLOOKUP(F602,Products!$A$2:$A$51,Products!$C$2:$C$51,0)</f>
        <v>Grinders &amp; Brewers</v>
      </c>
      <c r="D602" t="str">
        <f>_xlfn.XLOOKUP(F602,Products!$A$2:$A$51,Products!$B$2:$B$51,0)</f>
        <v>High-Capacity French Press</v>
      </c>
      <c r="E602" t="str">
        <f>_xlfn.XLOOKUP(B602,customers!$A$2:$A$195,customers!$B$2:$B$195,,0)</f>
        <v>South</v>
      </c>
      <c r="F602">
        <v>1009</v>
      </c>
      <c r="G602" s="9">
        <f>_xlfn.XLOOKUP(B602,customers!$A$1:$A$195,customers!$C$1:$C$195)</f>
        <v>45079</v>
      </c>
      <c r="H602" s="13" t="s">
        <v>942</v>
      </c>
      <c r="I602">
        <v>1</v>
      </c>
      <c r="J602">
        <v>338.36</v>
      </c>
      <c r="K602">
        <v>148.17</v>
      </c>
      <c r="L602">
        <f>_xlfn.XLOOKUP(F602,Products!$A$2:$A$51,Products!$D$2:$D$51,0)</f>
        <v>338.36</v>
      </c>
      <c r="M602">
        <f t="shared" si="9"/>
        <v>190.19</v>
      </c>
    </row>
    <row r="603" spans="1:13">
      <c r="A603" t="s">
        <v>944</v>
      </c>
      <c r="B603" t="s">
        <v>83</v>
      </c>
      <c r="C603" t="str">
        <f>_xlfn.XLOOKUP(F603,Products!$A$2:$A$51,Products!$C$2:$C$51,0)</f>
        <v>Merchandise</v>
      </c>
      <c r="D603" t="str">
        <f>_xlfn.XLOOKUP(F603,Products!$A$2:$A$51,Products!$B$2:$B$51,0)</f>
        <v>Insulated Travel Tumbler</v>
      </c>
      <c r="E603" t="str">
        <f>_xlfn.XLOOKUP(B603,customers!$A$2:$A$195,customers!$B$2:$B$195,,0)</f>
        <v>West</v>
      </c>
      <c r="F603">
        <v>1043</v>
      </c>
      <c r="G603" s="9">
        <f>_xlfn.XLOOKUP(B603,customers!$A$1:$A$195,customers!$C$1:$C$195)</f>
        <v>45277</v>
      </c>
      <c r="H603" s="13">
        <v>45664</v>
      </c>
      <c r="I603">
        <v>4</v>
      </c>
      <c r="J603">
        <v>173.12</v>
      </c>
      <c r="K603">
        <v>83.29</v>
      </c>
      <c r="L603">
        <f>_xlfn.XLOOKUP(F603,Products!$A$2:$A$51,Products!$D$2:$D$51,0)</f>
        <v>43.28</v>
      </c>
      <c r="M603">
        <f t="shared" si="9"/>
        <v>89.83</v>
      </c>
    </row>
    <row r="604" spans="1:13">
      <c r="A604" t="s">
        <v>945</v>
      </c>
      <c r="B604" t="s">
        <v>168</v>
      </c>
      <c r="C604" t="str">
        <f>_xlfn.XLOOKUP(F604,Products!$A$2:$A$51,Products!$C$2:$C$51,0)</f>
        <v>Merchandise</v>
      </c>
      <c r="D604" t="str">
        <f>_xlfn.XLOOKUP(F604,Products!$A$2:$A$51,Products!$B$2:$B$51,0)</f>
        <v>Minimalist Keychain</v>
      </c>
      <c r="E604" t="str">
        <f>_xlfn.XLOOKUP(B604,customers!$A$2:$A$195,customers!$B$2:$B$195,,0)</f>
        <v>West</v>
      </c>
      <c r="F604">
        <v>1045</v>
      </c>
      <c r="G604" s="9">
        <f>_xlfn.XLOOKUP(B604,customers!$A$1:$A$195,customers!$C$1:$C$195)</f>
        <v>45128</v>
      </c>
      <c r="H604" s="13">
        <v>45664</v>
      </c>
      <c r="I604">
        <v>4</v>
      </c>
      <c r="J604">
        <v>109.48</v>
      </c>
      <c r="K604">
        <v>96.36</v>
      </c>
      <c r="L604">
        <f>_xlfn.XLOOKUP(F604,Products!$A$2:$A$51,Products!$D$2:$D$51,0)</f>
        <v>27.37</v>
      </c>
      <c r="M604">
        <f t="shared" si="9"/>
        <v>13.12</v>
      </c>
    </row>
    <row r="605" spans="1:13">
      <c r="A605" t="s">
        <v>946</v>
      </c>
      <c r="B605" t="s">
        <v>60</v>
      </c>
      <c r="C605" t="str">
        <f>_xlfn.XLOOKUP(F605,Products!$A$2:$A$51,Products!$C$2:$C$51,0)</f>
        <v>Consumables</v>
      </c>
      <c r="D605" t="str">
        <f>_xlfn.XLOOKUP(F605,Products!$A$2:$A$51,Products!$B$2:$B$51,0)</f>
        <v>Seasonal Blend Light Roast</v>
      </c>
      <c r="E605" t="str">
        <f>_xlfn.XLOOKUP(B605,customers!$A$2:$A$195,customers!$B$2:$B$195,,0)</f>
        <v>West</v>
      </c>
      <c r="F605">
        <v>1027</v>
      </c>
      <c r="G605" s="9">
        <f>_xlfn.XLOOKUP(B605,customers!$A$1:$A$195,customers!$C$1:$C$195)</f>
        <v>44943</v>
      </c>
      <c r="H605" s="13">
        <v>45695</v>
      </c>
      <c r="I605">
        <v>2</v>
      </c>
      <c r="J605">
        <v>71.06</v>
      </c>
      <c r="K605">
        <v>11.86</v>
      </c>
      <c r="L605">
        <f>_xlfn.XLOOKUP(F605,Products!$A$2:$A$51,Products!$D$2:$D$51,0)</f>
        <v>35.53</v>
      </c>
      <c r="M605">
        <f t="shared" si="9"/>
        <v>59.2</v>
      </c>
    </row>
    <row r="606" spans="1:13">
      <c r="A606" t="s">
        <v>947</v>
      </c>
      <c r="B606" t="s">
        <v>74</v>
      </c>
      <c r="C606" t="str">
        <f>_xlfn.XLOOKUP(F606,Products!$A$2:$A$51,Products!$C$2:$C$51,0)</f>
        <v>Grinders &amp; Brewers</v>
      </c>
      <c r="D606" t="str">
        <f>_xlfn.XLOOKUP(F606,Products!$A$2:$A$51,Products!$B$2:$B$51,0)</f>
        <v>Automated Drip Brewer</v>
      </c>
      <c r="E606" t="str">
        <f>_xlfn.XLOOKUP(B606,customers!$A$2:$A$195,customers!$B$2:$B$195,,0)</f>
        <v>East</v>
      </c>
      <c r="F606">
        <v>1033</v>
      </c>
      <c r="G606" s="9">
        <f>_xlfn.XLOOKUP(B606,customers!$A$1:$A$195,customers!$C$1:$C$195)</f>
        <v>45103</v>
      </c>
      <c r="H606" s="13">
        <v>45695</v>
      </c>
      <c r="I606">
        <v>3</v>
      </c>
      <c r="J606">
        <v>707.28</v>
      </c>
      <c r="K606">
        <v>397.45</v>
      </c>
      <c r="L606">
        <f>_xlfn.XLOOKUP(F606,Products!$A$2:$A$51,Products!$D$2:$D$51,0)</f>
        <v>235.76</v>
      </c>
      <c r="M606">
        <f t="shared" si="9"/>
        <v>309.83</v>
      </c>
    </row>
    <row r="607" spans="1:13">
      <c r="A607" t="s">
        <v>948</v>
      </c>
      <c r="B607" t="s">
        <v>148</v>
      </c>
      <c r="C607" t="str">
        <f>_xlfn.XLOOKUP(F607,Products!$A$2:$A$51,Products!$C$2:$C$51,0)</f>
        <v>Subscriptions</v>
      </c>
      <c r="D607" t="str">
        <f>_xlfn.XLOOKUP(F607,Products!$A$2:$A$51,Products!$B$2:$B$51,0)</f>
        <v>Subscription Renewal Service</v>
      </c>
      <c r="E607" t="str">
        <f>_xlfn.XLOOKUP(B607,customers!$A$2:$A$195,customers!$B$2:$B$195,,0)</f>
        <v>West</v>
      </c>
      <c r="F607">
        <v>1050</v>
      </c>
      <c r="G607" s="9">
        <f>_xlfn.XLOOKUP(B607,customers!$A$1:$A$195,customers!$C$1:$C$195)</f>
        <v>44955</v>
      </c>
      <c r="H607" s="13">
        <v>45695</v>
      </c>
      <c r="I607">
        <v>2</v>
      </c>
      <c r="J607">
        <v>146.82</v>
      </c>
      <c r="K607">
        <v>54.58</v>
      </c>
      <c r="L607">
        <f>_xlfn.XLOOKUP(F607,Products!$A$2:$A$51,Products!$D$2:$D$51,0)</f>
        <v>73.41</v>
      </c>
      <c r="M607">
        <f t="shared" si="9"/>
        <v>92.24</v>
      </c>
    </row>
    <row r="608" spans="1:13">
      <c r="A608" t="s">
        <v>949</v>
      </c>
      <c r="B608" t="s">
        <v>187</v>
      </c>
      <c r="C608" t="str">
        <f>_xlfn.XLOOKUP(F608,Products!$A$2:$A$51,Products!$C$2:$C$51,0)</f>
        <v>Merchandise</v>
      </c>
      <c r="D608" t="str">
        <f>_xlfn.XLOOKUP(F608,Products!$A$2:$A$51,Products!$B$2:$B$51,0)</f>
        <v>Logo Hoodie (Black)</v>
      </c>
      <c r="E608" t="str">
        <f>_xlfn.XLOOKUP(B608,customers!$A$2:$A$195,customers!$B$2:$B$195,,0)</f>
        <v>West</v>
      </c>
      <c r="F608">
        <v>1017</v>
      </c>
      <c r="G608" s="9">
        <f>_xlfn.XLOOKUP(B608,customers!$A$1:$A$195,customers!$C$1:$C$195)</f>
        <v>45282</v>
      </c>
      <c r="H608" s="13">
        <v>45695</v>
      </c>
      <c r="I608">
        <v>3</v>
      </c>
      <c r="J608">
        <v>45.69</v>
      </c>
      <c r="K608">
        <v>40.19</v>
      </c>
      <c r="L608">
        <f>_xlfn.XLOOKUP(F608,Products!$A$2:$A$51,Products!$D$2:$D$51,0)</f>
        <v>15.23</v>
      </c>
      <c r="M608">
        <f t="shared" si="9"/>
        <v>5.5</v>
      </c>
    </row>
    <row r="609" spans="1:13">
      <c r="A609" t="s">
        <v>950</v>
      </c>
      <c r="B609" t="s">
        <v>39</v>
      </c>
      <c r="C609" t="str">
        <f>_xlfn.XLOOKUP(F609,Products!$A$2:$A$51,Products!$C$2:$C$51,0)</f>
        <v>Accessories</v>
      </c>
      <c r="D609" t="str">
        <f>_xlfn.XLOOKUP(F609,Products!$A$2:$A$51,Products!$B$2:$B$51,0)</f>
        <v>Gooseneck Electric Kettle</v>
      </c>
      <c r="E609" t="str">
        <f>_xlfn.XLOOKUP(B609,customers!$A$2:$A$195,customers!$B$2:$B$195,,0)</f>
        <v>North</v>
      </c>
      <c r="F609">
        <v>1037</v>
      </c>
      <c r="G609" s="9">
        <f>_xlfn.XLOOKUP(B609,customers!$A$1:$A$195,customers!$C$1:$C$195)</f>
        <v>45037</v>
      </c>
      <c r="H609" s="13">
        <v>45723</v>
      </c>
      <c r="I609">
        <v>4</v>
      </c>
      <c r="J609">
        <v>139.48</v>
      </c>
      <c r="K609">
        <v>103.88</v>
      </c>
      <c r="L609">
        <f>_xlfn.XLOOKUP(F609,Products!$A$2:$A$51,Products!$D$2:$D$51,0)</f>
        <v>34.87</v>
      </c>
      <c r="M609">
        <f t="shared" si="9"/>
        <v>35.6</v>
      </c>
    </row>
    <row r="610" spans="1:13">
      <c r="A610" t="s">
        <v>951</v>
      </c>
      <c r="B610" t="s">
        <v>54</v>
      </c>
      <c r="C610" t="str">
        <f>_xlfn.XLOOKUP(F610,Products!$A$2:$A$51,Products!$C$2:$C$51,0)</f>
        <v>Accessories</v>
      </c>
      <c r="D610" t="str">
        <f>_xlfn.XLOOKUP(F610,Products!$A$2:$A$51,Products!$B$2:$B$51,0)</f>
        <v>Airtight Storage Container</v>
      </c>
      <c r="E610" t="str">
        <f>_xlfn.XLOOKUP(B610,customers!$A$2:$A$195,customers!$B$2:$B$195,,0)</f>
        <v>West</v>
      </c>
      <c r="F610">
        <v>1013</v>
      </c>
      <c r="G610" s="9">
        <f>_xlfn.XLOOKUP(B610,customers!$A$1:$A$195,customers!$C$1:$C$195)</f>
        <v>45201</v>
      </c>
      <c r="H610" s="13">
        <v>45723</v>
      </c>
      <c r="I610">
        <v>3</v>
      </c>
      <c r="J610">
        <v>183.12</v>
      </c>
      <c r="K610">
        <v>77.12</v>
      </c>
      <c r="L610">
        <f>_xlfn.XLOOKUP(F610,Products!$A$2:$A$51,Products!$D$2:$D$51,0)</f>
        <v>61.04</v>
      </c>
      <c r="M610">
        <f t="shared" si="9"/>
        <v>106</v>
      </c>
    </row>
    <row r="611" spans="1:13">
      <c r="A611" t="s">
        <v>952</v>
      </c>
      <c r="B611" t="s">
        <v>59</v>
      </c>
      <c r="C611" t="str">
        <f>_xlfn.XLOOKUP(F611,Products!$A$2:$A$51,Products!$C$2:$C$51,0)</f>
        <v>Accessories</v>
      </c>
      <c r="D611" t="str">
        <f>_xlfn.XLOOKUP(F611,Products!$A$2:$A$51,Products!$B$2:$B$51,0)</f>
        <v>Gooseneck Electric Kettle</v>
      </c>
      <c r="E611" t="str">
        <f>_xlfn.XLOOKUP(B611,customers!$A$2:$A$195,customers!$B$2:$B$195,,0)</f>
        <v>East</v>
      </c>
      <c r="F611">
        <v>1037</v>
      </c>
      <c r="G611" s="9">
        <f>_xlfn.XLOOKUP(B611,customers!$A$1:$A$195,customers!$C$1:$C$195)</f>
        <v>45068</v>
      </c>
      <c r="H611" s="13">
        <v>45723</v>
      </c>
      <c r="I611">
        <v>1</v>
      </c>
      <c r="J611">
        <v>34.87</v>
      </c>
      <c r="K611">
        <v>25.97</v>
      </c>
      <c r="L611">
        <f>_xlfn.XLOOKUP(F611,Products!$A$2:$A$51,Products!$D$2:$D$51,0)</f>
        <v>34.87</v>
      </c>
      <c r="M611">
        <f t="shared" si="9"/>
        <v>8.9</v>
      </c>
    </row>
    <row r="612" spans="1:13">
      <c r="A612" t="s">
        <v>953</v>
      </c>
      <c r="B612" t="s">
        <v>83</v>
      </c>
      <c r="C612" t="str">
        <f>_xlfn.XLOOKUP(F612,Products!$A$2:$A$51,Products!$C$2:$C$51,0)</f>
        <v>Subscriptions</v>
      </c>
      <c r="D612" t="str">
        <f>_xlfn.XLOOKUP(F612,Products!$A$2:$A$51,Products!$B$2:$B$51,0)</f>
        <v>Espresso Lovers Quarterly Pack</v>
      </c>
      <c r="E612" t="str">
        <f>_xlfn.XLOOKUP(B612,customers!$A$2:$A$195,customers!$B$2:$B$195,,0)</f>
        <v>West</v>
      </c>
      <c r="F612">
        <v>1049</v>
      </c>
      <c r="G612" s="9">
        <f>_xlfn.XLOOKUP(B612,customers!$A$1:$A$195,customers!$C$1:$C$195)</f>
        <v>45277</v>
      </c>
      <c r="H612" s="13">
        <v>45723</v>
      </c>
      <c r="I612">
        <v>4</v>
      </c>
      <c r="J612">
        <v>299.48</v>
      </c>
      <c r="K612">
        <v>76.78</v>
      </c>
      <c r="L612">
        <f>_xlfn.XLOOKUP(F612,Products!$A$2:$A$51,Products!$D$2:$D$51,0)</f>
        <v>74.87</v>
      </c>
      <c r="M612">
        <f t="shared" si="9"/>
        <v>222.7</v>
      </c>
    </row>
    <row r="613" spans="1:13">
      <c r="A613" t="s">
        <v>954</v>
      </c>
      <c r="B613" t="s">
        <v>83</v>
      </c>
      <c r="C613" t="str">
        <f>_xlfn.XLOOKUP(F613,Products!$A$2:$A$51,Products!$C$2:$C$51,0)</f>
        <v>Merchandise</v>
      </c>
      <c r="D613" t="str">
        <f>_xlfn.XLOOKUP(F613,Products!$A$2:$A$51,Products!$B$2:$B$51,0)</f>
        <v>Daily Grind T-Shirt</v>
      </c>
      <c r="E613" t="str">
        <f>_xlfn.XLOOKUP(B613,customers!$A$2:$A$195,customers!$B$2:$B$195,,0)</f>
        <v>West</v>
      </c>
      <c r="F613">
        <v>1019</v>
      </c>
      <c r="G613" s="9">
        <f>_xlfn.XLOOKUP(B613,customers!$A$1:$A$195,customers!$C$1:$C$195)</f>
        <v>45277</v>
      </c>
      <c r="H613" s="13">
        <v>45723</v>
      </c>
      <c r="I613">
        <v>4</v>
      </c>
      <c r="J613">
        <v>85.48</v>
      </c>
      <c r="K613">
        <v>33.04</v>
      </c>
      <c r="L613">
        <f>_xlfn.XLOOKUP(F613,Products!$A$2:$A$51,Products!$D$2:$D$51,0)</f>
        <v>21.37</v>
      </c>
      <c r="M613">
        <f t="shared" si="9"/>
        <v>52.44</v>
      </c>
    </row>
    <row r="614" spans="1:13">
      <c r="A614" t="s">
        <v>955</v>
      </c>
      <c r="B614" t="s">
        <v>111</v>
      </c>
      <c r="C614" t="str">
        <f>_xlfn.XLOOKUP(F614,Products!$A$2:$A$51,Products!$C$2:$C$51,0)</f>
        <v>Accessories</v>
      </c>
      <c r="D614" t="str">
        <f>_xlfn.XLOOKUP(F614,Products!$A$2:$A$51,Products!$B$2:$B$51,0)</f>
        <v>Chemex Filters (100 pack)</v>
      </c>
      <c r="E614" t="str">
        <f>_xlfn.XLOOKUP(B614,customers!$A$2:$A$195,customers!$B$2:$B$195,,0)</f>
        <v>East</v>
      </c>
      <c r="F614">
        <v>1014</v>
      </c>
      <c r="G614" s="9">
        <f>_xlfn.XLOOKUP(B614,customers!$A$1:$A$195,customers!$C$1:$C$195)</f>
        <v>45191</v>
      </c>
      <c r="H614" s="13">
        <v>45723</v>
      </c>
      <c r="I614">
        <v>1</v>
      </c>
      <c r="J614">
        <v>24.1</v>
      </c>
      <c r="K614">
        <v>21.21</v>
      </c>
      <c r="L614">
        <f>_xlfn.XLOOKUP(F614,Products!$A$2:$A$51,Products!$D$2:$D$51,0)</f>
        <v>24.1</v>
      </c>
      <c r="M614">
        <f t="shared" si="9"/>
        <v>2.89</v>
      </c>
    </row>
    <row r="615" spans="1:13">
      <c r="A615" t="s">
        <v>956</v>
      </c>
      <c r="B615" t="s">
        <v>40</v>
      </c>
      <c r="C615" t="str">
        <f>_xlfn.XLOOKUP(F615,Products!$A$2:$A$51,Products!$C$2:$C$51,0)</f>
        <v>Subscriptions</v>
      </c>
      <c r="D615" t="str">
        <f>_xlfn.XLOOKUP(F615,Products!$A$2:$A$51,Products!$B$2:$B$51,0)</f>
        <v>Bi-Weekly Sampler Box</v>
      </c>
      <c r="E615" t="str">
        <f>_xlfn.XLOOKUP(B615,customers!$A$2:$A$195,customers!$B$2:$B$195,,0)</f>
        <v>North</v>
      </c>
      <c r="F615">
        <v>1022</v>
      </c>
      <c r="G615" s="9">
        <f>_xlfn.XLOOKUP(B615,customers!$A$1:$A$195,customers!$C$1:$C$195)</f>
        <v>45068</v>
      </c>
      <c r="H615" s="13">
        <v>45754</v>
      </c>
      <c r="I615">
        <v>1</v>
      </c>
      <c r="J615">
        <v>88.77</v>
      </c>
      <c r="K615">
        <v>23.86</v>
      </c>
      <c r="L615">
        <f>_xlfn.XLOOKUP(F615,Products!$A$2:$A$51,Products!$D$2:$D$51,0)</f>
        <v>88.77</v>
      </c>
      <c r="M615">
        <f t="shared" si="9"/>
        <v>64.91</v>
      </c>
    </row>
    <row r="616" spans="1:13">
      <c r="A616" t="s">
        <v>957</v>
      </c>
      <c r="B616" t="s">
        <v>53</v>
      </c>
      <c r="C616" t="str">
        <f>_xlfn.XLOOKUP(F616,Products!$A$2:$A$51,Products!$C$2:$C$51,0)</f>
        <v>Grinders &amp; Brewers</v>
      </c>
      <c r="D616" t="str">
        <f>_xlfn.XLOOKUP(F616,Products!$A$2:$A$51,Products!$B$2:$B$51,0)</f>
        <v>Automated Drip Brewer</v>
      </c>
      <c r="E616" t="str">
        <f>_xlfn.XLOOKUP(B616,customers!$A$2:$A$195,customers!$B$2:$B$195,,0)</f>
        <v>East</v>
      </c>
      <c r="F616">
        <v>1008</v>
      </c>
      <c r="G616" s="9">
        <f>_xlfn.XLOOKUP(B616,customers!$A$1:$A$195,customers!$C$1:$C$195)</f>
        <v>45154</v>
      </c>
      <c r="H616" s="13">
        <v>45754</v>
      </c>
      <c r="I616">
        <v>2</v>
      </c>
      <c r="J616">
        <v>471.52</v>
      </c>
      <c r="K616">
        <v>264.97</v>
      </c>
      <c r="L616">
        <f>_xlfn.XLOOKUP(F616,Products!$A$2:$A$51,Products!$D$2:$D$51,0)</f>
        <v>235.76</v>
      </c>
      <c r="M616">
        <f t="shared" si="9"/>
        <v>206.55</v>
      </c>
    </row>
    <row r="617" spans="1:13">
      <c r="A617" t="s">
        <v>958</v>
      </c>
      <c r="B617" t="s">
        <v>112</v>
      </c>
      <c r="C617" t="str">
        <f>_xlfn.XLOOKUP(F617,Products!$A$2:$A$51,Products!$C$2:$C$51,0)</f>
        <v>Consumables</v>
      </c>
      <c r="D617" t="str">
        <f>_xlfn.XLOOKUP(F617,Products!$A$2:$A$51,Products!$B$2:$B$51,0)</f>
        <v>Single-Origin Ethiopian (250g)</v>
      </c>
      <c r="E617" t="str">
        <f>_xlfn.XLOOKUP(B617,customers!$A$2:$A$195,customers!$B$2:$B$195,,0)</f>
        <v>East</v>
      </c>
      <c r="F617">
        <v>1026</v>
      </c>
      <c r="G617" s="9">
        <f>_xlfn.XLOOKUP(B617,customers!$A$1:$A$195,customers!$C$1:$C$195)</f>
        <v>44937</v>
      </c>
      <c r="H617" s="13">
        <v>45754</v>
      </c>
      <c r="I617">
        <v>3</v>
      </c>
      <c r="J617">
        <v>58.47</v>
      </c>
      <c r="K617">
        <v>38.12</v>
      </c>
      <c r="L617">
        <f>_xlfn.XLOOKUP(F617,Products!$A$2:$A$51,Products!$D$2:$D$51,0)</f>
        <v>19.49</v>
      </c>
      <c r="M617">
        <f t="shared" si="9"/>
        <v>20.35</v>
      </c>
    </row>
    <row r="618" spans="1:13">
      <c r="A618" t="s">
        <v>959</v>
      </c>
      <c r="B618" t="s">
        <v>51</v>
      </c>
      <c r="C618" t="str">
        <f>_xlfn.XLOOKUP(F618,Products!$A$2:$A$51,Products!$C$2:$C$51,0)</f>
        <v>Subscriptions</v>
      </c>
      <c r="D618" t="str">
        <f>_xlfn.XLOOKUP(F618,Products!$A$2:$A$51,Products!$B$2:$B$51,0)</f>
        <v>Monthly Dark Roast Subscription</v>
      </c>
      <c r="E618" t="str">
        <f>_xlfn.XLOOKUP(B618,customers!$A$2:$A$195,customers!$B$2:$B$195,,0)</f>
        <v>South</v>
      </c>
      <c r="F618">
        <v>1046</v>
      </c>
      <c r="G618" s="9">
        <f>_xlfn.XLOOKUP(B618,customers!$A$1:$A$195,customers!$C$1:$C$195)</f>
        <v>45096</v>
      </c>
      <c r="H618" s="13">
        <v>45784</v>
      </c>
      <c r="I618">
        <v>3</v>
      </c>
      <c r="J618">
        <v>183.78</v>
      </c>
      <c r="K618">
        <v>105.44</v>
      </c>
      <c r="L618">
        <f>_xlfn.XLOOKUP(F618,Products!$A$2:$A$51,Products!$D$2:$D$51,0)</f>
        <v>61.26</v>
      </c>
      <c r="M618">
        <f t="shared" si="9"/>
        <v>78.34</v>
      </c>
    </row>
    <row r="619" spans="1:13">
      <c r="A619" t="s">
        <v>960</v>
      </c>
      <c r="B619" t="s">
        <v>30</v>
      </c>
      <c r="C619" t="str">
        <f>_xlfn.XLOOKUP(F619,Products!$A$2:$A$51,Products!$C$2:$C$51,0)</f>
        <v>Accessories</v>
      </c>
      <c r="D619" t="str">
        <f>_xlfn.XLOOKUP(F619,Products!$A$2:$A$51,Products!$B$2:$B$51,0)</f>
        <v>Chemex Filters (100 pack)</v>
      </c>
      <c r="E619" t="str">
        <f>_xlfn.XLOOKUP(B619,customers!$A$2:$A$195,customers!$B$2:$B$195,,0)</f>
        <v>East</v>
      </c>
      <c r="F619">
        <v>1014</v>
      </c>
      <c r="G619" s="9">
        <f>_xlfn.XLOOKUP(B619,customers!$A$1:$A$195,customers!$C$1:$C$195)</f>
        <v>45276</v>
      </c>
      <c r="H619" s="13">
        <v>45815</v>
      </c>
      <c r="I619">
        <v>2</v>
      </c>
      <c r="J619">
        <v>48.2</v>
      </c>
      <c r="K619">
        <v>42.42</v>
      </c>
      <c r="L619">
        <f>_xlfn.XLOOKUP(F619,Products!$A$2:$A$51,Products!$D$2:$D$51,0)</f>
        <v>24.1</v>
      </c>
      <c r="M619">
        <f t="shared" si="9"/>
        <v>5.78</v>
      </c>
    </row>
    <row r="620" spans="1:13">
      <c r="A620" t="s">
        <v>961</v>
      </c>
      <c r="B620" t="s">
        <v>133</v>
      </c>
      <c r="C620" t="str">
        <f>_xlfn.XLOOKUP(F620,Products!$A$2:$A$51,Products!$C$2:$C$51,0)</f>
        <v>Consumables</v>
      </c>
      <c r="D620" t="str">
        <f>_xlfn.XLOOKUP(F620,Products!$A$2:$A$51,Products!$B$2:$B$51,0)</f>
        <v>Cold Brew Concentrate</v>
      </c>
      <c r="E620" t="str">
        <f>_xlfn.XLOOKUP(B620,customers!$A$2:$A$195,customers!$B$2:$B$195,,0)</f>
        <v>West</v>
      </c>
      <c r="F620">
        <v>1029</v>
      </c>
      <c r="G620" s="9">
        <f>_xlfn.XLOOKUP(B620,customers!$A$1:$A$195,customers!$C$1:$C$195)</f>
        <v>45248</v>
      </c>
      <c r="H620" s="13">
        <v>45815</v>
      </c>
      <c r="I620">
        <v>2</v>
      </c>
      <c r="J620">
        <v>46.98</v>
      </c>
      <c r="K620">
        <v>20.17</v>
      </c>
      <c r="L620">
        <f>_xlfn.XLOOKUP(F620,Products!$A$2:$A$51,Products!$D$2:$D$51,0)</f>
        <v>23.49</v>
      </c>
      <c r="M620">
        <f t="shared" si="9"/>
        <v>26.81</v>
      </c>
    </row>
    <row r="621" spans="1:13">
      <c r="A621" t="s">
        <v>962</v>
      </c>
      <c r="B621" t="s">
        <v>12</v>
      </c>
      <c r="C621" t="str">
        <f>_xlfn.XLOOKUP(F621,Products!$A$2:$A$51,Products!$C$2:$C$51,0)</f>
        <v>Merchandise</v>
      </c>
      <c r="D621" t="str">
        <f>_xlfn.XLOOKUP(F621,Products!$A$2:$A$51,Products!$B$2:$B$51,0)</f>
        <v>Branded Ceramic Mug (Large)</v>
      </c>
      <c r="E621" t="str">
        <f>_xlfn.XLOOKUP(B621,customers!$A$2:$A$195,customers!$B$2:$B$195,,0)</f>
        <v>West</v>
      </c>
      <c r="F621">
        <v>1041</v>
      </c>
      <c r="G621" s="9">
        <f>_xlfn.XLOOKUP(B621,customers!$A$1:$A$195,customers!$C$1:$C$195)</f>
        <v>45106</v>
      </c>
      <c r="H621" s="13">
        <v>45845</v>
      </c>
      <c r="I621">
        <v>2</v>
      </c>
      <c r="J621">
        <v>86.4</v>
      </c>
      <c r="K621">
        <v>62.22</v>
      </c>
      <c r="L621">
        <f>_xlfn.XLOOKUP(F621,Products!$A$2:$A$51,Products!$D$2:$D$51,0)</f>
        <v>43.2</v>
      </c>
      <c r="M621">
        <f t="shared" si="9"/>
        <v>24.18</v>
      </c>
    </row>
    <row r="622" spans="1:13">
      <c r="A622" t="s">
        <v>963</v>
      </c>
      <c r="B622" t="s">
        <v>16</v>
      </c>
      <c r="C622" t="str">
        <f>_xlfn.XLOOKUP(F622,Products!$A$2:$A$51,Products!$C$2:$C$51,0)</f>
        <v>Merchandise</v>
      </c>
      <c r="D622" t="str">
        <f>_xlfn.XLOOKUP(F622,Products!$A$2:$A$51,Products!$B$2:$B$51,0)</f>
        <v>Daily Grind T-Shirt</v>
      </c>
      <c r="E622" t="str">
        <f>_xlfn.XLOOKUP(B622,customers!$A$2:$A$195,customers!$B$2:$B$195,,0)</f>
        <v>East</v>
      </c>
      <c r="F622">
        <v>1019</v>
      </c>
      <c r="G622" s="9">
        <f>_xlfn.XLOOKUP(B622,customers!$A$1:$A$195,customers!$C$1:$C$195)</f>
        <v>45182</v>
      </c>
      <c r="H622" s="13">
        <v>45845</v>
      </c>
      <c r="I622">
        <v>1</v>
      </c>
      <c r="J622">
        <v>21.37</v>
      </c>
      <c r="K622">
        <v>8.26</v>
      </c>
      <c r="L622">
        <f>_xlfn.XLOOKUP(F622,Products!$A$2:$A$51,Products!$D$2:$D$51,0)</f>
        <v>21.37</v>
      </c>
      <c r="M622">
        <f t="shared" si="9"/>
        <v>13.11</v>
      </c>
    </row>
    <row r="623" spans="1:13">
      <c r="A623" t="s">
        <v>964</v>
      </c>
      <c r="B623" t="s">
        <v>95</v>
      </c>
      <c r="C623" t="str">
        <f>_xlfn.XLOOKUP(F623,Products!$A$2:$A$51,Products!$C$2:$C$51,0)</f>
        <v>Consumables</v>
      </c>
      <c r="D623" t="str">
        <f>_xlfn.XLOOKUP(F623,Products!$A$2:$A$51,Products!$B$2:$B$51,0)</f>
        <v>Decaf Blend (1kg)</v>
      </c>
      <c r="E623" t="str">
        <f>_xlfn.XLOOKUP(B623,customers!$A$2:$A$195,customers!$B$2:$B$195,,0)</f>
        <v>West</v>
      </c>
      <c r="F623">
        <v>1028</v>
      </c>
      <c r="G623" s="9">
        <f>_xlfn.XLOOKUP(B623,customers!$A$1:$A$195,customers!$C$1:$C$195)</f>
        <v>44941</v>
      </c>
      <c r="H623" s="13">
        <v>45845</v>
      </c>
      <c r="I623">
        <v>1</v>
      </c>
      <c r="J623">
        <v>40.35</v>
      </c>
      <c r="K623">
        <v>12.86</v>
      </c>
      <c r="L623">
        <f>_xlfn.XLOOKUP(F623,Products!$A$2:$A$51,Products!$D$2:$D$51,0)</f>
        <v>40.35</v>
      </c>
      <c r="M623">
        <f t="shared" si="9"/>
        <v>27.49</v>
      </c>
    </row>
    <row r="624" spans="1:13">
      <c r="A624" t="s">
        <v>965</v>
      </c>
      <c r="B624" t="s">
        <v>122</v>
      </c>
      <c r="C624" t="str">
        <f>_xlfn.XLOOKUP(F624,Products!$A$2:$A$51,Products!$C$2:$C$51,0)</f>
        <v>Subscriptions</v>
      </c>
      <c r="D624" t="str">
        <f>_xlfn.XLOOKUP(F624,Products!$A$2:$A$51,Products!$B$2:$B$51,0)</f>
        <v>Monthly Dark Roast Subscription</v>
      </c>
      <c r="E624" t="str">
        <f>_xlfn.XLOOKUP(B624,customers!$A$2:$A$195,customers!$B$2:$B$195,,0)</f>
        <v>North</v>
      </c>
      <c r="F624">
        <v>1046</v>
      </c>
      <c r="G624" s="9">
        <f>_xlfn.XLOOKUP(B624,customers!$A$1:$A$195,customers!$C$1:$C$195)</f>
        <v>45015</v>
      </c>
      <c r="H624" s="13">
        <v>45845</v>
      </c>
      <c r="I624">
        <v>2</v>
      </c>
      <c r="J624">
        <v>122.52</v>
      </c>
      <c r="K624">
        <v>70.29</v>
      </c>
      <c r="L624">
        <f>_xlfn.XLOOKUP(F624,Products!$A$2:$A$51,Products!$D$2:$D$51,0)</f>
        <v>61.26</v>
      </c>
      <c r="M624">
        <f t="shared" si="9"/>
        <v>52.23</v>
      </c>
    </row>
    <row r="625" spans="1:13">
      <c r="A625" t="s">
        <v>966</v>
      </c>
      <c r="B625" t="s">
        <v>147</v>
      </c>
      <c r="C625" t="str">
        <f>_xlfn.XLOOKUP(F625,Products!$A$2:$A$51,Products!$C$2:$C$51,0)</f>
        <v>Merchandise</v>
      </c>
      <c r="D625" t="str">
        <f>_xlfn.XLOOKUP(F625,Products!$A$2:$A$51,Products!$B$2:$B$51,0)</f>
        <v>Logo Hoodie (Black)</v>
      </c>
      <c r="E625" t="str">
        <f>_xlfn.XLOOKUP(B625,customers!$A$2:$A$195,customers!$B$2:$B$195,,0)</f>
        <v>West</v>
      </c>
      <c r="F625">
        <v>1017</v>
      </c>
      <c r="G625" s="9">
        <f>_xlfn.XLOOKUP(B625,customers!$A$1:$A$195,customers!$C$1:$C$195)</f>
        <v>45228</v>
      </c>
      <c r="H625" s="13">
        <v>45845</v>
      </c>
      <c r="I625">
        <v>2</v>
      </c>
      <c r="J625">
        <v>30.46</v>
      </c>
      <c r="K625">
        <v>26.8</v>
      </c>
      <c r="L625">
        <f>_xlfn.XLOOKUP(F625,Products!$A$2:$A$51,Products!$D$2:$D$51,0)</f>
        <v>15.23</v>
      </c>
      <c r="M625">
        <f t="shared" si="9"/>
        <v>3.66</v>
      </c>
    </row>
    <row r="626" spans="1:13">
      <c r="A626" t="s">
        <v>967</v>
      </c>
      <c r="B626" t="s">
        <v>158</v>
      </c>
      <c r="C626" t="str">
        <f>_xlfn.XLOOKUP(F626,Products!$A$2:$A$51,Products!$C$2:$C$51,0)</f>
        <v>Accessories</v>
      </c>
      <c r="D626" t="str">
        <f>_xlfn.XLOOKUP(F626,Products!$A$2:$A$51,Products!$B$2:$B$51,0)</f>
        <v>Digital Coffee Scale</v>
      </c>
      <c r="E626" t="str">
        <f>_xlfn.XLOOKUP(B626,customers!$A$2:$A$195,customers!$B$2:$B$195,,0)</f>
        <v>West</v>
      </c>
      <c r="F626">
        <v>1036</v>
      </c>
      <c r="G626" s="9">
        <f>_xlfn.XLOOKUP(B626,customers!$A$1:$A$195,customers!$C$1:$C$195)</f>
        <v>45061</v>
      </c>
      <c r="H626" s="13">
        <v>45845</v>
      </c>
      <c r="I626">
        <v>2</v>
      </c>
      <c r="J626">
        <v>53.66</v>
      </c>
      <c r="K626">
        <v>29.3</v>
      </c>
      <c r="L626">
        <f>_xlfn.XLOOKUP(F626,Products!$A$2:$A$51,Products!$D$2:$D$51,0)</f>
        <v>26.83</v>
      </c>
      <c r="M626">
        <f t="shared" si="9"/>
        <v>24.36</v>
      </c>
    </row>
    <row r="627" spans="1:13">
      <c r="A627" t="s">
        <v>968</v>
      </c>
      <c r="B627" t="s">
        <v>3</v>
      </c>
      <c r="C627" t="str">
        <f>_xlfn.XLOOKUP(F627,Products!$A$2:$A$51,Products!$C$2:$C$51,0)</f>
        <v>Accessories</v>
      </c>
      <c r="D627" t="str">
        <f>_xlfn.XLOOKUP(F627,Products!$A$2:$A$51,Products!$B$2:$B$51,0)</f>
        <v>Digital Coffee Scale</v>
      </c>
      <c r="E627" t="str">
        <f>_xlfn.XLOOKUP(B627,customers!$A$2:$A$195,customers!$B$2:$B$195,,0)</f>
        <v>East</v>
      </c>
      <c r="F627">
        <v>1036</v>
      </c>
      <c r="G627" s="9">
        <f>_xlfn.XLOOKUP(B627,customers!$A$1:$A$195,customers!$C$1:$C$195)</f>
        <v>45141</v>
      </c>
      <c r="H627" s="13">
        <v>45876</v>
      </c>
      <c r="I627">
        <v>3</v>
      </c>
      <c r="J627">
        <v>80.49</v>
      </c>
      <c r="K627">
        <v>43.96</v>
      </c>
      <c r="L627">
        <f>_xlfn.XLOOKUP(F627,Products!$A$2:$A$51,Products!$D$2:$D$51,0)</f>
        <v>26.83</v>
      </c>
      <c r="M627">
        <f t="shared" si="9"/>
        <v>36.53</v>
      </c>
    </row>
    <row r="628" spans="1:13">
      <c r="A628" t="s">
        <v>969</v>
      </c>
      <c r="B628" t="s">
        <v>83</v>
      </c>
      <c r="C628" t="str">
        <f>_xlfn.XLOOKUP(F628,Products!$A$2:$A$51,Products!$C$2:$C$51,0)</f>
        <v>Merchandise</v>
      </c>
      <c r="D628" t="str">
        <f>_xlfn.XLOOKUP(F628,Products!$A$2:$A$51,Products!$B$2:$B$51,0)</f>
        <v>Minimalist Keychain</v>
      </c>
      <c r="E628" t="str">
        <f>_xlfn.XLOOKUP(B628,customers!$A$2:$A$195,customers!$B$2:$B$195,,0)</f>
        <v>West</v>
      </c>
      <c r="F628">
        <v>1045</v>
      </c>
      <c r="G628" s="9">
        <f>_xlfn.XLOOKUP(B628,customers!$A$1:$A$195,customers!$C$1:$C$195)</f>
        <v>45277</v>
      </c>
      <c r="H628" s="13">
        <v>45876</v>
      </c>
      <c r="I628">
        <v>4</v>
      </c>
      <c r="J628">
        <v>109.48</v>
      </c>
      <c r="K628">
        <v>96.36</v>
      </c>
      <c r="L628">
        <f>_xlfn.XLOOKUP(F628,Products!$A$2:$A$51,Products!$D$2:$D$51,0)</f>
        <v>27.37</v>
      </c>
      <c r="M628">
        <f t="shared" si="9"/>
        <v>13.12</v>
      </c>
    </row>
    <row r="629" spans="1:13">
      <c r="A629" t="s">
        <v>970</v>
      </c>
      <c r="B629" t="s">
        <v>106</v>
      </c>
      <c r="C629" t="str">
        <f>_xlfn.XLOOKUP(F629,Products!$A$2:$A$51,Products!$C$2:$C$51,0)</f>
        <v>Accessories</v>
      </c>
      <c r="D629" t="str">
        <f>_xlfn.XLOOKUP(F629,Products!$A$2:$A$51,Products!$B$2:$B$51,0)</f>
        <v>Gooseneck Electric Kettle</v>
      </c>
      <c r="E629" t="str">
        <f>_xlfn.XLOOKUP(B629,customers!$A$2:$A$195,customers!$B$2:$B$195,,0)</f>
        <v>East</v>
      </c>
      <c r="F629">
        <v>1037</v>
      </c>
      <c r="G629" s="9">
        <f>_xlfn.XLOOKUP(B629,customers!$A$1:$A$195,customers!$C$1:$C$195)</f>
        <v>45055</v>
      </c>
      <c r="H629" s="13">
        <v>45876</v>
      </c>
      <c r="I629">
        <v>3</v>
      </c>
      <c r="J629">
        <v>104.61</v>
      </c>
      <c r="K629">
        <v>77.91</v>
      </c>
      <c r="L629">
        <f>_xlfn.XLOOKUP(F629,Products!$A$2:$A$51,Products!$D$2:$D$51,0)</f>
        <v>34.87</v>
      </c>
      <c r="M629">
        <f t="shared" si="9"/>
        <v>26.7</v>
      </c>
    </row>
    <row r="630" spans="1:13">
      <c r="A630" t="s">
        <v>971</v>
      </c>
      <c r="B630" t="s">
        <v>35</v>
      </c>
      <c r="C630" t="str">
        <f>_xlfn.XLOOKUP(F630,Products!$A$2:$A$51,Products!$C$2:$C$51,0)</f>
        <v>Subscriptions</v>
      </c>
      <c r="D630" t="str">
        <f>_xlfn.XLOOKUP(F630,Products!$A$2:$A$51,Products!$B$2:$B$51,0)</f>
        <v>Subscription Renewal Service</v>
      </c>
      <c r="E630" t="str">
        <f>_xlfn.XLOOKUP(B630,customers!$A$2:$A$195,customers!$B$2:$B$195,,0)</f>
        <v>East</v>
      </c>
      <c r="F630">
        <v>1050</v>
      </c>
      <c r="G630" s="9">
        <f>_xlfn.XLOOKUP(B630,customers!$A$1:$A$195,customers!$C$1:$C$195)</f>
        <v>45161</v>
      </c>
      <c r="H630" s="13">
        <v>45907</v>
      </c>
      <c r="I630">
        <v>2</v>
      </c>
      <c r="J630">
        <v>146.82</v>
      </c>
      <c r="K630">
        <v>54.58</v>
      </c>
      <c r="L630">
        <f>_xlfn.XLOOKUP(F630,Products!$A$2:$A$51,Products!$D$2:$D$51,0)</f>
        <v>73.41</v>
      </c>
      <c r="M630">
        <f t="shared" si="9"/>
        <v>92.24</v>
      </c>
    </row>
    <row r="631" spans="1:13">
      <c r="A631" t="s">
        <v>972</v>
      </c>
      <c r="B631" t="s">
        <v>43</v>
      </c>
      <c r="C631" t="str">
        <f>_xlfn.XLOOKUP(F631,Products!$A$2:$A$51,Products!$C$2:$C$51,0)</f>
        <v>Accessories</v>
      </c>
      <c r="D631" t="str">
        <f>_xlfn.XLOOKUP(F631,Products!$A$2:$A$51,Products!$B$2:$B$51,0)</f>
        <v>Airtight Storage Container</v>
      </c>
      <c r="E631" t="str">
        <f>_xlfn.XLOOKUP(B631,customers!$A$2:$A$195,customers!$B$2:$B$195,,0)</f>
        <v>West</v>
      </c>
      <c r="F631">
        <v>1013</v>
      </c>
      <c r="G631" s="9">
        <f>_xlfn.XLOOKUP(B631,customers!$A$1:$A$195,customers!$C$1:$C$195)</f>
        <v>45197</v>
      </c>
      <c r="H631" s="13">
        <v>45907</v>
      </c>
      <c r="I631">
        <v>4</v>
      </c>
      <c r="J631">
        <v>244.16</v>
      </c>
      <c r="K631">
        <v>102.83</v>
      </c>
      <c r="L631">
        <f>_xlfn.XLOOKUP(F631,Products!$A$2:$A$51,Products!$D$2:$D$51,0)</f>
        <v>61.04</v>
      </c>
      <c r="M631">
        <f t="shared" si="9"/>
        <v>141.33</v>
      </c>
    </row>
    <row r="632" spans="1:13">
      <c r="A632" t="s">
        <v>973</v>
      </c>
      <c r="B632" t="s">
        <v>182</v>
      </c>
      <c r="C632" t="str">
        <f>_xlfn.XLOOKUP(F632,Products!$A$2:$A$51,Products!$C$2:$C$51,0)</f>
        <v>Merchandise</v>
      </c>
      <c r="D632" t="str">
        <f>_xlfn.XLOOKUP(F632,Products!$A$2:$A$51,Products!$B$2:$B$51,0)</f>
        <v>Branded Ceramic Mug (Large)</v>
      </c>
      <c r="E632" t="str">
        <f>_xlfn.XLOOKUP(B632,customers!$A$2:$A$195,customers!$B$2:$B$195,,0)</f>
        <v>East</v>
      </c>
      <c r="F632">
        <v>1016</v>
      </c>
      <c r="G632" s="9">
        <f>_xlfn.XLOOKUP(B632,customers!$A$1:$A$195,customers!$C$1:$C$195)</f>
        <v>44998</v>
      </c>
      <c r="H632" s="13">
        <v>45907</v>
      </c>
      <c r="I632">
        <v>3</v>
      </c>
      <c r="J632">
        <v>129.6</v>
      </c>
      <c r="K632">
        <v>93.32</v>
      </c>
      <c r="L632">
        <f>_xlfn.XLOOKUP(F632,Products!$A$2:$A$51,Products!$D$2:$D$51,0)</f>
        <v>43.2</v>
      </c>
      <c r="M632">
        <f t="shared" si="9"/>
        <v>36.28</v>
      </c>
    </row>
    <row r="633" spans="1:13">
      <c r="A633" t="s">
        <v>974</v>
      </c>
      <c r="B633" t="s">
        <v>50</v>
      </c>
      <c r="C633" t="str">
        <f>_xlfn.XLOOKUP(F633,Products!$A$2:$A$51,Products!$C$2:$C$51,0)</f>
        <v>Merchandise</v>
      </c>
      <c r="D633" t="str">
        <f>_xlfn.XLOOKUP(F633,Products!$A$2:$A$51,Products!$B$2:$B$51,0)</f>
        <v>Insulated Travel Tumbler</v>
      </c>
      <c r="E633" t="str">
        <f>_xlfn.XLOOKUP(B633,customers!$A$2:$A$195,customers!$B$2:$B$195,,0)</f>
        <v>West</v>
      </c>
      <c r="F633">
        <v>1018</v>
      </c>
      <c r="G633" s="9">
        <f>_xlfn.XLOOKUP(B633,customers!$A$1:$A$195,customers!$C$1:$C$195)</f>
        <v>44999</v>
      </c>
      <c r="H633" s="13">
        <v>45937</v>
      </c>
      <c r="I633">
        <v>2</v>
      </c>
      <c r="J633">
        <v>86.56</v>
      </c>
      <c r="K633">
        <v>41.65</v>
      </c>
      <c r="L633">
        <f>_xlfn.XLOOKUP(F633,Products!$A$2:$A$51,Products!$D$2:$D$51,0)</f>
        <v>43.28</v>
      </c>
      <c r="M633">
        <f t="shared" si="9"/>
        <v>44.91</v>
      </c>
    </row>
    <row r="634" spans="1:13">
      <c r="A634" t="s">
        <v>975</v>
      </c>
      <c r="B634" t="s">
        <v>8</v>
      </c>
      <c r="C634" t="str">
        <f>_xlfn.XLOOKUP(F634,Products!$A$2:$A$51,Products!$C$2:$C$51,0)</f>
        <v>Merchandise</v>
      </c>
      <c r="D634" t="str">
        <f>_xlfn.XLOOKUP(F634,Products!$A$2:$A$51,Products!$B$2:$B$51,0)</f>
        <v>Branded Ceramic Mug (Large)</v>
      </c>
      <c r="E634" t="str">
        <f>_xlfn.XLOOKUP(B634,customers!$A$2:$A$195,customers!$B$2:$B$195,,0)</f>
        <v>West</v>
      </c>
      <c r="F634">
        <v>1041</v>
      </c>
      <c r="G634" s="9">
        <f>_xlfn.XLOOKUP(B634,customers!$A$1:$A$195,customers!$C$1:$C$195)</f>
        <v>45033</v>
      </c>
      <c r="H634" s="13">
        <v>45968</v>
      </c>
      <c r="I634">
        <v>4</v>
      </c>
      <c r="J634">
        <v>172.8</v>
      </c>
      <c r="K634">
        <v>124.43</v>
      </c>
      <c r="L634">
        <f>_xlfn.XLOOKUP(F634,Products!$A$2:$A$51,Products!$D$2:$D$51,0)</f>
        <v>43.2</v>
      </c>
      <c r="M634">
        <f t="shared" si="9"/>
        <v>48.37</v>
      </c>
    </row>
    <row r="635" spans="1:13">
      <c r="A635" t="s">
        <v>976</v>
      </c>
      <c r="B635" t="s">
        <v>64</v>
      </c>
      <c r="C635" t="str">
        <f>_xlfn.XLOOKUP(F635,Products!$A$2:$A$51,Products!$C$2:$C$51,0)</f>
        <v>Subscriptions</v>
      </c>
      <c r="D635" t="str">
        <f>_xlfn.XLOOKUP(F635,Products!$A$2:$A$51,Products!$B$2:$B$51,0)</f>
        <v>Subscription Renewal Service</v>
      </c>
      <c r="E635" t="str">
        <f>_xlfn.XLOOKUP(B635,customers!$A$2:$A$195,customers!$B$2:$B$195,,0)</f>
        <v>East</v>
      </c>
      <c r="F635">
        <v>1025</v>
      </c>
      <c r="G635" s="9">
        <f>_xlfn.XLOOKUP(B635,customers!$A$1:$A$195,customers!$C$1:$C$195)</f>
        <v>44933</v>
      </c>
      <c r="H635" s="13">
        <v>45968</v>
      </c>
      <c r="I635">
        <v>2</v>
      </c>
      <c r="J635">
        <v>146.82</v>
      </c>
      <c r="K635">
        <v>54.58</v>
      </c>
      <c r="L635">
        <f>_xlfn.XLOOKUP(F635,Products!$A$2:$A$51,Products!$D$2:$D$51,0)</f>
        <v>73.41</v>
      </c>
      <c r="M635">
        <f t="shared" si="9"/>
        <v>92.24</v>
      </c>
    </row>
    <row r="636" spans="1:13">
      <c r="A636" t="s">
        <v>977</v>
      </c>
      <c r="B636" t="s">
        <v>151</v>
      </c>
      <c r="C636" t="str">
        <f>_xlfn.XLOOKUP(F636,Products!$A$2:$A$51,Products!$C$2:$C$51,0)</f>
        <v>Subscriptions</v>
      </c>
      <c r="D636" t="str">
        <f>_xlfn.XLOOKUP(F636,Products!$A$2:$A$51,Products!$B$2:$B$51,0)</f>
        <v>Monthly Dark Roast Subscription</v>
      </c>
      <c r="E636" t="str">
        <f>_xlfn.XLOOKUP(B636,customers!$A$2:$A$195,customers!$B$2:$B$195,,0)</f>
        <v>West</v>
      </c>
      <c r="F636">
        <v>1021</v>
      </c>
      <c r="G636" s="9">
        <f>_xlfn.XLOOKUP(B636,customers!$A$1:$A$195,customers!$C$1:$C$195)</f>
        <v>45047</v>
      </c>
      <c r="H636" s="13">
        <v>45968</v>
      </c>
      <c r="I636">
        <v>4</v>
      </c>
      <c r="J636">
        <v>245.04</v>
      </c>
      <c r="K636">
        <v>140.58</v>
      </c>
      <c r="L636">
        <f>_xlfn.XLOOKUP(F636,Products!$A$2:$A$51,Products!$D$2:$D$51,0)</f>
        <v>61.26</v>
      </c>
      <c r="M636">
        <f t="shared" si="9"/>
        <v>104.46</v>
      </c>
    </row>
    <row r="637" spans="1:13">
      <c r="A637" t="s">
        <v>978</v>
      </c>
      <c r="B637" t="s">
        <v>163</v>
      </c>
      <c r="C637" t="str">
        <f>_xlfn.XLOOKUP(F637,Products!$A$2:$A$51,Products!$C$2:$C$51,0)</f>
        <v>Accessories</v>
      </c>
      <c r="D637" t="str">
        <f>_xlfn.XLOOKUP(F637,Products!$A$2:$A$51,Products!$B$2:$B$51,0)</f>
        <v>Gooseneck Electric Kettle</v>
      </c>
      <c r="E637" t="str">
        <f>_xlfn.XLOOKUP(B637,customers!$A$2:$A$195,customers!$B$2:$B$195,,0)</f>
        <v>West</v>
      </c>
      <c r="F637">
        <v>1037</v>
      </c>
      <c r="G637" s="9">
        <f>_xlfn.XLOOKUP(B637,customers!$A$1:$A$195,customers!$C$1:$C$195)</f>
        <v>45140</v>
      </c>
      <c r="H637" s="13">
        <v>45968</v>
      </c>
      <c r="I637">
        <v>2</v>
      </c>
      <c r="J637">
        <v>69.74</v>
      </c>
      <c r="K637">
        <v>51.94</v>
      </c>
      <c r="L637">
        <f>_xlfn.XLOOKUP(F637,Products!$A$2:$A$51,Products!$D$2:$D$51,0)</f>
        <v>34.87</v>
      </c>
      <c r="M637">
        <f t="shared" si="9"/>
        <v>17.8</v>
      </c>
    </row>
    <row r="638" spans="1:13">
      <c r="A638" t="s">
        <v>979</v>
      </c>
      <c r="B638" t="s">
        <v>169</v>
      </c>
      <c r="C638" t="str">
        <f>_xlfn.XLOOKUP(F638,Products!$A$2:$A$51,Products!$C$2:$C$51,0)</f>
        <v>Accessories</v>
      </c>
      <c r="D638" t="str">
        <f>_xlfn.XLOOKUP(F638,Products!$A$2:$A$51,Products!$B$2:$B$51,0)</f>
        <v>Gooseneck Electric Kettle</v>
      </c>
      <c r="E638" t="str">
        <f>_xlfn.XLOOKUP(B638,customers!$A$2:$A$195,customers!$B$2:$B$195,,0)</f>
        <v>West</v>
      </c>
      <c r="F638">
        <v>1037</v>
      </c>
      <c r="G638" s="9">
        <f>_xlfn.XLOOKUP(B638,customers!$A$1:$A$195,customers!$C$1:$C$195)</f>
        <v>44979</v>
      </c>
      <c r="H638" s="13">
        <v>45968</v>
      </c>
      <c r="I638">
        <v>4</v>
      </c>
      <c r="J638">
        <v>139.48</v>
      </c>
      <c r="K638">
        <v>103.88</v>
      </c>
      <c r="L638">
        <f>_xlfn.XLOOKUP(F638,Products!$A$2:$A$51,Products!$D$2:$D$51,0)</f>
        <v>34.87</v>
      </c>
      <c r="M638">
        <f t="shared" si="9"/>
        <v>35.6</v>
      </c>
    </row>
    <row r="639" spans="1:13">
      <c r="A639" t="s">
        <v>980</v>
      </c>
      <c r="B639" t="s">
        <v>30</v>
      </c>
      <c r="C639" t="str">
        <f>_xlfn.XLOOKUP(F639,Products!$A$2:$A$51,Products!$C$2:$C$51,0)</f>
        <v>Subscriptions</v>
      </c>
      <c r="D639" t="str">
        <f>_xlfn.XLOOKUP(F639,Products!$A$2:$A$51,Products!$B$2:$B$51,0)</f>
        <v>Subscription Renewal Service</v>
      </c>
      <c r="E639" t="str">
        <f>_xlfn.XLOOKUP(B639,customers!$A$2:$A$195,customers!$B$2:$B$195,,0)</f>
        <v>East</v>
      </c>
      <c r="F639">
        <v>1050</v>
      </c>
      <c r="G639" s="9">
        <f>_xlfn.XLOOKUP(B639,customers!$A$1:$A$195,customers!$C$1:$C$195)</f>
        <v>45276</v>
      </c>
      <c r="H639" s="13">
        <v>45998</v>
      </c>
      <c r="I639">
        <v>4</v>
      </c>
      <c r="J639">
        <v>293.64</v>
      </c>
      <c r="K639">
        <v>109.16</v>
      </c>
      <c r="L639">
        <f>_xlfn.XLOOKUP(F639,Products!$A$2:$A$51,Products!$D$2:$D$51,0)</f>
        <v>73.41</v>
      </c>
      <c r="M639">
        <f t="shared" si="9"/>
        <v>184.48</v>
      </c>
    </row>
    <row r="640" spans="1:13">
      <c r="A640" t="s">
        <v>981</v>
      </c>
      <c r="B640" t="s">
        <v>101</v>
      </c>
      <c r="C640" t="str">
        <f>_xlfn.XLOOKUP(F640,Products!$A$2:$A$51,Products!$C$2:$C$51,0)</f>
        <v>Consumables</v>
      </c>
      <c r="D640" t="str">
        <f>_xlfn.XLOOKUP(F640,Products!$A$2:$A$51,Products!$B$2:$B$51,0)</f>
        <v>Cold Brew Concentrate</v>
      </c>
      <c r="E640" t="str">
        <f>_xlfn.XLOOKUP(B640,customers!$A$2:$A$195,customers!$B$2:$B$195,,0)</f>
        <v>North</v>
      </c>
      <c r="F640">
        <v>1029</v>
      </c>
      <c r="G640" s="9">
        <f>_xlfn.XLOOKUP(B640,customers!$A$1:$A$195,customers!$C$1:$C$195)</f>
        <v>45160</v>
      </c>
      <c r="H640" s="13">
        <v>45998</v>
      </c>
      <c r="I640">
        <v>2</v>
      </c>
      <c r="J640">
        <v>46.98</v>
      </c>
      <c r="K640">
        <v>20.17</v>
      </c>
      <c r="L640">
        <f>_xlfn.XLOOKUP(F640,Products!$A$2:$A$51,Products!$D$2:$D$51,0)</f>
        <v>23.49</v>
      </c>
      <c r="M640">
        <f t="shared" si="9"/>
        <v>26.81</v>
      </c>
    </row>
    <row r="641" spans="1:13">
      <c r="A641" t="s">
        <v>982</v>
      </c>
      <c r="B641" t="s">
        <v>151</v>
      </c>
      <c r="C641" t="str">
        <f>_xlfn.XLOOKUP(F641,Products!$A$2:$A$51,Products!$C$2:$C$51,0)</f>
        <v>Accessories</v>
      </c>
      <c r="D641" t="str">
        <f>_xlfn.XLOOKUP(F641,Products!$A$2:$A$51,Products!$B$2:$B$51,0)</f>
        <v>Chemex Filters (100 pack)</v>
      </c>
      <c r="E641" t="str">
        <f>_xlfn.XLOOKUP(B641,customers!$A$2:$A$195,customers!$B$2:$B$195,,0)</f>
        <v>West</v>
      </c>
      <c r="F641">
        <v>1014</v>
      </c>
      <c r="G641" s="9">
        <f>_xlfn.XLOOKUP(B641,customers!$A$1:$A$195,customers!$C$1:$C$195)</f>
        <v>45047</v>
      </c>
      <c r="H641" s="13">
        <v>45998</v>
      </c>
      <c r="I641">
        <v>1</v>
      </c>
      <c r="J641">
        <v>24.1</v>
      </c>
      <c r="K641">
        <v>21.21</v>
      </c>
      <c r="L641">
        <f>_xlfn.XLOOKUP(F641,Products!$A$2:$A$51,Products!$D$2:$D$51,0)</f>
        <v>24.1</v>
      </c>
      <c r="M641">
        <f t="shared" si="9"/>
        <v>2.89</v>
      </c>
    </row>
    <row r="642" spans="1:13">
      <c r="A642" t="s">
        <v>983</v>
      </c>
      <c r="B642" t="s">
        <v>114</v>
      </c>
      <c r="C642" t="str">
        <f>_xlfn.XLOOKUP(F642,Products!$A$2:$A$51,Products!$C$2:$C$51,0)</f>
        <v>Grinders &amp; Brewers</v>
      </c>
      <c r="D642" t="str">
        <f>_xlfn.XLOOKUP(F642,Products!$A$2:$A$51,Products!$B$2:$B$51,0)</f>
        <v>High-Capacity French Press</v>
      </c>
      <c r="E642" t="str">
        <f>_xlfn.XLOOKUP(B642,customers!$A$2:$A$195,customers!$B$2:$B$195,,0)</f>
        <v>South</v>
      </c>
      <c r="F642">
        <v>1009</v>
      </c>
      <c r="G642" s="9">
        <f>_xlfn.XLOOKUP(B642,customers!$A$1:$A$195,customers!$C$1:$C$195)</f>
        <v>45211</v>
      </c>
      <c r="H642" s="13" t="s">
        <v>984</v>
      </c>
      <c r="I642">
        <v>3</v>
      </c>
      <c r="J642">
        <v>1015.08</v>
      </c>
      <c r="K642">
        <v>444.51</v>
      </c>
      <c r="L642">
        <f>_xlfn.XLOOKUP(F642,Products!$A$2:$A$51,Products!$D$2:$D$51,0)</f>
        <v>338.36</v>
      </c>
      <c r="M642">
        <f t="shared" si="9"/>
        <v>570.57</v>
      </c>
    </row>
    <row r="643" spans="1:13">
      <c r="A643" t="s">
        <v>985</v>
      </c>
      <c r="B643" t="s">
        <v>16</v>
      </c>
      <c r="C643" t="str">
        <f>_xlfn.XLOOKUP(F643,Products!$A$2:$A$51,Products!$C$2:$C$51,0)</f>
        <v>Subscriptions</v>
      </c>
      <c r="D643" t="str">
        <f>_xlfn.XLOOKUP(F643,Products!$A$2:$A$51,Products!$B$2:$B$51,0)</f>
        <v>Espresso Lovers Quarterly Pack</v>
      </c>
      <c r="E643" t="str">
        <f>_xlfn.XLOOKUP(B643,customers!$A$2:$A$195,customers!$B$2:$B$195,,0)</f>
        <v>East</v>
      </c>
      <c r="F643">
        <v>1024</v>
      </c>
      <c r="G643" s="9">
        <f>_xlfn.XLOOKUP(B643,customers!$A$1:$A$195,customers!$C$1:$C$195)</f>
        <v>45182</v>
      </c>
      <c r="H643" s="13" t="s">
        <v>986</v>
      </c>
      <c r="I643">
        <v>4</v>
      </c>
      <c r="J643">
        <v>299.48</v>
      </c>
      <c r="K643">
        <v>76.78</v>
      </c>
      <c r="L643">
        <f>_xlfn.XLOOKUP(F643,Products!$A$2:$A$51,Products!$D$2:$D$51,0)</f>
        <v>74.87</v>
      </c>
      <c r="M643">
        <f t="shared" ref="M643:M706" si="10">J643-K643</f>
        <v>222.7</v>
      </c>
    </row>
    <row r="644" spans="1:13">
      <c r="A644" t="s">
        <v>987</v>
      </c>
      <c r="B644" t="s">
        <v>41</v>
      </c>
      <c r="C644" t="str">
        <f>_xlfn.XLOOKUP(F644,Products!$A$2:$A$51,Products!$C$2:$C$51,0)</f>
        <v>Grinders &amp; Brewers</v>
      </c>
      <c r="D644" t="str">
        <f>_xlfn.XLOOKUP(F644,Products!$A$2:$A$51,Products!$B$2:$B$51,0)</f>
        <v>High-Capacity French Press</v>
      </c>
      <c r="E644" t="str">
        <f>_xlfn.XLOOKUP(B644,customers!$A$2:$A$195,customers!$B$2:$B$195,,0)</f>
        <v>West</v>
      </c>
      <c r="F644">
        <v>1034</v>
      </c>
      <c r="G644" s="9">
        <f>_xlfn.XLOOKUP(B644,customers!$A$1:$A$195,customers!$C$1:$C$195)</f>
        <v>44960</v>
      </c>
      <c r="H644" s="13" t="s">
        <v>986</v>
      </c>
      <c r="I644">
        <v>3</v>
      </c>
      <c r="J644">
        <v>1015.08</v>
      </c>
      <c r="K644">
        <v>444.51</v>
      </c>
      <c r="L644">
        <f>_xlfn.XLOOKUP(F644,Products!$A$2:$A$51,Products!$D$2:$D$51,0)</f>
        <v>338.36</v>
      </c>
      <c r="M644">
        <f t="shared" si="10"/>
        <v>570.57</v>
      </c>
    </row>
    <row r="645" spans="1:13">
      <c r="A645" t="s">
        <v>988</v>
      </c>
      <c r="B645" t="s">
        <v>50</v>
      </c>
      <c r="C645" t="str">
        <f>_xlfn.XLOOKUP(F645,Products!$A$2:$A$51,Products!$C$2:$C$51,0)</f>
        <v>Accessories</v>
      </c>
      <c r="D645" t="str">
        <f>_xlfn.XLOOKUP(F645,Products!$A$2:$A$51,Products!$B$2:$B$51,0)</f>
        <v>Airtight Storage Container</v>
      </c>
      <c r="E645" t="str">
        <f>_xlfn.XLOOKUP(B645,customers!$A$2:$A$195,customers!$B$2:$B$195,,0)</f>
        <v>West</v>
      </c>
      <c r="F645">
        <v>1038</v>
      </c>
      <c r="G645" s="9">
        <f>_xlfn.XLOOKUP(B645,customers!$A$1:$A$195,customers!$C$1:$C$195)</f>
        <v>44999</v>
      </c>
      <c r="H645" s="13" t="s">
        <v>986</v>
      </c>
      <c r="I645">
        <v>4</v>
      </c>
      <c r="J645">
        <v>244.16</v>
      </c>
      <c r="K645">
        <v>102.83</v>
      </c>
      <c r="L645">
        <f>_xlfn.XLOOKUP(F645,Products!$A$2:$A$51,Products!$D$2:$D$51,0)</f>
        <v>61.04</v>
      </c>
      <c r="M645">
        <f t="shared" si="10"/>
        <v>141.33</v>
      </c>
    </row>
    <row r="646" spans="1:13">
      <c r="A646" t="s">
        <v>989</v>
      </c>
      <c r="B646" t="s">
        <v>199</v>
      </c>
      <c r="C646" t="str">
        <f>_xlfn.XLOOKUP(F646,Products!$A$2:$A$51,Products!$C$2:$C$51,0)</f>
        <v>Subscriptions</v>
      </c>
      <c r="D646" t="str">
        <f>_xlfn.XLOOKUP(F646,Products!$A$2:$A$51,Products!$B$2:$B$51,0)</f>
        <v>Subscription Renewal Service</v>
      </c>
      <c r="E646" t="str">
        <f>_xlfn.XLOOKUP(B646,customers!$A$2:$A$195,customers!$B$2:$B$195,,0)</f>
        <v>South</v>
      </c>
      <c r="F646">
        <v>1050</v>
      </c>
      <c r="G646" s="9">
        <f>_xlfn.XLOOKUP(B646,customers!$A$1:$A$195,customers!$C$1:$C$195)</f>
        <v>45252</v>
      </c>
      <c r="H646" s="13" t="s">
        <v>986</v>
      </c>
      <c r="I646">
        <v>4</v>
      </c>
      <c r="J646">
        <v>293.64</v>
      </c>
      <c r="K646">
        <v>109.16</v>
      </c>
      <c r="L646">
        <f>_xlfn.XLOOKUP(F646,Products!$A$2:$A$51,Products!$D$2:$D$51,0)</f>
        <v>73.41</v>
      </c>
      <c r="M646">
        <f t="shared" si="10"/>
        <v>184.48</v>
      </c>
    </row>
    <row r="647" spans="1:13">
      <c r="A647" t="s">
        <v>990</v>
      </c>
      <c r="B647" t="s">
        <v>46</v>
      </c>
      <c r="C647" t="str">
        <f>_xlfn.XLOOKUP(F647,Products!$A$2:$A$51,Products!$C$2:$C$51,0)</f>
        <v>Subscriptions</v>
      </c>
      <c r="D647" t="str">
        <f>_xlfn.XLOOKUP(F647,Products!$A$2:$A$51,Products!$B$2:$B$51,0)</f>
        <v>Espresso Lovers Quarterly Pack</v>
      </c>
      <c r="E647" t="str">
        <f>_xlfn.XLOOKUP(B647,customers!$A$2:$A$195,customers!$B$2:$B$195,,0)</f>
        <v>West</v>
      </c>
      <c r="F647">
        <v>1024</v>
      </c>
      <c r="G647" s="9">
        <f>_xlfn.XLOOKUP(B647,customers!$A$1:$A$195,customers!$C$1:$C$195)</f>
        <v>45069</v>
      </c>
      <c r="H647" s="13" t="s">
        <v>991</v>
      </c>
      <c r="I647">
        <v>4</v>
      </c>
      <c r="J647">
        <v>299.48</v>
      </c>
      <c r="K647">
        <v>76.78</v>
      </c>
      <c r="L647">
        <f>_xlfn.XLOOKUP(F647,Products!$A$2:$A$51,Products!$D$2:$D$51,0)</f>
        <v>74.87</v>
      </c>
      <c r="M647">
        <f t="shared" si="10"/>
        <v>222.7</v>
      </c>
    </row>
    <row r="648" spans="1:13">
      <c r="A648" t="s">
        <v>992</v>
      </c>
      <c r="B648" t="s">
        <v>70</v>
      </c>
      <c r="C648" t="str">
        <f>_xlfn.XLOOKUP(F648,Products!$A$2:$A$51,Products!$C$2:$C$51,0)</f>
        <v>Grinders &amp; Brewers</v>
      </c>
      <c r="D648" t="str">
        <f>_xlfn.XLOOKUP(F648,Products!$A$2:$A$51,Products!$B$2:$B$51,0)</f>
        <v>Pour-Over Starter Kit</v>
      </c>
      <c r="E648" t="str">
        <f>_xlfn.XLOOKUP(B648,customers!$A$2:$A$195,customers!$B$2:$B$195,,0)</f>
        <v>West</v>
      </c>
      <c r="F648">
        <v>1035</v>
      </c>
      <c r="G648" s="9">
        <f>_xlfn.XLOOKUP(B648,customers!$A$1:$A$195,customers!$C$1:$C$195)</f>
        <v>45269</v>
      </c>
      <c r="H648" s="13" t="s">
        <v>991</v>
      </c>
      <c r="I648">
        <v>2</v>
      </c>
      <c r="J648">
        <v>210.46</v>
      </c>
      <c r="K648">
        <v>149.49</v>
      </c>
      <c r="L648">
        <f>_xlfn.XLOOKUP(F648,Products!$A$2:$A$51,Products!$D$2:$D$51,0)</f>
        <v>105.23</v>
      </c>
      <c r="M648">
        <f t="shared" si="10"/>
        <v>60.97</v>
      </c>
    </row>
    <row r="649" spans="1:13">
      <c r="A649" t="s">
        <v>993</v>
      </c>
      <c r="B649" t="s">
        <v>72</v>
      </c>
      <c r="C649" t="str">
        <f>_xlfn.XLOOKUP(F649,Products!$A$2:$A$51,Products!$C$2:$C$51,0)</f>
        <v>Merchandise</v>
      </c>
      <c r="D649" t="str">
        <f>_xlfn.XLOOKUP(F649,Products!$A$2:$A$51,Products!$B$2:$B$51,0)</f>
        <v>Daily Grind T-Shirt</v>
      </c>
      <c r="E649" t="str">
        <f>_xlfn.XLOOKUP(B649,customers!$A$2:$A$195,customers!$B$2:$B$195,,0)</f>
        <v>South</v>
      </c>
      <c r="F649">
        <v>1019</v>
      </c>
      <c r="G649" s="9">
        <f>_xlfn.XLOOKUP(B649,customers!$A$1:$A$195,customers!$C$1:$C$195)</f>
        <v>45136</v>
      </c>
      <c r="H649" s="13" t="s">
        <v>991</v>
      </c>
      <c r="I649">
        <v>1</v>
      </c>
      <c r="J649">
        <v>21.37</v>
      </c>
      <c r="K649">
        <v>8.26</v>
      </c>
      <c r="L649">
        <f>_xlfn.XLOOKUP(F649,Products!$A$2:$A$51,Products!$D$2:$D$51,0)</f>
        <v>21.37</v>
      </c>
      <c r="M649">
        <f t="shared" si="10"/>
        <v>13.11</v>
      </c>
    </row>
    <row r="650" spans="1:13">
      <c r="A650" t="s">
        <v>994</v>
      </c>
      <c r="B650" t="s">
        <v>86</v>
      </c>
      <c r="C650" t="str">
        <f>_xlfn.XLOOKUP(F650,Products!$A$2:$A$51,Products!$C$2:$C$51,0)</f>
        <v>Subscriptions</v>
      </c>
      <c r="D650" t="str">
        <f>_xlfn.XLOOKUP(F650,Products!$A$2:$A$51,Products!$B$2:$B$51,0)</f>
        <v>Subscription Renewal Service</v>
      </c>
      <c r="E650" t="str">
        <f>_xlfn.XLOOKUP(B650,customers!$A$2:$A$195,customers!$B$2:$B$195,,0)</f>
        <v>North</v>
      </c>
      <c r="F650">
        <v>1050</v>
      </c>
      <c r="G650" s="9">
        <f>_xlfn.XLOOKUP(B650,customers!$A$1:$A$195,customers!$C$1:$C$195)</f>
        <v>45227</v>
      </c>
      <c r="H650" s="13" t="s">
        <v>991</v>
      </c>
      <c r="I650">
        <v>4</v>
      </c>
      <c r="J650">
        <v>293.64</v>
      </c>
      <c r="K650">
        <v>109.16</v>
      </c>
      <c r="L650">
        <f>_xlfn.XLOOKUP(F650,Products!$A$2:$A$51,Products!$D$2:$D$51,0)</f>
        <v>73.41</v>
      </c>
      <c r="M650">
        <f t="shared" si="10"/>
        <v>184.48</v>
      </c>
    </row>
    <row r="651" spans="1:13">
      <c r="A651" t="s">
        <v>995</v>
      </c>
      <c r="B651" t="s">
        <v>194</v>
      </c>
      <c r="C651" t="str">
        <f>_xlfn.XLOOKUP(F651,Products!$A$2:$A$51,Products!$C$2:$C$51,0)</f>
        <v>Accessories</v>
      </c>
      <c r="D651" t="str">
        <f>_xlfn.XLOOKUP(F651,Products!$A$2:$A$51,Products!$B$2:$B$51,0)</f>
        <v>Digital Coffee Scale</v>
      </c>
      <c r="E651" t="str">
        <f>_xlfn.XLOOKUP(B651,customers!$A$2:$A$195,customers!$B$2:$B$195,,0)</f>
        <v>North</v>
      </c>
      <c r="F651">
        <v>1036</v>
      </c>
      <c r="G651" s="9">
        <f>_xlfn.XLOOKUP(B651,customers!$A$1:$A$195,customers!$C$1:$C$195)</f>
        <v>45096</v>
      </c>
      <c r="H651" s="13" t="s">
        <v>991</v>
      </c>
      <c r="I651">
        <v>2</v>
      </c>
      <c r="J651">
        <v>53.66</v>
      </c>
      <c r="K651">
        <v>29.3</v>
      </c>
      <c r="L651">
        <f>_xlfn.XLOOKUP(F651,Products!$A$2:$A$51,Products!$D$2:$D$51,0)</f>
        <v>26.83</v>
      </c>
      <c r="M651">
        <f t="shared" si="10"/>
        <v>24.36</v>
      </c>
    </row>
    <row r="652" spans="1:13">
      <c r="A652" t="s">
        <v>996</v>
      </c>
      <c r="B652" t="s">
        <v>34</v>
      </c>
      <c r="C652" t="str">
        <f>_xlfn.XLOOKUP(F652,Products!$A$2:$A$51,Products!$C$2:$C$51,0)</f>
        <v>Consumables</v>
      </c>
      <c r="D652" t="str">
        <f>_xlfn.XLOOKUP(F652,Products!$A$2:$A$51,Products!$B$2:$B$51,0)</f>
        <v>Decaf Blend (1kg)</v>
      </c>
      <c r="E652" t="str">
        <f>_xlfn.XLOOKUP(B652,customers!$A$2:$A$195,customers!$B$2:$B$195,,0)</f>
        <v>West</v>
      </c>
      <c r="F652">
        <v>1028</v>
      </c>
      <c r="G652" s="9">
        <f>_xlfn.XLOOKUP(B652,customers!$A$1:$A$195,customers!$C$1:$C$195)</f>
        <v>45028</v>
      </c>
      <c r="H652" s="13" t="s">
        <v>997</v>
      </c>
      <c r="I652">
        <v>3</v>
      </c>
      <c r="J652">
        <v>121.05</v>
      </c>
      <c r="K652">
        <v>38.58</v>
      </c>
      <c r="L652">
        <f>_xlfn.XLOOKUP(F652,Products!$A$2:$A$51,Products!$D$2:$D$51,0)</f>
        <v>40.35</v>
      </c>
      <c r="M652">
        <f t="shared" si="10"/>
        <v>82.47</v>
      </c>
    </row>
    <row r="653" spans="1:13">
      <c r="A653" t="s">
        <v>998</v>
      </c>
      <c r="B653" t="s">
        <v>74</v>
      </c>
      <c r="C653" t="str">
        <f>_xlfn.XLOOKUP(F653,Products!$A$2:$A$51,Products!$C$2:$C$51,0)</f>
        <v>Accessories</v>
      </c>
      <c r="D653" t="str">
        <f>_xlfn.XLOOKUP(F653,Products!$A$2:$A$51,Products!$B$2:$B$51,0)</f>
        <v>Refillable Coffee Pods</v>
      </c>
      <c r="E653" t="str">
        <f>_xlfn.XLOOKUP(B653,customers!$A$2:$A$195,customers!$B$2:$B$195,,0)</f>
        <v>East</v>
      </c>
      <c r="F653">
        <v>1040</v>
      </c>
      <c r="G653" s="9">
        <f>_xlfn.XLOOKUP(B653,customers!$A$1:$A$195,customers!$C$1:$C$195)</f>
        <v>45103</v>
      </c>
      <c r="H653" s="13" t="s">
        <v>997</v>
      </c>
      <c r="I653">
        <v>1</v>
      </c>
      <c r="J653">
        <v>24.13</v>
      </c>
      <c r="K653">
        <v>9.3</v>
      </c>
      <c r="L653">
        <f>_xlfn.XLOOKUP(F653,Products!$A$2:$A$51,Products!$D$2:$D$51,0)</f>
        <v>24.13</v>
      </c>
      <c r="M653">
        <f t="shared" si="10"/>
        <v>14.83</v>
      </c>
    </row>
    <row r="654" spans="1:13">
      <c r="A654" t="s">
        <v>999</v>
      </c>
      <c r="B654" t="s">
        <v>117</v>
      </c>
      <c r="C654" t="str">
        <f>_xlfn.XLOOKUP(F654,Products!$A$2:$A$51,Products!$C$2:$C$51,0)</f>
        <v>Merchandise</v>
      </c>
      <c r="D654" t="str">
        <f>_xlfn.XLOOKUP(F654,Products!$A$2:$A$51,Products!$B$2:$B$51,0)</f>
        <v>Logo Hoodie (Black)</v>
      </c>
      <c r="E654" t="str">
        <f>_xlfn.XLOOKUP(B654,customers!$A$2:$A$195,customers!$B$2:$B$195,,0)</f>
        <v>East</v>
      </c>
      <c r="F654">
        <v>1042</v>
      </c>
      <c r="G654" s="9">
        <f>_xlfn.XLOOKUP(B654,customers!$A$1:$A$195,customers!$C$1:$C$195)</f>
        <v>45139</v>
      </c>
      <c r="H654" s="13" t="s">
        <v>997</v>
      </c>
      <c r="I654">
        <v>1</v>
      </c>
      <c r="J654">
        <v>15.23</v>
      </c>
      <c r="K654">
        <v>13.4</v>
      </c>
      <c r="L654">
        <f>_xlfn.XLOOKUP(F654,Products!$A$2:$A$51,Products!$D$2:$D$51,0)</f>
        <v>15.23</v>
      </c>
      <c r="M654">
        <f t="shared" si="10"/>
        <v>1.83</v>
      </c>
    </row>
    <row r="655" spans="1:13">
      <c r="A655" t="s">
        <v>1000</v>
      </c>
      <c r="B655" t="s">
        <v>141</v>
      </c>
      <c r="C655" t="str">
        <f>_xlfn.XLOOKUP(F655,Products!$A$2:$A$51,Products!$C$2:$C$51,0)</f>
        <v>Grinders &amp; Brewers</v>
      </c>
      <c r="D655" t="str">
        <f>_xlfn.XLOOKUP(F655,Products!$A$2:$A$51,Products!$B$2:$B$51,0)</f>
        <v>Hand Grinder (Travel Size)</v>
      </c>
      <c r="E655" t="str">
        <f>_xlfn.XLOOKUP(B655,customers!$A$2:$A$195,customers!$B$2:$B$195,,0)</f>
        <v>East</v>
      </c>
      <c r="F655">
        <v>1032</v>
      </c>
      <c r="G655" s="9">
        <f>_xlfn.XLOOKUP(B655,customers!$A$1:$A$195,customers!$C$1:$C$195)</f>
        <v>45035</v>
      </c>
      <c r="H655" s="13" t="s">
        <v>997</v>
      </c>
      <c r="I655">
        <v>4</v>
      </c>
      <c r="J655">
        <v>1018.88</v>
      </c>
      <c r="K655">
        <v>521.14</v>
      </c>
      <c r="L655">
        <f>_xlfn.XLOOKUP(F655,Products!$A$2:$A$51,Products!$D$2:$D$51,0)</f>
        <v>254.72</v>
      </c>
      <c r="M655">
        <f t="shared" si="10"/>
        <v>497.74</v>
      </c>
    </row>
    <row r="656" spans="1:13">
      <c r="A656" t="s">
        <v>1001</v>
      </c>
      <c r="B656" t="s">
        <v>187</v>
      </c>
      <c r="C656" t="str">
        <f>_xlfn.XLOOKUP(F656,Products!$A$2:$A$51,Products!$C$2:$C$51,0)</f>
        <v>Grinders &amp; Brewers</v>
      </c>
      <c r="D656" t="str">
        <f>_xlfn.XLOOKUP(F656,Products!$A$2:$A$51,Products!$B$2:$B$51,0)</f>
        <v>Hand Grinder (Travel Size)</v>
      </c>
      <c r="E656" t="str">
        <f>_xlfn.XLOOKUP(B656,customers!$A$2:$A$195,customers!$B$2:$B$195,,0)</f>
        <v>West</v>
      </c>
      <c r="F656">
        <v>1032</v>
      </c>
      <c r="G656" s="9">
        <f>_xlfn.XLOOKUP(B656,customers!$A$1:$A$195,customers!$C$1:$C$195)</f>
        <v>45282</v>
      </c>
      <c r="H656" s="13" t="s">
        <v>997</v>
      </c>
      <c r="I656">
        <v>4</v>
      </c>
      <c r="J656">
        <v>1018.88</v>
      </c>
      <c r="K656">
        <v>521.14</v>
      </c>
      <c r="L656">
        <f>_xlfn.XLOOKUP(F656,Products!$A$2:$A$51,Products!$D$2:$D$51,0)</f>
        <v>254.72</v>
      </c>
      <c r="M656">
        <f t="shared" si="10"/>
        <v>497.74</v>
      </c>
    </row>
    <row r="657" spans="1:13">
      <c r="A657" t="s">
        <v>1002</v>
      </c>
      <c r="B657" t="s">
        <v>94</v>
      </c>
      <c r="C657" t="str">
        <f>_xlfn.XLOOKUP(F657,Products!$A$2:$A$51,Products!$C$2:$C$51,0)</f>
        <v>Merchandise</v>
      </c>
      <c r="D657" t="str">
        <f>_xlfn.XLOOKUP(F657,Products!$A$2:$A$51,Products!$B$2:$B$51,0)</f>
        <v>Logo Hoodie (Black)</v>
      </c>
      <c r="E657" t="str">
        <f>_xlfn.XLOOKUP(B657,customers!$A$2:$A$195,customers!$B$2:$B$195,,0)</f>
        <v>East</v>
      </c>
      <c r="F657">
        <v>1042</v>
      </c>
      <c r="G657" s="9">
        <f>_xlfn.XLOOKUP(B657,customers!$A$1:$A$195,customers!$C$1:$C$195)</f>
        <v>44956</v>
      </c>
      <c r="H657" s="13" t="s">
        <v>1003</v>
      </c>
      <c r="I657">
        <v>4</v>
      </c>
      <c r="J657">
        <v>60.92</v>
      </c>
      <c r="K657">
        <v>53.59</v>
      </c>
      <c r="L657">
        <f>_xlfn.XLOOKUP(F657,Products!$A$2:$A$51,Products!$D$2:$D$51,0)</f>
        <v>15.23</v>
      </c>
      <c r="M657">
        <f t="shared" si="10"/>
        <v>7.33</v>
      </c>
    </row>
    <row r="658" spans="1:13">
      <c r="A658" t="s">
        <v>1004</v>
      </c>
      <c r="B658" t="s">
        <v>140</v>
      </c>
      <c r="C658" t="str">
        <f>_xlfn.XLOOKUP(F658,Products!$A$2:$A$51,Products!$C$2:$C$51,0)</f>
        <v>Grinders &amp; Brewers</v>
      </c>
      <c r="D658" t="str">
        <f>_xlfn.XLOOKUP(F658,Products!$A$2:$A$51,Products!$B$2:$B$51,0)</f>
        <v>Precision Electric Grinder</v>
      </c>
      <c r="E658" t="str">
        <f>_xlfn.XLOOKUP(B658,customers!$A$2:$A$195,customers!$B$2:$B$195,,0)</f>
        <v>East</v>
      </c>
      <c r="F658">
        <v>1006</v>
      </c>
      <c r="G658" s="9">
        <f>_xlfn.XLOOKUP(B658,customers!$A$1:$A$195,customers!$C$1:$C$195)</f>
        <v>45136</v>
      </c>
      <c r="H658" s="13" t="s">
        <v>1003</v>
      </c>
      <c r="I658">
        <v>4</v>
      </c>
      <c r="J658">
        <v>928.8</v>
      </c>
      <c r="K658">
        <v>313.54</v>
      </c>
      <c r="L658">
        <f>_xlfn.XLOOKUP(F658,Products!$A$2:$A$51,Products!$D$2:$D$51,0)</f>
        <v>232.2</v>
      </c>
      <c r="M658">
        <f t="shared" si="10"/>
        <v>615.26</v>
      </c>
    </row>
    <row r="659" spans="1:13">
      <c r="A659" t="s">
        <v>1005</v>
      </c>
      <c r="B659" t="s">
        <v>32</v>
      </c>
      <c r="C659" t="str">
        <f>_xlfn.XLOOKUP(F659,Products!$A$2:$A$51,Products!$C$2:$C$51,0)</f>
        <v>Grinders &amp; Brewers</v>
      </c>
      <c r="D659" t="str">
        <f>_xlfn.XLOOKUP(F659,Products!$A$2:$A$51,Products!$B$2:$B$51,0)</f>
        <v>Automated Drip Brewer</v>
      </c>
      <c r="E659" t="str">
        <f>_xlfn.XLOOKUP(B659,customers!$A$2:$A$195,customers!$B$2:$B$195,,0)</f>
        <v>East</v>
      </c>
      <c r="F659">
        <v>1033</v>
      </c>
      <c r="G659" s="9">
        <f>_xlfn.XLOOKUP(B659,customers!$A$1:$A$195,customers!$C$1:$C$195)</f>
        <v>45037</v>
      </c>
      <c r="H659" s="13" t="s">
        <v>1006</v>
      </c>
      <c r="I659">
        <v>3</v>
      </c>
      <c r="J659">
        <v>707.28</v>
      </c>
      <c r="K659">
        <v>397.45</v>
      </c>
      <c r="L659">
        <f>_xlfn.XLOOKUP(F659,Products!$A$2:$A$51,Products!$D$2:$D$51,0)</f>
        <v>235.76</v>
      </c>
      <c r="M659">
        <f t="shared" si="10"/>
        <v>309.83</v>
      </c>
    </row>
    <row r="660" spans="1:13">
      <c r="A660" t="s">
        <v>1007</v>
      </c>
      <c r="B660" t="s">
        <v>45</v>
      </c>
      <c r="C660" t="str">
        <f>_xlfn.XLOOKUP(F660,Products!$A$2:$A$51,Products!$C$2:$C$51,0)</f>
        <v>Consumables</v>
      </c>
      <c r="D660" t="str">
        <f>_xlfn.XLOOKUP(F660,Products!$A$2:$A$51,Products!$B$2:$B$51,0)</f>
        <v>Espresso Bean Sampler Pack</v>
      </c>
      <c r="E660" t="str">
        <f>_xlfn.XLOOKUP(B660,customers!$A$2:$A$195,customers!$B$2:$B$195,,0)</f>
        <v>West</v>
      </c>
      <c r="F660">
        <v>1030</v>
      </c>
      <c r="G660" s="9">
        <f>_xlfn.XLOOKUP(B660,customers!$A$1:$A$195,customers!$C$1:$C$195)</f>
        <v>45006</v>
      </c>
      <c r="H660" s="13" t="s">
        <v>1006</v>
      </c>
      <c r="I660">
        <v>2</v>
      </c>
      <c r="J660">
        <v>38.12</v>
      </c>
      <c r="K660">
        <v>23.94</v>
      </c>
      <c r="L660">
        <f>_xlfn.XLOOKUP(F660,Products!$A$2:$A$51,Products!$D$2:$D$51,0)</f>
        <v>19.06</v>
      </c>
      <c r="M660">
        <f t="shared" si="10"/>
        <v>14.18</v>
      </c>
    </row>
    <row r="661" spans="1:13">
      <c r="A661" t="s">
        <v>1008</v>
      </c>
      <c r="B661" t="s">
        <v>67</v>
      </c>
      <c r="C661" t="str">
        <f>_xlfn.XLOOKUP(F661,Products!$A$2:$A$51,Products!$C$2:$C$51,0)</f>
        <v>Consumables</v>
      </c>
      <c r="D661" t="str">
        <f>_xlfn.XLOOKUP(F661,Products!$A$2:$A$51,Products!$B$2:$B$51,0)</f>
        <v>Seasonal Blend Light Roast</v>
      </c>
      <c r="E661" t="str">
        <f>_xlfn.XLOOKUP(B661,customers!$A$2:$A$195,customers!$B$2:$B$195,,0)</f>
        <v>East</v>
      </c>
      <c r="F661">
        <v>1002</v>
      </c>
      <c r="G661" s="9">
        <f>_xlfn.XLOOKUP(B661,customers!$A$1:$A$195,customers!$C$1:$C$195)</f>
        <v>45272</v>
      </c>
      <c r="H661" s="13" t="s">
        <v>1006</v>
      </c>
      <c r="I661">
        <v>2</v>
      </c>
      <c r="J661">
        <v>71.06</v>
      </c>
      <c r="K661">
        <v>11.86</v>
      </c>
      <c r="L661">
        <f>_xlfn.XLOOKUP(F661,Products!$A$2:$A$51,Products!$D$2:$D$51,0)</f>
        <v>35.53</v>
      </c>
      <c r="M661">
        <f t="shared" si="10"/>
        <v>59.2</v>
      </c>
    </row>
    <row r="662" spans="1:13">
      <c r="A662" t="s">
        <v>1009</v>
      </c>
      <c r="B662" t="s">
        <v>192</v>
      </c>
      <c r="C662" t="str">
        <f>_xlfn.XLOOKUP(F662,Products!$A$2:$A$51,Products!$C$2:$C$51,0)</f>
        <v>Accessories</v>
      </c>
      <c r="D662" t="str">
        <f>_xlfn.XLOOKUP(F662,Products!$A$2:$A$51,Products!$B$2:$B$51,0)</f>
        <v>Gooseneck Electric Kettle</v>
      </c>
      <c r="E662" t="str">
        <f>_xlfn.XLOOKUP(B662,customers!$A$2:$A$195,customers!$B$2:$B$195,,0)</f>
        <v>North</v>
      </c>
      <c r="F662">
        <v>1012</v>
      </c>
      <c r="G662" s="9">
        <f>_xlfn.XLOOKUP(B662,customers!$A$1:$A$195,customers!$C$1:$C$195)</f>
        <v>45234</v>
      </c>
      <c r="H662" s="13" t="s">
        <v>1010</v>
      </c>
      <c r="I662">
        <v>3</v>
      </c>
      <c r="J662">
        <v>104.61</v>
      </c>
      <c r="K662">
        <v>77.91</v>
      </c>
      <c r="L662">
        <f>_xlfn.XLOOKUP(F662,Products!$A$2:$A$51,Products!$D$2:$D$51,0)</f>
        <v>34.87</v>
      </c>
      <c r="M662">
        <f t="shared" si="10"/>
        <v>26.7</v>
      </c>
    </row>
    <row r="663" spans="1:13">
      <c r="A663" t="s">
        <v>1011</v>
      </c>
      <c r="B663" t="s">
        <v>54</v>
      </c>
      <c r="C663" t="str">
        <f>_xlfn.XLOOKUP(F663,Products!$A$2:$A$51,Products!$C$2:$C$51,0)</f>
        <v>Grinders &amp; Brewers</v>
      </c>
      <c r="D663" t="str">
        <f>_xlfn.XLOOKUP(F663,Products!$A$2:$A$51,Products!$B$2:$B$51,0)</f>
        <v>Pour-Over Starter Kit</v>
      </c>
      <c r="E663" t="str">
        <f>_xlfn.XLOOKUP(B663,customers!$A$2:$A$195,customers!$B$2:$B$195,,0)</f>
        <v>West</v>
      </c>
      <c r="F663">
        <v>1035</v>
      </c>
      <c r="G663" s="9">
        <f>_xlfn.XLOOKUP(B663,customers!$A$1:$A$195,customers!$C$1:$C$195)</f>
        <v>45201</v>
      </c>
      <c r="H663" s="13" t="s">
        <v>1012</v>
      </c>
      <c r="I663">
        <v>3</v>
      </c>
      <c r="J663">
        <v>315.69</v>
      </c>
      <c r="K663">
        <v>224.24</v>
      </c>
      <c r="L663">
        <f>_xlfn.XLOOKUP(F663,Products!$A$2:$A$51,Products!$D$2:$D$51,0)</f>
        <v>105.23</v>
      </c>
      <c r="M663">
        <f t="shared" si="10"/>
        <v>91.45</v>
      </c>
    </row>
    <row r="664" spans="1:13">
      <c r="A664" t="s">
        <v>1013</v>
      </c>
      <c r="B664" t="s">
        <v>119</v>
      </c>
      <c r="C664" t="str">
        <f>_xlfn.XLOOKUP(F664,Products!$A$2:$A$51,Products!$C$2:$C$51,0)</f>
        <v>Grinders &amp; Brewers</v>
      </c>
      <c r="D664" t="str">
        <f>_xlfn.XLOOKUP(F664,Products!$A$2:$A$51,Products!$B$2:$B$51,0)</f>
        <v>Hand Grinder (Travel Size)</v>
      </c>
      <c r="E664" t="str">
        <f>_xlfn.XLOOKUP(B664,customers!$A$2:$A$195,customers!$B$2:$B$195,,0)</f>
        <v>West</v>
      </c>
      <c r="F664">
        <v>1007</v>
      </c>
      <c r="G664" s="9">
        <f>_xlfn.XLOOKUP(B664,customers!$A$1:$A$195,customers!$C$1:$C$195)</f>
        <v>44960</v>
      </c>
      <c r="H664" s="13" t="s">
        <v>1012</v>
      </c>
      <c r="I664">
        <v>2</v>
      </c>
      <c r="J664">
        <v>509.44</v>
      </c>
      <c r="K664">
        <v>260.57</v>
      </c>
      <c r="L664">
        <f>_xlfn.XLOOKUP(F664,Products!$A$2:$A$51,Products!$D$2:$D$51,0)</f>
        <v>254.72</v>
      </c>
      <c r="M664">
        <f t="shared" si="10"/>
        <v>248.87</v>
      </c>
    </row>
    <row r="665" spans="1:13">
      <c r="A665" t="s">
        <v>1014</v>
      </c>
      <c r="B665" t="s">
        <v>183</v>
      </c>
      <c r="C665" t="str">
        <f>_xlfn.XLOOKUP(F665,Products!$A$2:$A$51,Products!$C$2:$C$51,0)</f>
        <v>Consumables</v>
      </c>
      <c r="D665" t="str">
        <f>_xlfn.XLOOKUP(F665,Products!$A$2:$A$51,Products!$B$2:$B$51,0)</f>
        <v>Seasonal Blend Light Roast</v>
      </c>
      <c r="E665" t="str">
        <f>_xlfn.XLOOKUP(B665,customers!$A$2:$A$195,customers!$B$2:$B$195,,0)</f>
        <v>West</v>
      </c>
      <c r="F665">
        <v>1002</v>
      </c>
      <c r="G665" s="9">
        <f>_xlfn.XLOOKUP(B665,customers!$A$1:$A$195,customers!$C$1:$C$195)</f>
        <v>45237</v>
      </c>
      <c r="H665" s="13" t="s">
        <v>1012</v>
      </c>
      <c r="I665">
        <v>3</v>
      </c>
      <c r="J665">
        <v>106.59</v>
      </c>
      <c r="K665">
        <v>17.79</v>
      </c>
      <c r="L665">
        <f>_xlfn.XLOOKUP(F665,Products!$A$2:$A$51,Products!$D$2:$D$51,0)</f>
        <v>35.53</v>
      </c>
      <c r="M665">
        <f t="shared" si="10"/>
        <v>88.8</v>
      </c>
    </row>
    <row r="666" spans="1:13">
      <c r="A666" t="s">
        <v>1015</v>
      </c>
      <c r="B666" t="s">
        <v>195</v>
      </c>
      <c r="C666" t="str">
        <f>_xlfn.XLOOKUP(F666,Products!$A$2:$A$51,Products!$C$2:$C$51,0)</f>
        <v>Consumables</v>
      </c>
      <c r="D666" t="str">
        <f>_xlfn.XLOOKUP(F666,Products!$A$2:$A$51,Products!$B$2:$B$51,0)</f>
        <v>Cold Brew Concentrate</v>
      </c>
      <c r="E666" t="str">
        <f>_xlfn.XLOOKUP(B666,customers!$A$2:$A$195,customers!$B$2:$B$195,,0)</f>
        <v>West</v>
      </c>
      <c r="F666">
        <v>1004</v>
      </c>
      <c r="G666" s="9">
        <f>_xlfn.XLOOKUP(B666,customers!$A$1:$A$195,customers!$C$1:$C$195)</f>
        <v>44997</v>
      </c>
      <c r="H666" s="13" t="s">
        <v>1012</v>
      </c>
      <c r="I666">
        <v>3</v>
      </c>
      <c r="J666">
        <v>70.47</v>
      </c>
      <c r="K666">
        <v>30.26</v>
      </c>
      <c r="L666">
        <f>_xlfn.XLOOKUP(F666,Products!$A$2:$A$51,Products!$D$2:$D$51,0)</f>
        <v>23.49</v>
      </c>
      <c r="M666">
        <f t="shared" si="10"/>
        <v>40.21</v>
      </c>
    </row>
    <row r="667" spans="1:13">
      <c r="A667" t="s">
        <v>1016</v>
      </c>
      <c r="B667" t="s">
        <v>19</v>
      </c>
      <c r="C667" t="str">
        <f>_xlfn.XLOOKUP(F667,Products!$A$2:$A$51,Products!$C$2:$C$51,0)</f>
        <v>Grinders &amp; Brewers</v>
      </c>
      <c r="D667" t="str">
        <f>_xlfn.XLOOKUP(F667,Products!$A$2:$A$51,Products!$B$2:$B$51,0)</f>
        <v>Hand Grinder (Travel Size)</v>
      </c>
      <c r="E667" t="str">
        <f>_xlfn.XLOOKUP(B667,customers!$A$2:$A$195,customers!$B$2:$B$195,,0)</f>
        <v>East</v>
      </c>
      <c r="F667">
        <v>1007</v>
      </c>
      <c r="G667" s="9">
        <f>_xlfn.XLOOKUP(B667,customers!$A$1:$A$195,customers!$C$1:$C$195)</f>
        <v>45112</v>
      </c>
      <c r="H667" s="13" t="s">
        <v>1017</v>
      </c>
      <c r="I667">
        <v>4</v>
      </c>
      <c r="J667">
        <v>1018.88</v>
      </c>
      <c r="K667">
        <v>521.14</v>
      </c>
      <c r="L667">
        <f>_xlfn.XLOOKUP(F667,Products!$A$2:$A$51,Products!$D$2:$D$51,0)</f>
        <v>254.72</v>
      </c>
      <c r="M667">
        <f t="shared" si="10"/>
        <v>497.74</v>
      </c>
    </row>
    <row r="668" spans="1:13">
      <c r="A668" t="s">
        <v>1018</v>
      </c>
      <c r="B668" t="s">
        <v>56</v>
      </c>
      <c r="C668" t="str">
        <f>_xlfn.XLOOKUP(F668,Products!$A$2:$A$51,Products!$C$2:$C$51,0)</f>
        <v>Accessories</v>
      </c>
      <c r="D668" t="str">
        <f>_xlfn.XLOOKUP(F668,Products!$A$2:$A$51,Products!$B$2:$B$51,0)</f>
        <v>Refillable Coffee Pods</v>
      </c>
      <c r="E668" t="str">
        <f>_xlfn.XLOOKUP(B668,customers!$A$2:$A$195,customers!$B$2:$B$195,,0)</f>
        <v>East</v>
      </c>
      <c r="F668">
        <v>1040</v>
      </c>
      <c r="G668" s="9">
        <f>_xlfn.XLOOKUP(B668,customers!$A$1:$A$195,customers!$C$1:$C$195)</f>
        <v>45074</v>
      </c>
      <c r="H668" s="13" t="s">
        <v>1017</v>
      </c>
      <c r="I668">
        <v>3</v>
      </c>
      <c r="J668">
        <v>72.39</v>
      </c>
      <c r="K668">
        <v>27.88</v>
      </c>
      <c r="L668">
        <f>_xlfn.XLOOKUP(F668,Products!$A$2:$A$51,Products!$D$2:$D$51,0)</f>
        <v>24.13</v>
      </c>
      <c r="M668">
        <f t="shared" si="10"/>
        <v>44.51</v>
      </c>
    </row>
    <row r="669" spans="1:13">
      <c r="A669" t="s">
        <v>1019</v>
      </c>
      <c r="B669" t="s">
        <v>154</v>
      </c>
      <c r="C669" t="str">
        <f>_xlfn.XLOOKUP(F669,Products!$A$2:$A$51,Products!$C$2:$C$51,0)</f>
        <v>Accessories</v>
      </c>
      <c r="D669" t="str">
        <f>_xlfn.XLOOKUP(F669,Products!$A$2:$A$51,Products!$B$2:$B$51,0)</f>
        <v>Airtight Storage Container</v>
      </c>
      <c r="E669" t="str">
        <f>_xlfn.XLOOKUP(B669,customers!$A$2:$A$195,customers!$B$2:$B$195,,0)</f>
        <v>West</v>
      </c>
      <c r="F669">
        <v>1038</v>
      </c>
      <c r="G669" s="9">
        <f>_xlfn.XLOOKUP(B669,customers!$A$1:$A$195,customers!$C$1:$C$195)</f>
        <v>45242</v>
      </c>
      <c r="H669" s="13" t="s">
        <v>1017</v>
      </c>
      <c r="I669">
        <v>1</v>
      </c>
      <c r="J669">
        <v>61.04</v>
      </c>
      <c r="K669">
        <v>25.71</v>
      </c>
      <c r="L669">
        <f>_xlfn.XLOOKUP(F669,Products!$A$2:$A$51,Products!$D$2:$D$51,0)</f>
        <v>61.04</v>
      </c>
      <c r="M669">
        <f t="shared" si="10"/>
        <v>35.33</v>
      </c>
    </row>
    <row r="670" spans="1:13">
      <c r="A670" t="s">
        <v>1020</v>
      </c>
      <c r="B670" t="s">
        <v>126</v>
      </c>
      <c r="C670" t="str">
        <f>_xlfn.XLOOKUP(F670,Products!$A$2:$A$51,Products!$C$2:$C$51,0)</f>
        <v>Merchandise</v>
      </c>
      <c r="D670" t="str">
        <f>_xlfn.XLOOKUP(F670,Products!$A$2:$A$51,Products!$B$2:$B$51,0)</f>
        <v>Logo Hoodie (Black)</v>
      </c>
      <c r="E670" t="str">
        <f>_xlfn.XLOOKUP(B670,customers!$A$2:$A$195,customers!$B$2:$B$195,,0)</f>
        <v>North</v>
      </c>
      <c r="F670">
        <v>1042</v>
      </c>
      <c r="G670" s="9">
        <f>_xlfn.XLOOKUP(B670,customers!$A$1:$A$195,customers!$C$1:$C$195)</f>
        <v>45192</v>
      </c>
      <c r="H670" s="13" t="s">
        <v>1021</v>
      </c>
      <c r="I670">
        <v>2</v>
      </c>
      <c r="J670">
        <v>30.46</v>
      </c>
      <c r="K670">
        <v>26.8</v>
      </c>
      <c r="L670">
        <f>_xlfn.XLOOKUP(F670,Products!$A$2:$A$51,Products!$D$2:$D$51,0)</f>
        <v>15.23</v>
      </c>
      <c r="M670">
        <f t="shared" si="10"/>
        <v>3.66</v>
      </c>
    </row>
    <row r="671" spans="1:13">
      <c r="A671" t="s">
        <v>1022</v>
      </c>
      <c r="B671" t="s">
        <v>174</v>
      </c>
      <c r="C671" t="str">
        <f>_xlfn.XLOOKUP(F671,Products!$A$2:$A$51,Products!$C$2:$C$51,0)</f>
        <v>Grinders &amp; Brewers</v>
      </c>
      <c r="D671" t="str">
        <f>_xlfn.XLOOKUP(F671,Products!$A$2:$A$51,Products!$B$2:$B$51,0)</f>
        <v>Pour-Over Starter Kit</v>
      </c>
      <c r="E671" t="str">
        <f>_xlfn.XLOOKUP(B671,customers!$A$2:$A$195,customers!$B$2:$B$195,,0)</f>
        <v>West</v>
      </c>
      <c r="F671">
        <v>1010</v>
      </c>
      <c r="G671" s="9">
        <f>_xlfn.XLOOKUP(B671,customers!$A$1:$A$195,customers!$C$1:$C$195)</f>
        <v>45271</v>
      </c>
      <c r="H671" s="13" t="s">
        <v>1021</v>
      </c>
      <c r="I671">
        <v>2</v>
      </c>
      <c r="J671">
        <v>210.46</v>
      </c>
      <c r="K671">
        <v>149.49</v>
      </c>
      <c r="L671">
        <f>_xlfn.XLOOKUP(F671,Products!$A$2:$A$51,Products!$D$2:$D$51,0)</f>
        <v>105.23</v>
      </c>
      <c r="M671">
        <f t="shared" si="10"/>
        <v>60.97</v>
      </c>
    </row>
    <row r="672" spans="1:13">
      <c r="A672" t="s">
        <v>1023</v>
      </c>
      <c r="B672" t="s">
        <v>190</v>
      </c>
      <c r="C672" t="str">
        <f>_xlfn.XLOOKUP(F672,Products!$A$2:$A$51,Products!$C$2:$C$51,0)</f>
        <v>Merchandise</v>
      </c>
      <c r="D672" t="str">
        <f>_xlfn.XLOOKUP(F672,Products!$A$2:$A$51,Products!$B$2:$B$51,0)</f>
        <v>Daily Grind T-Shirt</v>
      </c>
      <c r="E672" t="str">
        <f>_xlfn.XLOOKUP(B672,customers!$A$2:$A$195,customers!$B$2:$B$195,,0)</f>
        <v>East</v>
      </c>
      <c r="F672">
        <v>1044</v>
      </c>
      <c r="G672" s="9">
        <f>_xlfn.XLOOKUP(B672,customers!$A$1:$A$195,customers!$C$1:$C$195)</f>
        <v>45043</v>
      </c>
      <c r="H672" s="13" t="s">
        <v>1021</v>
      </c>
      <c r="I672">
        <v>4</v>
      </c>
      <c r="J672">
        <v>85.48</v>
      </c>
      <c r="K672">
        <v>33.04</v>
      </c>
      <c r="L672">
        <f>_xlfn.XLOOKUP(F672,Products!$A$2:$A$51,Products!$D$2:$D$51,0)</f>
        <v>21.37</v>
      </c>
      <c r="M672">
        <f t="shared" si="10"/>
        <v>52.44</v>
      </c>
    </row>
    <row r="673" spans="1:13">
      <c r="A673" t="s">
        <v>1024</v>
      </c>
      <c r="B673" t="s">
        <v>73</v>
      </c>
      <c r="C673" t="str">
        <f>_xlfn.XLOOKUP(F673,Products!$A$2:$A$51,Products!$C$2:$C$51,0)</f>
        <v>Subscriptions</v>
      </c>
      <c r="D673" t="str">
        <f>_xlfn.XLOOKUP(F673,Products!$A$2:$A$51,Products!$B$2:$B$51,0)</f>
        <v>Three-Month Gift Subscription</v>
      </c>
      <c r="E673" t="str">
        <f>_xlfn.XLOOKUP(B673,customers!$A$2:$A$195,customers!$B$2:$B$195,,0)</f>
        <v>West</v>
      </c>
      <c r="F673">
        <v>1048</v>
      </c>
      <c r="G673" s="9">
        <f>_xlfn.XLOOKUP(B673,customers!$A$1:$A$195,customers!$C$1:$C$195)</f>
        <v>45053</v>
      </c>
      <c r="H673" s="13" t="s">
        <v>1025</v>
      </c>
      <c r="I673">
        <v>2</v>
      </c>
      <c r="J673">
        <v>130.42</v>
      </c>
      <c r="K673">
        <v>55.22</v>
      </c>
      <c r="L673">
        <f>_xlfn.XLOOKUP(F673,Products!$A$2:$A$51,Products!$D$2:$D$51,0)</f>
        <v>65.21</v>
      </c>
      <c r="M673">
        <f t="shared" si="10"/>
        <v>75.2</v>
      </c>
    </row>
    <row r="674" spans="1:13">
      <c r="A674" t="s">
        <v>1026</v>
      </c>
      <c r="B674" t="s">
        <v>174</v>
      </c>
      <c r="C674" t="str">
        <f>_xlfn.XLOOKUP(F674,Products!$A$2:$A$51,Products!$C$2:$C$51,0)</f>
        <v>Accessories</v>
      </c>
      <c r="D674" t="str">
        <f>_xlfn.XLOOKUP(F674,Products!$A$2:$A$51,Products!$B$2:$B$51,0)</f>
        <v>Airtight Storage Container</v>
      </c>
      <c r="E674" t="str">
        <f>_xlfn.XLOOKUP(B674,customers!$A$2:$A$195,customers!$B$2:$B$195,,0)</f>
        <v>West</v>
      </c>
      <c r="F674">
        <v>1013</v>
      </c>
      <c r="G674" s="9">
        <f>_xlfn.XLOOKUP(B674,customers!$A$1:$A$195,customers!$C$1:$C$195)</f>
        <v>45271</v>
      </c>
      <c r="H674" s="13" t="s">
        <v>1025</v>
      </c>
      <c r="I674">
        <v>3</v>
      </c>
      <c r="J674">
        <v>183.12</v>
      </c>
      <c r="K674">
        <v>77.12</v>
      </c>
      <c r="L674">
        <f>_xlfn.XLOOKUP(F674,Products!$A$2:$A$51,Products!$D$2:$D$51,0)</f>
        <v>61.04</v>
      </c>
      <c r="M674">
        <f t="shared" si="10"/>
        <v>106</v>
      </c>
    </row>
    <row r="675" spans="1:13">
      <c r="A675" t="s">
        <v>1027</v>
      </c>
      <c r="B675" t="s">
        <v>175</v>
      </c>
      <c r="C675" t="str">
        <f>_xlfn.XLOOKUP(F675,Products!$A$2:$A$51,Products!$C$2:$C$51,0)</f>
        <v>Consumables</v>
      </c>
      <c r="D675" t="str">
        <f>_xlfn.XLOOKUP(F675,Products!$A$2:$A$51,Products!$B$2:$B$51,0)</f>
        <v>Single-Origin Ethiopian (250g)</v>
      </c>
      <c r="E675" t="str">
        <f>_xlfn.XLOOKUP(B675,customers!$A$2:$A$195,customers!$B$2:$B$195,,0)</f>
        <v>West</v>
      </c>
      <c r="F675">
        <v>1001</v>
      </c>
      <c r="G675" s="9">
        <f>_xlfn.XLOOKUP(B675,customers!$A$1:$A$195,customers!$C$1:$C$195)</f>
        <v>44964</v>
      </c>
      <c r="H675" s="13" t="s">
        <v>1025</v>
      </c>
      <c r="I675">
        <v>2</v>
      </c>
      <c r="J675">
        <v>38.98</v>
      </c>
      <c r="K675">
        <v>25.41</v>
      </c>
      <c r="L675">
        <f>_xlfn.XLOOKUP(F675,Products!$A$2:$A$51,Products!$D$2:$D$51,0)</f>
        <v>19.49</v>
      </c>
      <c r="M675">
        <f t="shared" si="10"/>
        <v>13.57</v>
      </c>
    </row>
    <row r="676" spans="1:13">
      <c r="A676" t="s">
        <v>1028</v>
      </c>
      <c r="B676" t="s">
        <v>22</v>
      </c>
      <c r="C676" t="str">
        <f>_xlfn.XLOOKUP(F676,Products!$A$2:$A$51,Products!$C$2:$C$51,0)</f>
        <v>Subscriptions</v>
      </c>
      <c r="D676" t="str">
        <f>_xlfn.XLOOKUP(F676,Products!$A$2:$A$51,Products!$B$2:$B$51,0)</f>
        <v>Three-Month Gift Subscription</v>
      </c>
      <c r="E676" t="str">
        <f>_xlfn.XLOOKUP(B676,customers!$A$2:$A$195,customers!$B$2:$B$195,,0)</f>
        <v>West</v>
      </c>
      <c r="F676">
        <v>1048</v>
      </c>
      <c r="G676" s="9">
        <f>_xlfn.XLOOKUP(B676,customers!$A$1:$A$195,customers!$C$1:$C$195)</f>
        <v>45010</v>
      </c>
      <c r="H676" s="13" t="s">
        <v>1029</v>
      </c>
      <c r="I676">
        <v>2</v>
      </c>
      <c r="J676">
        <v>130.42</v>
      </c>
      <c r="K676">
        <v>55.22</v>
      </c>
      <c r="L676">
        <f>_xlfn.XLOOKUP(F676,Products!$A$2:$A$51,Products!$D$2:$D$51,0)</f>
        <v>65.21</v>
      </c>
      <c r="M676">
        <f t="shared" si="10"/>
        <v>75.2</v>
      </c>
    </row>
    <row r="677" spans="1:13">
      <c r="A677" t="s">
        <v>1030</v>
      </c>
      <c r="B677" t="s">
        <v>35</v>
      </c>
      <c r="C677" t="str">
        <f>_xlfn.XLOOKUP(F677,Products!$A$2:$A$51,Products!$C$2:$C$51,0)</f>
        <v>Consumables</v>
      </c>
      <c r="D677" t="str">
        <f>_xlfn.XLOOKUP(F677,Products!$A$2:$A$51,Products!$B$2:$B$51,0)</f>
        <v>Single-Origin Ethiopian (250g)</v>
      </c>
      <c r="E677" t="str">
        <f>_xlfn.XLOOKUP(B677,customers!$A$2:$A$195,customers!$B$2:$B$195,,0)</f>
        <v>East</v>
      </c>
      <c r="F677">
        <v>1001</v>
      </c>
      <c r="G677" s="9">
        <f>_xlfn.XLOOKUP(B677,customers!$A$1:$A$195,customers!$C$1:$C$195)</f>
        <v>45161</v>
      </c>
      <c r="H677" s="13" t="s">
        <v>1029</v>
      </c>
      <c r="I677">
        <v>1</v>
      </c>
      <c r="J677">
        <v>19.49</v>
      </c>
      <c r="K677">
        <v>12.71</v>
      </c>
      <c r="L677">
        <f>_xlfn.XLOOKUP(F677,Products!$A$2:$A$51,Products!$D$2:$D$51,0)</f>
        <v>19.49</v>
      </c>
      <c r="M677">
        <f t="shared" si="10"/>
        <v>6.78</v>
      </c>
    </row>
    <row r="678" spans="1:13">
      <c r="A678" t="s">
        <v>1031</v>
      </c>
      <c r="B678" t="s">
        <v>123</v>
      </c>
      <c r="C678" t="str">
        <f>_xlfn.XLOOKUP(F678,Products!$A$2:$A$51,Products!$C$2:$C$51,0)</f>
        <v>Subscriptions</v>
      </c>
      <c r="D678" t="str">
        <f>_xlfn.XLOOKUP(F678,Products!$A$2:$A$51,Products!$B$2:$B$51,0)</f>
        <v>Bi-Weekly Sampler Box</v>
      </c>
      <c r="E678" t="str">
        <f>_xlfn.XLOOKUP(B678,customers!$A$2:$A$195,customers!$B$2:$B$195,,0)</f>
        <v>East</v>
      </c>
      <c r="F678">
        <v>1022</v>
      </c>
      <c r="G678" s="9">
        <f>_xlfn.XLOOKUP(B678,customers!$A$1:$A$195,customers!$C$1:$C$195)</f>
        <v>45264</v>
      </c>
      <c r="H678" s="13" t="s">
        <v>1029</v>
      </c>
      <c r="I678">
        <v>2</v>
      </c>
      <c r="J678">
        <v>177.54</v>
      </c>
      <c r="K678">
        <v>47.72</v>
      </c>
      <c r="L678">
        <f>_xlfn.XLOOKUP(F678,Products!$A$2:$A$51,Products!$D$2:$D$51,0)</f>
        <v>88.77</v>
      </c>
      <c r="M678">
        <f t="shared" si="10"/>
        <v>129.82</v>
      </c>
    </row>
    <row r="679" spans="1:13">
      <c r="A679" t="s">
        <v>1032</v>
      </c>
      <c r="B679" t="s">
        <v>146</v>
      </c>
      <c r="C679" t="str">
        <f>_xlfn.XLOOKUP(F679,Products!$A$2:$A$51,Products!$C$2:$C$51,0)</f>
        <v>Grinders &amp; Brewers</v>
      </c>
      <c r="D679" t="str">
        <f>_xlfn.XLOOKUP(F679,Products!$A$2:$A$51,Products!$B$2:$B$51,0)</f>
        <v>High-Capacity French Press</v>
      </c>
      <c r="E679" t="str">
        <f>_xlfn.XLOOKUP(B679,customers!$A$2:$A$195,customers!$B$2:$B$195,,0)</f>
        <v>East</v>
      </c>
      <c r="F679">
        <v>1009</v>
      </c>
      <c r="G679" s="9">
        <f>_xlfn.XLOOKUP(B679,customers!$A$1:$A$195,customers!$C$1:$C$195)</f>
        <v>44981</v>
      </c>
      <c r="H679" s="13" t="s">
        <v>1029</v>
      </c>
      <c r="I679">
        <v>4</v>
      </c>
      <c r="J679">
        <v>1353.44</v>
      </c>
      <c r="K679">
        <v>592.68</v>
      </c>
      <c r="L679">
        <f>_xlfn.XLOOKUP(F679,Products!$A$2:$A$51,Products!$D$2:$D$51,0)</f>
        <v>338.36</v>
      </c>
      <c r="M679">
        <f t="shared" si="10"/>
        <v>760.76</v>
      </c>
    </row>
    <row r="680" spans="1:13">
      <c r="A680" t="s">
        <v>1033</v>
      </c>
      <c r="B680" t="s">
        <v>158</v>
      </c>
      <c r="C680" t="str">
        <f>_xlfn.XLOOKUP(F680,Products!$A$2:$A$51,Products!$C$2:$C$51,0)</f>
        <v>Grinders &amp; Brewers</v>
      </c>
      <c r="D680" t="str">
        <f>_xlfn.XLOOKUP(F680,Products!$A$2:$A$51,Products!$B$2:$B$51,0)</f>
        <v>Precision Electric Grinder</v>
      </c>
      <c r="E680" t="str">
        <f>_xlfn.XLOOKUP(B680,customers!$A$2:$A$195,customers!$B$2:$B$195,,0)</f>
        <v>West</v>
      </c>
      <c r="F680">
        <v>1031</v>
      </c>
      <c r="G680" s="9">
        <f>_xlfn.XLOOKUP(B680,customers!$A$1:$A$195,customers!$C$1:$C$195)</f>
        <v>45061</v>
      </c>
      <c r="H680" s="13" t="s">
        <v>1029</v>
      </c>
      <c r="I680">
        <v>1</v>
      </c>
      <c r="J680">
        <v>232.2</v>
      </c>
      <c r="K680">
        <v>78.39</v>
      </c>
      <c r="L680">
        <f>_xlfn.XLOOKUP(F680,Products!$A$2:$A$51,Products!$D$2:$D$51,0)</f>
        <v>232.2</v>
      </c>
      <c r="M680">
        <f t="shared" si="10"/>
        <v>153.81</v>
      </c>
    </row>
    <row r="681" spans="1:13">
      <c r="A681" t="s">
        <v>1034</v>
      </c>
      <c r="B681" t="s">
        <v>133</v>
      </c>
      <c r="C681" t="str">
        <f>_xlfn.XLOOKUP(F681,Products!$A$2:$A$51,Products!$C$2:$C$51,0)</f>
        <v>Accessories</v>
      </c>
      <c r="D681" t="str">
        <f>_xlfn.XLOOKUP(F681,Products!$A$2:$A$51,Products!$B$2:$B$51,0)</f>
        <v>Gooseneck Electric Kettle</v>
      </c>
      <c r="E681" t="str">
        <f>_xlfn.XLOOKUP(B681,customers!$A$2:$A$195,customers!$B$2:$B$195,,0)</f>
        <v>West</v>
      </c>
      <c r="F681">
        <v>1037</v>
      </c>
      <c r="G681" s="9">
        <f>_xlfn.XLOOKUP(B681,customers!$A$1:$A$195,customers!$C$1:$C$195)</f>
        <v>45248</v>
      </c>
      <c r="H681" s="13" t="s">
        <v>1035</v>
      </c>
      <c r="I681">
        <v>3</v>
      </c>
      <c r="J681">
        <v>104.61</v>
      </c>
      <c r="K681">
        <v>77.91</v>
      </c>
      <c r="L681">
        <f>_xlfn.XLOOKUP(F681,Products!$A$2:$A$51,Products!$D$2:$D$51,0)</f>
        <v>34.87</v>
      </c>
      <c r="M681">
        <f t="shared" si="10"/>
        <v>26.7</v>
      </c>
    </row>
    <row r="682" spans="1:13">
      <c r="A682" t="s">
        <v>1036</v>
      </c>
      <c r="B682" t="s">
        <v>151</v>
      </c>
      <c r="C682" t="str">
        <f>_xlfn.XLOOKUP(F682,Products!$A$2:$A$51,Products!$C$2:$C$51,0)</f>
        <v>Subscriptions</v>
      </c>
      <c r="D682" t="str">
        <f>_xlfn.XLOOKUP(F682,Products!$A$2:$A$51,Products!$B$2:$B$51,0)</f>
        <v>Monthly Dark Roast Subscription</v>
      </c>
      <c r="E682" t="str">
        <f>_xlfn.XLOOKUP(B682,customers!$A$2:$A$195,customers!$B$2:$B$195,,0)</f>
        <v>West</v>
      </c>
      <c r="F682">
        <v>1021</v>
      </c>
      <c r="G682" s="9">
        <f>_xlfn.XLOOKUP(B682,customers!$A$1:$A$195,customers!$C$1:$C$195)</f>
        <v>45047</v>
      </c>
      <c r="H682" s="13" t="s">
        <v>1035</v>
      </c>
      <c r="I682">
        <v>2</v>
      </c>
      <c r="J682">
        <v>122.52</v>
      </c>
      <c r="K682">
        <v>70.29</v>
      </c>
      <c r="L682">
        <f>_xlfn.XLOOKUP(F682,Products!$A$2:$A$51,Products!$D$2:$D$51,0)</f>
        <v>61.26</v>
      </c>
      <c r="M682">
        <f t="shared" si="10"/>
        <v>52.23</v>
      </c>
    </row>
    <row r="683" spans="1:13">
      <c r="A683" t="s">
        <v>1037</v>
      </c>
      <c r="B683" t="s">
        <v>53</v>
      </c>
      <c r="C683" t="str">
        <f>_xlfn.XLOOKUP(F683,Products!$A$2:$A$51,Products!$C$2:$C$51,0)</f>
        <v>Grinders &amp; Brewers</v>
      </c>
      <c r="D683" t="str">
        <f>_xlfn.XLOOKUP(F683,Products!$A$2:$A$51,Products!$B$2:$B$51,0)</f>
        <v>Hand Grinder (Travel Size)</v>
      </c>
      <c r="E683" t="str">
        <f>_xlfn.XLOOKUP(B683,customers!$A$2:$A$195,customers!$B$2:$B$195,,0)</f>
        <v>East</v>
      </c>
      <c r="F683">
        <v>1007</v>
      </c>
      <c r="G683" s="9">
        <f>_xlfn.XLOOKUP(B683,customers!$A$1:$A$195,customers!$C$1:$C$195)</f>
        <v>45154</v>
      </c>
      <c r="H683" s="13" t="s">
        <v>1038</v>
      </c>
      <c r="I683">
        <v>3</v>
      </c>
      <c r="J683">
        <v>764.16</v>
      </c>
      <c r="K683">
        <v>390.85</v>
      </c>
      <c r="L683">
        <f>_xlfn.XLOOKUP(F683,Products!$A$2:$A$51,Products!$D$2:$D$51,0)</f>
        <v>254.72</v>
      </c>
      <c r="M683">
        <f t="shared" si="10"/>
        <v>373.31</v>
      </c>
    </row>
    <row r="684" spans="1:13">
      <c r="A684" t="s">
        <v>1039</v>
      </c>
      <c r="B684" t="s">
        <v>135</v>
      </c>
      <c r="C684" t="str">
        <f>_xlfn.XLOOKUP(F684,Products!$A$2:$A$51,Products!$C$2:$C$51,0)</f>
        <v>Accessories</v>
      </c>
      <c r="D684" t="str">
        <f>_xlfn.XLOOKUP(F684,Products!$A$2:$A$51,Products!$B$2:$B$51,0)</f>
        <v>Gooseneck Electric Kettle</v>
      </c>
      <c r="E684" t="str">
        <f>_xlfn.XLOOKUP(B684,customers!$A$2:$A$195,customers!$B$2:$B$195,,0)</f>
        <v>East</v>
      </c>
      <c r="F684">
        <v>1037</v>
      </c>
      <c r="G684" s="9">
        <f>_xlfn.XLOOKUP(B684,customers!$A$1:$A$195,customers!$C$1:$C$195)</f>
        <v>45286</v>
      </c>
      <c r="H684" s="13" t="s">
        <v>1040</v>
      </c>
      <c r="I684">
        <v>4</v>
      </c>
      <c r="J684">
        <v>139.48</v>
      </c>
      <c r="K684">
        <v>103.88</v>
      </c>
      <c r="L684">
        <f>_xlfn.XLOOKUP(F684,Products!$A$2:$A$51,Products!$D$2:$D$51,0)</f>
        <v>34.87</v>
      </c>
      <c r="M684">
        <f t="shared" si="10"/>
        <v>35.6</v>
      </c>
    </row>
    <row r="685" spans="1:13">
      <c r="A685" t="s">
        <v>1041</v>
      </c>
      <c r="B685" t="s">
        <v>145</v>
      </c>
      <c r="C685" t="str">
        <f>_xlfn.XLOOKUP(F685,Products!$A$2:$A$51,Products!$C$2:$C$51,0)</f>
        <v>Accessories</v>
      </c>
      <c r="D685" t="str">
        <f>_xlfn.XLOOKUP(F685,Products!$A$2:$A$51,Products!$B$2:$B$51,0)</f>
        <v>Gooseneck Electric Kettle</v>
      </c>
      <c r="E685" t="str">
        <f>_xlfn.XLOOKUP(B685,customers!$A$2:$A$195,customers!$B$2:$B$195,,0)</f>
        <v>West</v>
      </c>
      <c r="F685">
        <v>1012</v>
      </c>
      <c r="G685" s="9">
        <f>_xlfn.XLOOKUP(B685,customers!$A$1:$A$195,customers!$C$1:$C$195)</f>
        <v>44982</v>
      </c>
      <c r="H685" s="13" t="s">
        <v>1040</v>
      </c>
      <c r="I685">
        <v>3</v>
      </c>
      <c r="J685">
        <v>104.61</v>
      </c>
      <c r="K685">
        <v>77.91</v>
      </c>
      <c r="L685">
        <f>_xlfn.XLOOKUP(F685,Products!$A$2:$A$51,Products!$D$2:$D$51,0)</f>
        <v>34.87</v>
      </c>
      <c r="M685">
        <f t="shared" si="10"/>
        <v>26.7</v>
      </c>
    </row>
    <row r="686" spans="1:13">
      <c r="A686" t="s">
        <v>1042</v>
      </c>
      <c r="B686" t="s">
        <v>145</v>
      </c>
      <c r="C686" t="str">
        <f>_xlfn.XLOOKUP(F686,Products!$A$2:$A$51,Products!$C$2:$C$51,0)</f>
        <v>Subscriptions</v>
      </c>
      <c r="D686" t="str">
        <f>_xlfn.XLOOKUP(F686,Products!$A$2:$A$51,Products!$B$2:$B$51,0)</f>
        <v>Espresso Lovers Quarterly Pack</v>
      </c>
      <c r="E686" t="str">
        <f>_xlfn.XLOOKUP(B686,customers!$A$2:$A$195,customers!$B$2:$B$195,,0)</f>
        <v>West</v>
      </c>
      <c r="F686">
        <v>1049</v>
      </c>
      <c r="G686" s="9">
        <f>_xlfn.XLOOKUP(B686,customers!$A$1:$A$195,customers!$C$1:$C$195)</f>
        <v>44982</v>
      </c>
      <c r="H686" s="13" t="s">
        <v>1040</v>
      </c>
      <c r="I686">
        <v>4</v>
      </c>
      <c r="J686">
        <v>299.48</v>
      </c>
      <c r="K686">
        <v>76.78</v>
      </c>
      <c r="L686">
        <f>_xlfn.XLOOKUP(F686,Products!$A$2:$A$51,Products!$D$2:$D$51,0)</f>
        <v>74.87</v>
      </c>
      <c r="M686">
        <f t="shared" si="10"/>
        <v>222.7</v>
      </c>
    </row>
    <row r="687" spans="1:13">
      <c r="A687" t="s">
        <v>1043</v>
      </c>
      <c r="B687" t="s">
        <v>180</v>
      </c>
      <c r="C687" t="str">
        <f>_xlfn.XLOOKUP(F687,Products!$A$2:$A$51,Products!$C$2:$C$51,0)</f>
        <v>Consumables</v>
      </c>
      <c r="D687" t="str">
        <f>_xlfn.XLOOKUP(F687,Products!$A$2:$A$51,Products!$B$2:$B$51,0)</f>
        <v>Single-Origin Ethiopian (250g)</v>
      </c>
      <c r="E687" t="str">
        <f>_xlfn.XLOOKUP(B687,customers!$A$2:$A$195,customers!$B$2:$B$195,,0)</f>
        <v>South</v>
      </c>
      <c r="F687">
        <v>1026</v>
      </c>
      <c r="G687" s="9">
        <f>_xlfn.XLOOKUP(B687,customers!$A$1:$A$195,customers!$C$1:$C$195)</f>
        <v>45215</v>
      </c>
      <c r="H687" s="13" t="s">
        <v>1040</v>
      </c>
      <c r="I687">
        <v>1</v>
      </c>
      <c r="J687">
        <v>19.49</v>
      </c>
      <c r="K687">
        <v>12.71</v>
      </c>
      <c r="L687">
        <f>_xlfn.XLOOKUP(F687,Products!$A$2:$A$51,Products!$D$2:$D$51,0)</f>
        <v>19.49</v>
      </c>
      <c r="M687">
        <f t="shared" si="10"/>
        <v>6.78</v>
      </c>
    </row>
    <row r="688" spans="1:13">
      <c r="A688" t="s">
        <v>1044</v>
      </c>
      <c r="B688" t="s">
        <v>192</v>
      </c>
      <c r="C688" t="str">
        <f>_xlfn.XLOOKUP(F688,Products!$A$2:$A$51,Products!$C$2:$C$51,0)</f>
        <v>Merchandise</v>
      </c>
      <c r="D688" t="str">
        <f>_xlfn.XLOOKUP(F688,Products!$A$2:$A$51,Products!$B$2:$B$51,0)</f>
        <v>Branded Ceramic Mug (Large)</v>
      </c>
      <c r="E688" t="str">
        <f>_xlfn.XLOOKUP(B688,customers!$A$2:$A$195,customers!$B$2:$B$195,,0)</f>
        <v>North</v>
      </c>
      <c r="F688">
        <v>1016</v>
      </c>
      <c r="G688" s="9">
        <f>_xlfn.XLOOKUP(B688,customers!$A$1:$A$195,customers!$C$1:$C$195)</f>
        <v>45234</v>
      </c>
      <c r="H688" s="13" t="s">
        <v>1040</v>
      </c>
      <c r="I688">
        <v>2</v>
      </c>
      <c r="J688">
        <v>86.4</v>
      </c>
      <c r="K688">
        <v>62.22</v>
      </c>
      <c r="L688">
        <f>_xlfn.XLOOKUP(F688,Products!$A$2:$A$51,Products!$D$2:$D$51,0)</f>
        <v>43.2</v>
      </c>
      <c r="M688">
        <f t="shared" si="10"/>
        <v>24.18</v>
      </c>
    </row>
    <row r="689" spans="1:13">
      <c r="A689" t="s">
        <v>1045</v>
      </c>
      <c r="B689" t="s">
        <v>195</v>
      </c>
      <c r="C689" t="str">
        <f>_xlfn.XLOOKUP(F689,Products!$A$2:$A$51,Products!$C$2:$C$51,0)</f>
        <v>Consumables</v>
      </c>
      <c r="D689" t="str">
        <f>_xlfn.XLOOKUP(F689,Products!$A$2:$A$51,Products!$B$2:$B$51,0)</f>
        <v>Decaf Blend (1kg)</v>
      </c>
      <c r="E689" t="str">
        <f>_xlfn.XLOOKUP(B689,customers!$A$2:$A$195,customers!$B$2:$B$195,,0)</f>
        <v>West</v>
      </c>
      <c r="F689">
        <v>1003</v>
      </c>
      <c r="G689" s="9">
        <f>_xlfn.XLOOKUP(B689,customers!$A$1:$A$195,customers!$C$1:$C$195)</f>
        <v>44997</v>
      </c>
      <c r="H689" s="13" t="s">
        <v>1040</v>
      </c>
      <c r="I689">
        <v>1</v>
      </c>
      <c r="J689">
        <v>40.35</v>
      </c>
      <c r="K689">
        <v>12.86</v>
      </c>
      <c r="L689">
        <f>_xlfn.XLOOKUP(F689,Products!$A$2:$A$51,Products!$D$2:$D$51,0)</f>
        <v>40.35</v>
      </c>
      <c r="M689">
        <f t="shared" si="10"/>
        <v>27.49</v>
      </c>
    </row>
    <row r="690" spans="1:13">
      <c r="A690" t="s">
        <v>1046</v>
      </c>
      <c r="B690" t="s">
        <v>108</v>
      </c>
      <c r="C690" t="str">
        <f>_xlfn.XLOOKUP(F690,Products!$A$2:$A$51,Products!$C$2:$C$51,0)</f>
        <v>Merchandise</v>
      </c>
      <c r="D690" t="str">
        <f>_xlfn.XLOOKUP(F690,Products!$A$2:$A$51,Products!$B$2:$B$51,0)</f>
        <v>Insulated Travel Tumbler</v>
      </c>
      <c r="E690" t="str">
        <f>_xlfn.XLOOKUP(B690,customers!$A$2:$A$195,customers!$B$2:$B$195,,0)</f>
        <v>East</v>
      </c>
      <c r="F690">
        <v>1043</v>
      </c>
      <c r="G690" s="9">
        <f>_xlfn.XLOOKUP(B690,customers!$A$1:$A$195,customers!$C$1:$C$195)</f>
        <v>45194</v>
      </c>
      <c r="H690" s="13" t="s">
        <v>1047</v>
      </c>
      <c r="I690">
        <v>4</v>
      </c>
      <c r="J690">
        <v>173.12</v>
      </c>
      <c r="K690">
        <v>83.29</v>
      </c>
      <c r="L690">
        <f>_xlfn.XLOOKUP(F690,Products!$A$2:$A$51,Products!$D$2:$D$51,0)</f>
        <v>43.28</v>
      </c>
      <c r="M690">
        <f t="shared" si="10"/>
        <v>89.83</v>
      </c>
    </row>
    <row r="691" spans="1:13">
      <c r="A691" t="s">
        <v>1048</v>
      </c>
      <c r="B691" t="s">
        <v>109</v>
      </c>
      <c r="C691" t="str">
        <f>_xlfn.XLOOKUP(F691,Products!$A$2:$A$51,Products!$C$2:$C$51,0)</f>
        <v>Merchandise</v>
      </c>
      <c r="D691" t="str">
        <f>_xlfn.XLOOKUP(F691,Products!$A$2:$A$51,Products!$B$2:$B$51,0)</f>
        <v>Logo Hoodie (Black)</v>
      </c>
      <c r="E691" t="str">
        <f>_xlfn.XLOOKUP(B691,customers!$A$2:$A$195,customers!$B$2:$B$195,,0)</f>
        <v>North</v>
      </c>
      <c r="F691">
        <v>1042</v>
      </c>
      <c r="G691" s="9">
        <f>_xlfn.XLOOKUP(B691,customers!$A$1:$A$195,customers!$C$1:$C$195)</f>
        <v>45129</v>
      </c>
      <c r="H691" s="13" t="s">
        <v>1047</v>
      </c>
      <c r="I691">
        <v>3</v>
      </c>
      <c r="J691">
        <v>45.69</v>
      </c>
      <c r="K691">
        <v>40.19</v>
      </c>
      <c r="L691">
        <f>_xlfn.XLOOKUP(F691,Products!$A$2:$A$51,Products!$D$2:$D$51,0)</f>
        <v>15.23</v>
      </c>
      <c r="M691">
        <f t="shared" si="10"/>
        <v>5.5</v>
      </c>
    </row>
    <row r="692" spans="1:13">
      <c r="A692" t="s">
        <v>1049</v>
      </c>
      <c r="B692" t="s">
        <v>117</v>
      </c>
      <c r="C692" t="str">
        <f>_xlfn.XLOOKUP(F692,Products!$A$2:$A$51,Products!$C$2:$C$51,0)</f>
        <v>Subscriptions</v>
      </c>
      <c r="D692" t="str">
        <f>_xlfn.XLOOKUP(F692,Products!$A$2:$A$51,Products!$B$2:$B$51,0)</f>
        <v>Three-Month Gift Subscription</v>
      </c>
      <c r="E692" t="str">
        <f>_xlfn.XLOOKUP(B692,customers!$A$2:$A$195,customers!$B$2:$B$195,,0)</f>
        <v>East</v>
      </c>
      <c r="F692">
        <v>1048</v>
      </c>
      <c r="G692" s="9">
        <f>_xlfn.XLOOKUP(B692,customers!$A$1:$A$195,customers!$C$1:$C$195)</f>
        <v>45139</v>
      </c>
      <c r="H692" s="13" t="s">
        <v>1047</v>
      </c>
      <c r="I692">
        <v>4</v>
      </c>
      <c r="J692">
        <v>260.84</v>
      </c>
      <c r="K692">
        <v>110.44</v>
      </c>
      <c r="L692">
        <f>_xlfn.XLOOKUP(F692,Products!$A$2:$A$51,Products!$D$2:$D$51,0)</f>
        <v>65.21</v>
      </c>
      <c r="M692">
        <f t="shared" si="10"/>
        <v>150.4</v>
      </c>
    </row>
    <row r="693" spans="1:13">
      <c r="A693" t="s">
        <v>1050</v>
      </c>
      <c r="B693" t="s">
        <v>127</v>
      </c>
      <c r="C693" t="str">
        <f>_xlfn.XLOOKUP(F693,Products!$A$2:$A$51,Products!$C$2:$C$51,0)</f>
        <v>Subscriptions</v>
      </c>
      <c r="D693" t="str">
        <f>_xlfn.XLOOKUP(F693,Products!$A$2:$A$51,Products!$B$2:$B$51,0)</f>
        <v>Espresso Lovers Quarterly Pack</v>
      </c>
      <c r="E693" t="str">
        <f>_xlfn.XLOOKUP(B693,customers!$A$2:$A$195,customers!$B$2:$B$195,,0)</f>
        <v>North</v>
      </c>
      <c r="F693">
        <v>1024</v>
      </c>
      <c r="G693" s="9">
        <f>_xlfn.XLOOKUP(B693,customers!$A$1:$A$195,customers!$C$1:$C$195)</f>
        <v>45070</v>
      </c>
      <c r="H693" s="13" t="s">
        <v>1047</v>
      </c>
      <c r="I693">
        <v>1</v>
      </c>
      <c r="J693">
        <v>74.87</v>
      </c>
      <c r="K693">
        <v>19.2</v>
      </c>
      <c r="L693">
        <f>_xlfn.XLOOKUP(F693,Products!$A$2:$A$51,Products!$D$2:$D$51,0)</f>
        <v>74.87</v>
      </c>
      <c r="M693">
        <f t="shared" si="10"/>
        <v>55.67</v>
      </c>
    </row>
    <row r="694" spans="1:13">
      <c r="A694" t="s">
        <v>1051</v>
      </c>
      <c r="B694" t="s">
        <v>23</v>
      </c>
      <c r="C694" t="str">
        <f>_xlfn.XLOOKUP(F694,Products!$A$2:$A$51,Products!$C$2:$C$51,0)</f>
        <v>Consumables</v>
      </c>
      <c r="D694" t="str">
        <f>_xlfn.XLOOKUP(F694,Products!$A$2:$A$51,Products!$B$2:$B$51,0)</f>
        <v>Single-Origin Ethiopian (250g)</v>
      </c>
      <c r="E694" t="str">
        <f>_xlfn.XLOOKUP(B694,customers!$A$2:$A$195,customers!$B$2:$B$195,,0)</f>
        <v>West</v>
      </c>
      <c r="F694">
        <v>1001</v>
      </c>
      <c r="G694" s="9">
        <f>_xlfn.XLOOKUP(B694,customers!$A$1:$A$195,customers!$C$1:$C$195)</f>
        <v>45222</v>
      </c>
      <c r="H694" s="13" t="s">
        <v>1052</v>
      </c>
      <c r="I694">
        <v>1</v>
      </c>
      <c r="J694">
        <v>19.49</v>
      </c>
      <c r="K694">
        <v>12.71</v>
      </c>
      <c r="L694">
        <f>_xlfn.XLOOKUP(F694,Products!$A$2:$A$51,Products!$D$2:$D$51,0)</f>
        <v>19.49</v>
      </c>
      <c r="M694">
        <f t="shared" si="10"/>
        <v>6.78</v>
      </c>
    </row>
    <row r="695" spans="1:13">
      <c r="A695" t="s">
        <v>1053</v>
      </c>
      <c r="B695" t="s">
        <v>192</v>
      </c>
      <c r="C695" t="str">
        <f>_xlfn.XLOOKUP(F695,Products!$A$2:$A$51,Products!$C$2:$C$51,0)</f>
        <v>Merchandise</v>
      </c>
      <c r="D695" t="str">
        <f>_xlfn.XLOOKUP(F695,Products!$A$2:$A$51,Products!$B$2:$B$51,0)</f>
        <v>Minimalist Keychain</v>
      </c>
      <c r="E695" t="str">
        <f>_xlfn.XLOOKUP(B695,customers!$A$2:$A$195,customers!$B$2:$B$195,,0)</f>
        <v>North</v>
      </c>
      <c r="F695">
        <v>1020</v>
      </c>
      <c r="G695" s="9">
        <f>_xlfn.XLOOKUP(B695,customers!$A$1:$A$195,customers!$C$1:$C$195)</f>
        <v>45234</v>
      </c>
      <c r="H695" s="13" t="s">
        <v>1052</v>
      </c>
      <c r="I695">
        <v>1</v>
      </c>
      <c r="J695">
        <v>27.37</v>
      </c>
      <c r="K695">
        <v>24.09</v>
      </c>
      <c r="L695">
        <f>_xlfn.XLOOKUP(F695,Products!$A$2:$A$51,Products!$D$2:$D$51,0)</f>
        <v>27.37</v>
      </c>
      <c r="M695">
        <f t="shared" si="10"/>
        <v>3.28</v>
      </c>
    </row>
    <row r="696" spans="1:13">
      <c r="A696" t="s">
        <v>1054</v>
      </c>
      <c r="B696" t="s">
        <v>17</v>
      </c>
      <c r="C696" t="str">
        <f>_xlfn.XLOOKUP(F696,Products!$A$2:$A$51,Products!$C$2:$C$51,0)</f>
        <v>Consumables</v>
      </c>
      <c r="D696" t="str">
        <f>_xlfn.XLOOKUP(F696,Products!$A$2:$A$51,Products!$B$2:$B$51,0)</f>
        <v>Single-Origin Ethiopian (250g)</v>
      </c>
      <c r="E696" t="str">
        <f>_xlfn.XLOOKUP(B696,customers!$A$2:$A$195,customers!$B$2:$B$195,,0)</f>
        <v>West</v>
      </c>
      <c r="F696">
        <v>1026</v>
      </c>
      <c r="G696" s="9">
        <f>_xlfn.XLOOKUP(B696,customers!$A$1:$A$195,customers!$C$1:$C$195)</f>
        <v>45041</v>
      </c>
      <c r="H696" s="13" t="s">
        <v>1055</v>
      </c>
      <c r="I696">
        <v>4</v>
      </c>
      <c r="J696">
        <v>77.96</v>
      </c>
      <c r="K696">
        <v>50.82</v>
      </c>
      <c r="L696">
        <f>_xlfn.XLOOKUP(F696,Products!$A$2:$A$51,Products!$D$2:$D$51,0)</f>
        <v>19.49</v>
      </c>
      <c r="M696">
        <f t="shared" si="10"/>
        <v>27.14</v>
      </c>
    </row>
    <row r="697" spans="1:13">
      <c r="A697" t="s">
        <v>1056</v>
      </c>
      <c r="B697" t="s">
        <v>145</v>
      </c>
      <c r="C697" t="str">
        <f>_xlfn.XLOOKUP(F697,Products!$A$2:$A$51,Products!$C$2:$C$51,0)</f>
        <v>Grinders &amp; Brewers</v>
      </c>
      <c r="D697" t="str">
        <f>_xlfn.XLOOKUP(F697,Products!$A$2:$A$51,Products!$B$2:$B$51,0)</f>
        <v>Automated Drip Brewer</v>
      </c>
      <c r="E697" t="str">
        <f>_xlfn.XLOOKUP(B697,customers!$A$2:$A$195,customers!$B$2:$B$195,,0)</f>
        <v>West</v>
      </c>
      <c r="F697">
        <v>1033</v>
      </c>
      <c r="G697" s="9">
        <f>_xlfn.XLOOKUP(B697,customers!$A$1:$A$195,customers!$C$1:$C$195)</f>
        <v>44982</v>
      </c>
      <c r="H697" s="13" t="s">
        <v>1055</v>
      </c>
      <c r="I697">
        <v>1</v>
      </c>
      <c r="J697">
        <v>235.76</v>
      </c>
      <c r="K697">
        <v>132.48</v>
      </c>
      <c r="L697">
        <f>_xlfn.XLOOKUP(F697,Products!$A$2:$A$51,Products!$D$2:$D$51,0)</f>
        <v>235.76</v>
      </c>
      <c r="M697">
        <f t="shared" si="10"/>
        <v>103.28</v>
      </c>
    </row>
    <row r="698" spans="1:13">
      <c r="A698" t="s">
        <v>1057</v>
      </c>
      <c r="B698" t="s">
        <v>37</v>
      </c>
      <c r="C698" t="str">
        <f>_xlfn.XLOOKUP(F698,Products!$A$2:$A$51,Products!$C$2:$C$51,0)</f>
        <v>Subscriptions</v>
      </c>
      <c r="D698" t="str">
        <f>_xlfn.XLOOKUP(F698,Products!$A$2:$A$51,Products!$B$2:$B$51,0)</f>
        <v>Bi-Weekly Sampler Box</v>
      </c>
      <c r="E698" t="str">
        <f>_xlfn.XLOOKUP(B698,customers!$A$2:$A$195,customers!$B$2:$B$195,,0)</f>
        <v>South</v>
      </c>
      <c r="F698">
        <v>1022</v>
      </c>
      <c r="G698" s="9">
        <f>_xlfn.XLOOKUP(B698,customers!$A$1:$A$195,customers!$C$1:$C$195)</f>
        <v>45059</v>
      </c>
      <c r="H698" s="13">
        <v>45665</v>
      </c>
      <c r="I698">
        <v>1</v>
      </c>
      <c r="J698">
        <v>88.77</v>
      </c>
      <c r="K698">
        <v>23.86</v>
      </c>
      <c r="L698">
        <f>_xlfn.XLOOKUP(F698,Products!$A$2:$A$51,Products!$D$2:$D$51,0)</f>
        <v>88.77</v>
      </c>
      <c r="M698">
        <f t="shared" si="10"/>
        <v>64.91</v>
      </c>
    </row>
    <row r="699" spans="1:13">
      <c r="A699" t="s">
        <v>1058</v>
      </c>
      <c r="B699" t="s">
        <v>175</v>
      </c>
      <c r="C699" t="str">
        <f>_xlfn.XLOOKUP(F699,Products!$A$2:$A$51,Products!$C$2:$C$51,0)</f>
        <v>Subscriptions</v>
      </c>
      <c r="D699" t="str">
        <f>_xlfn.XLOOKUP(F699,Products!$A$2:$A$51,Products!$B$2:$B$51,0)</f>
        <v>Bi-Weekly Sampler Box</v>
      </c>
      <c r="E699" t="str">
        <f>_xlfn.XLOOKUP(B699,customers!$A$2:$A$195,customers!$B$2:$B$195,,0)</f>
        <v>West</v>
      </c>
      <c r="F699">
        <v>1022</v>
      </c>
      <c r="G699" s="9">
        <f>_xlfn.XLOOKUP(B699,customers!$A$1:$A$195,customers!$C$1:$C$195)</f>
        <v>44964</v>
      </c>
      <c r="H699" s="13">
        <v>45665</v>
      </c>
      <c r="I699">
        <v>3</v>
      </c>
      <c r="J699">
        <v>266.31</v>
      </c>
      <c r="K699">
        <v>71.58</v>
      </c>
      <c r="L699">
        <f>_xlfn.XLOOKUP(F699,Products!$A$2:$A$51,Products!$D$2:$D$51,0)</f>
        <v>88.77</v>
      </c>
      <c r="M699">
        <f t="shared" si="10"/>
        <v>194.73</v>
      </c>
    </row>
    <row r="700" spans="1:13">
      <c r="A700" t="s">
        <v>1059</v>
      </c>
      <c r="B700" t="s">
        <v>173</v>
      </c>
      <c r="C700" t="str">
        <f>_xlfn.XLOOKUP(F700,Products!$A$2:$A$51,Products!$C$2:$C$51,0)</f>
        <v>Merchandise</v>
      </c>
      <c r="D700" t="str">
        <f>_xlfn.XLOOKUP(F700,Products!$A$2:$A$51,Products!$B$2:$B$51,0)</f>
        <v>Branded Ceramic Mug (Large)</v>
      </c>
      <c r="E700" t="str">
        <f>_xlfn.XLOOKUP(B700,customers!$A$2:$A$195,customers!$B$2:$B$195,,0)</f>
        <v>West</v>
      </c>
      <c r="F700">
        <v>1041</v>
      </c>
      <c r="G700" s="9">
        <f>_xlfn.XLOOKUP(B700,customers!$A$1:$A$195,customers!$C$1:$C$195)</f>
        <v>45084</v>
      </c>
      <c r="H700" s="13">
        <v>45696</v>
      </c>
      <c r="I700">
        <v>3</v>
      </c>
      <c r="J700">
        <v>129.6</v>
      </c>
      <c r="K700">
        <v>93.32</v>
      </c>
      <c r="L700">
        <f>_xlfn.XLOOKUP(F700,Products!$A$2:$A$51,Products!$D$2:$D$51,0)</f>
        <v>43.2</v>
      </c>
      <c r="M700">
        <f t="shared" si="10"/>
        <v>36.28</v>
      </c>
    </row>
    <row r="701" spans="1:13">
      <c r="A701" t="s">
        <v>1060</v>
      </c>
      <c r="B701" t="s">
        <v>87</v>
      </c>
      <c r="C701" t="str">
        <f>_xlfn.XLOOKUP(F701,Products!$A$2:$A$51,Products!$C$2:$C$51,0)</f>
        <v>Grinders &amp; Brewers</v>
      </c>
      <c r="D701" t="str">
        <f>_xlfn.XLOOKUP(F701,Products!$A$2:$A$51,Products!$B$2:$B$51,0)</f>
        <v>Automated Drip Brewer</v>
      </c>
      <c r="E701" t="str">
        <f>_xlfn.XLOOKUP(B701,customers!$A$2:$A$195,customers!$B$2:$B$195,,0)</f>
        <v>South</v>
      </c>
      <c r="F701">
        <v>1033</v>
      </c>
      <c r="G701" s="9">
        <f>_xlfn.XLOOKUP(B701,customers!$A$1:$A$195,customers!$C$1:$C$195)</f>
        <v>45019</v>
      </c>
      <c r="H701" s="13">
        <v>45724</v>
      </c>
      <c r="I701">
        <v>3</v>
      </c>
      <c r="J701">
        <v>707.28</v>
      </c>
      <c r="K701">
        <v>397.45</v>
      </c>
      <c r="L701">
        <f>_xlfn.XLOOKUP(F701,Products!$A$2:$A$51,Products!$D$2:$D$51,0)</f>
        <v>235.76</v>
      </c>
      <c r="M701">
        <f t="shared" si="10"/>
        <v>309.83</v>
      </c>
    </row>
    <row r="702" spans="1:13">
      <c r="A702" t="s">
        <v>1061</v>
      </c>
      <c r="B702" t="s">
        <v>110</v>
      </c>
      <c r="C702" t="str">
        <f>_xlfn.XLOOKUP(F702,Products!$A$2:$A$51,Products!$C$2:$C$51,0)</f>
        <v>Merchandise</v>
      </c>
      <c r="D702" t="str">
        <f>_xlfn.XLOOKUP(F702,Products!$A$2:$A$51,Products!$B$2:$B$51,0)</f>
        <v>Insulated Travel Tumbler</v>
      </c>
      <c r="E702" t="str">
        <f>_xlfn.XLOOKUP(B702,customers!$A$2:$A$195,customers!$B$2:$B$195,,0)</f>
        <v>North</v>
      </c>
      <c r="F702">
        <v>1043</v>
      </c>
      <c r="G702" s="9">
        <f>_xlfn.XLOOKUP(B702,customers!$A$1:$A$195,customers!$C$1:$C$195)</f>
        <v>45090</v>
      </c>
      <c r="H702" s="13">
        <v>45724</v>
      </c>
      <c r="I702">
        <v>3</v>
      </c>
      <c r="J702">
        <v>129.84</v>
      </c>
      <c r="K702">
        <v>62.47</v>
      </c>
      <c r="L702">
        <f>_xlfn.XLOOKUP(F702,Products!$A$2:$A$51,Products!$D$2:$D$51,0)</f>
        <v>43.28</v>
      </c>
      <c r="M702">
        <f t="shared" si="10"/>
        <v>67.37</v>
      </c>
    </row>
    <row r="703" spans="1:13">
      <c r="A703" t="s">
        <v>1062</v>
      </c>
      <c r="B703" t="s">
        <v>152</v>
      </c>
      <c r="C703" t="str">
        <f>_xlfn.XLOOKUP(F703,Products!$A$2:$A$51,Products!$C$2:$C$51,0)</f>
        <v>Consumables</v>
      </c>
      <c r="D703" t="str">
        <f>_xlfn.XLOOKUP(F703,Products!$A$2:$A$51,Products!$B$2:$B$51,0)</f>
        <v>Cold Brew Concentrate</v>
      </c>
      <c r="E703" t="str">
        <f>_xlfn.XLOOKUP(B703,customers!$A$2:$A$195,customers!$B$2:$B$195,,0)</f>
        <v>East</v>
      </c>
      <c r="F703">
        <v>1029</v>
      </c>
      <c r="G703" s="9">
        <f>_xlfn.XLOOKUP(B703,customers!$A$1:$A$195,customers!$C$1:$C$195)</f>
        <v>44949</v>
      </c>
      <c r="H703" s="13">
        <v>45724</v>
      </c>
      <c r="I703">
        <v>1</v>
      </c>
      <c r="J703">
        <v>23.49</v>
      </c>
      <c r="K703">
        <v>10.09</v>
      </c>
      <c r="L703">
        <f>_xlfn.XLOOKUP(F703,Products!$A$2:$A$51,Products!$D$2:$D$51,0)</f>
        <v>23.49</v>
      </c>
      <c r="M703">
        <f t="shared" si="10"/>
        <v>13.4</v>
      </c>
    </row>
    <row r="704" spans="1:13">
      <c r="A704" t="s">
        <v>1063</v>
      </c>
      <c r="B704" t="s">
        <v>13</v>
      </c>
      <c r="C704" t="str">
        <f>_xlfn.XLOOKUP(F704,Products!$A$2:$A$51,Products!$C$2:$C$51,0)</f>
        <v>Accessories</v>
      </c>
      <c r="D704" t="str">
        <f>_xlfn.XLOOKUP(F704,Products!$A$2:$A$51,Products!$B$2:$B$51,0)</f>
        <v>Refillable Coffee Pods</v>
      </c>
      <c r="E704" t="str">
        <f>_xlfn.XLOOKUP(B704,customers!$A$2:$A$195,customers!$B$2:$B$195,,0)</f>
        <v>East</v>
      </c>
      <c r="F704">
        <v>1015</v>
      </c>
      <c r="G704" s="9">
        <f>_xlfn.XLOOKUP(B704,customers!$A$1:$A$195,customers!$C$1:$C$195)</f>
        <v>45214</v>
      </c>
      <c r="H704" s="13">
        <v>45755</v>
      </c>
      <c r="I704">
        <v>4</v>
      </c>
      <c r="J704">
        <v>96.52</v>
      </c>
      <c r="K704">
        <v>37.18</v>
      </c>
      <c r="L704">
        <f>_xlfn.XLOOKUP(F704,Products!$A$2:$A$51,Products!$D$2:$D$51,0)</f>
        <v>24.13</v>
      </c>
      <c r="M704">
        <f t="shared" si="10"/>
        <v>59.34</v>
      </c>
    </row>
    <row r="705" spans="1:13">
      <c r="A705" t="s">
        <v>1064</v>
      </c>
      <c r="B705" t="s">
        <v>18</v>
      </c>
      <c r="C705" t="str">
        <f>_xlfn.XLOOKUP(F705,Products!$A$2:$A$51,Products!$C$2:$C$51,0)</f>
        <v>Merchandise</v>
      </c>
      <c r="D705" t="str">
        <f>_xlfn.XLOOKUP(F705,Products!$A$2:$A$51,Products!$B$2:$B$51,0)</f>
        <v>Daily Grind T-Shirt</v>
      </c>
      <c r="E705" t="str">
        <f>_xlfn.XLOOKUP(B705,customers!$A$2:$A$195,customers!$B$2:$B$195,,0)</f>
        <v>East</v>
      </c>
      <c r="F705">
        <v>1044</v>
      </c>
      <c r="G705" s="9">
        <f>_xlfn.XLOOKUP(B705,customers!$A$1:$A$195,customers!$C$1:$C$195)</f>
        <v>45159</v>
      </c>
      <c r="H705" s="13">
        <v>45755</v>
      </c>
      <c r="I705">
        <v>4</v>
      </c>
      <c r="J705">
        <v>85.48</v>
      </c>
      <c r="K705">
        <v>33.04</v>
      </c>
      <c r="L705">
        <f>_xlfn.XLOOKUP(F705,Products!$A$2:$A$51,Products!$D$2:$D$51,0)</f>
        <v>21.37</v>
      </c>
      <c r="M705">
        <f t="shared" si="10"/>
        <v>52.44</v>
      </c>
    </row>
    <row r="706" spans="1:13">
      <c r="A706" t="s">
        <v>1065</v>
      </c>
      <c r="B706" t="s">
        <v>22</v>
      </c>
      <c r="C706" t="str">
        <f>_xlfn.XLOOKUP(F706,Products!$A$2:$A$51,Products!$C$2:$C$51,0)</f>
        <v>Subscriptions</v>
      </c>
      <c r="D706" t="str">
        <f>_xlfn.XLOOKUP(F706,Products!$A$2:$A$51,Products!$B$2:$B$51,0)</f>
        <v>Subscription Renewal Service</v>
      </c>
      <c r="E706" t="str">
        <f>_xlfn.XLOOKUP(B706,customers!$A$2:$A$195,customers!$B$2:$B$195,,0)</f>
        <v>West</v>
      </c>
      <c r="F706">
        <v>1050</v>
      </c>
      <c r="G706" s="9">
        <f>_xlfn.XLOOKUP(B706,customers!$A$1:$A$195,customers!$C$1:$C$195)</f>
        <v>45010</v>
      </c>
      <c r="H706" s="13">
        <v>45755</v>
      </c>
      <c r="I706">
        <v>1</v>
      </c>
      <c r="J706">
        <v>73.41</v>
      </c>
      <c r="K706">
        <v>27.29</v>
      </c>
      <c r="L706">
        <f>_xlfn.XLOOKUP(F706,Products!$A$2:$A$51,Products!$D$2:$D$51,0)</f>
        <v>73.41</v>
      </c>
      <c r="M706">
        <f t="shared" si="10"/>
        <v>46.12</v>
      </c>
    </row>
    <row r="707" spans="1:13">
      <c r="A707" t="s">
        <v>1066</v>
      </c>
      <c r="B707" t="s">
        <v>44</v>
      </c>
      <c r="C707" t="str">
        <f>_xlfn.XLOOKUP(F707,Products!$A$2:$A$51,Products!$C$2:$C$51,0)</f>
        <v>Subscriptions</v>
      </c>
      <c r="D707" t="str">
        <f>_xlfn.XLOOKUP(F707,Products!$A$2:$A$51,Products!$B$2:$B$51,0)</f>
        <v>Bi-Weekly Sampler Box</v>
      </c>
      <c r="E707" t="str">
        <f>_xlfn.XLOOKUP(B707,customers!$A$2:$A$195,customers!$B$2:$B$195,,0)</f>
        <v>East</v>
      </c>
      <c r="F707">
        <v>1047</v>
      </c>
      <c r="G707" s="9">
        <f>_xlfn.XLOOKUP(B707,customers!$A$1:$A$195,customers!$C$1:$C$195)</f>
        <v>45171</v>
      </c>
      <c r="H707" s="13">
        <v>45755</v>
      </c>
      <c r="I707">
        <v>3</v>
      </c>
      <c r="J707">
        <v>266.31</v>
      </c>
      <c r="K707">
        <v>71.58</v>
      </c>
      <c r="L707">
        <f>_xlfn.XLOOKUP(F707,Products!$A$2:$A$51,Products!$D$2:$D$51,0)</f>
        <v>88.77</v>
      </c>
      <c r="M707">
        <f t="shared" ref="M707:M770" si="11">J707-K707</f>
        <v>194.73</v>
      </c>
    </row>
    <row r="708" spans="1:13">
      <c r="A708" t="s">
        <v>1067</v>
      </c>
      <c r="B708" t="s">
        <v>48</v>
      </c>
      <c r="C708" t="str">
        <f>_xlfn.XLOOKUP(F708,Products!$A$2:$A$51,Products!$C$2:$C$51,0)</f>
        <v>Accessories</v>
      </c>
      <c r="D708" t="str">
        <f>_xlfn.XLOOKUP(F708,Products!$A$2:$A$51,Products!$B$2:$B$51,0)</f>
        <v>Refillable Coffee Pods</v>
      </c>
      <c r="E708" t="str">
        <f>_xlfn.XLOOKUP(B708,customers!$A$2:$A$195,customers!$B$2:$B$195,,0)</f>
        <v>West</v>
      </c>
      <c r="F708">
        <v>1015</v>
      </c>
      <c r="G708" s="9">
        <f>_xlfn.XLOOKUP(B708,customers!$A$1:$A$195,customers!$C$1:$C$195)</f>
        <v>45161</v>
      </c>
      <c r="H708" s="13">
        <v>45755</v>
      </c>
      <c r="I708">
        <v>1</v>
      </c>
      <c r="J708">
        <v>24.13</v>
      </c>
      <c r="K708">
        <v>9.3</v>
      </c>
      <c r="L708">
        <f>_xlfn.XLOOKUP(F708,Products!$A$2:$A$51,Products!$D$2:$D$51,0)</f>
        <v>24.13</v>
      </c>
      <c r="M708">
        <f t="shared" si="11"/>
        <v>14.83</v>
      </c>
    </row>
    <row r="709" spans="1:13">
      <c r="A709" t="s">
        <v>1068</v>
      </c>
      <c r="B709" t="s">
        <v>153</v>
      </c>
      <c r="C709" t="str">
        <f>_xlfn.XLOOKUP(F709,Products!$A$2:$A$51,Products!$C$2:$C$51,0)</f>
        <v>Consumables</v>
      </c>
      <c r="D709" t="str">
        <f>_xlfn.XLOOKUP(F709,Products!$A$2:$A$51,Products!$B$2:$B$51,0)</f>
        <v>Espresso Bean Sampler Pack</v>
      </c>
      <c r="E709" t="str">
        <f>_xlfn.XLOOKUP(B709,customers!$A$2:$A$195,customers!$B$2:$B$195,,0)</f>
        <v>East</v>
      </c>
      <c r="F709">
        <v>1030</v>
      </c>
      <c r="G709" s="9">
        <f>_xlfn.XLOOKUP(B709,customers!$A$1:$A$195,customers!$C$1:$C$195)</f>
        <v>44999</v>
      </c>
      <c r="H709" s="13">
        <v>45755</v>
      </c>
      <c r="I709">
        <v>2</v>
      </c>
      <c r="J709">
        <v>38.12</v>
      </c>
      <c r="K709">
        <v>23.94</v>
      </c>
      <c r="L709">
        <f>_xlfn.XLOOKUP(F709,Products!$A$2:$A$51,Products!$D$2:$D$51,0)</f>
        <v>19.06</v>
      </c>
      <c r="M709">
        <f t="shared" si="11"/>
        <v>14.18</v>
      </c>
    </row>
    <row r="710" spans="1:13">
      <c r="A710" t="s">
        <v>1069</v>
      </c>
      <c r="B710" t="s">
        <v>109</v>
      </c>
      <c r="C710" t="str">
        <f>_xlfn.XLOOKUP(F710,Products!$A$2:$A$51,Products!$C$2:$C$51,0)</f>
        <v>Subscriptions</v>
      </c>
      <c r="D710" t="str">
        <f>_xlfn.XLOOKUP(F710,Products!$A$2:$A$51,Products!$B$2:$B$51,0)</f>
        <v>Subscription Renewal Service</v>
      </c>
      <c r="E710" t="str">
        <f>_xlfn.XLOOKUP(B710,customers!$A$2:$A$195,customers!$B$2:$B$195,,0)</f>
        <v>North</v>
      </c>
      <c r="F710">
        <v>1025</v>
      </c>
      <c r="G710" s="9">
        <f>_xlfn.XLOOKUP(B710,customers!$A$1:$A$195,customers!$C$1:$C$195)</f>
        <v>45129</v>
      </c>
      <c r="H710" s="13">
        <v>45785</v>
      </c>
      <c r="I710">
        <v>4</v>
      </c>
      <c r="J710">
        <v>293.64</v>
      </c>
      <c r="K710">
        <v>109.16</v>
      </c>
      <c r="L710">
        <f>_xlfn.XLOOKUP(F710,Products!$A$2:$A$51,Products!$D$2:$D$51,0)</f>
        <v>73.41</v>
      </c>
      <c r="M710">
        <f t="shared" si="11"/>
        <v>184.48</v>
      </c>
    </row>
    <row r="711" spans="1:13">
      <c r="A711" t="s">
        <v>1070</v>
      </c>
      <c r="B711" t="s">
        <v>152</v>
      </c>
      <c r="C711" t="str">
        <f>_xlfn.XLOOKUP(F711,Products!$A$2:$A$51,Products!$C$2:$C$51,0)</f>
        <v>Merchandise</v>
      </c>
      <c r="D711" t="str">
        <f>_xlfn.XLOOKUP(F711,Products!$A$2:$A$51,Products!$B$2:$B$51,0)</f>
        <v>Branded Ceramic Mug (Large)</v>
      </c>
      <c r="E711" t="str">
        <f>_xlfn.XLOOKUP(B711,customers!$A$2:$A$195,customers!$B$2:$B$195,,0)</f>
        <v>East</v>
      </c>
      <c r="F711">
        <v>1041</v>
      </c>
      <c r="G711" s="9">
        <f>_xlfn.XLOOKUP(B711,customers!$A$1:$A$195,customers!$C$1:$C$195)</f>
        <v>44949</v>
      </c>
      <c r="H711" s="13">
        <v>45785</v>
      </c>
      <c r="I711">
        <v>2</v>
      </c>
      <c r="J711">
        <v>86.4</v>
      </c>
      <c r="K711">
        <v>62.22</v>
      </c>
      <c r="L711">
        <f>_xlfn.XLOOKUP(F711,Products!$A$2:$A$51,Products!$D$2:$D$51,0)</f>
        <v>43.2</v>
      </c>
      <c r="M711">
        <f t="shared" si="11"/>
        <v>24.18</v>
      </c>
    </row>
    <row r="712" spans="1:13">
      <c r="A712" t="s">
        <v>1071</v>
      </c>
      <c r="B712" t="s">
        <v>67</v>
      </c>
      <c r="C712" t="str">
        <f>_xlfn.XLOOKUP(F712,Products!$A$2:$A$51,Products!$C$2:$C$51,0)</f>
        <v>Merchandise</v>
      </c>
      <c r="D712" t="str">
        <f>_xlfn.XLOOKUP(F712,Products!$A$2:$A$51,Products!$B$2:$B$51,0)</f>
        <v>Insulated Travel Tumbler</v>
      </c>
      <c r="E712" t="str">
        <f>_xlfn.XLOOKUP(B712,customers!$A$2:$A$195,customers!$B$2:$B$195,,0)</f>
        <v>East</v>
      </c>
      <c r="F712">
        <v>1018</v>
      </c>
      <c r="G712" s="9">
        <f>_xlfn.XLOOKUP(B712,customers!$A$1:$A$195,customers!$C$1:$C$195)</f>
        <v>45272</v>
      </c>
      <c r="H712" s="13">
        <v>45816</v>
      </c>
      <c r="I712">
        <v>3</v>
      </c>
      <c r="J712">
        <v>129.84</v>
      </c>
      <c r="K712">
        <v>62.47</v>
      </c>
      <c r="L712">
        <f>_xlfn.XLOOKUP(F712,Products!$A$2:$A$51,Products!$D$2:$D$51,0)</f>
        <v>43.28</v>
      </c>
      <c r="M712">
        <f t="shared" si="11"/>
        <v>67.37</v>
      </c>
    </row>
    <row r="713" spans="1:13">
      <c r="A713" t="s">
        <v>1072</v>
      </c>
      <c r="B713" t="s">
        <v>117</v>
      </c>
      <c r="C713" t="str">
        <f>_xlfn.XLOOKUP(F713,Products!$A$2:$A$51,Products!$C$2:$C$51,0)</f>
        <v>Merchandise</v>
      </c>
      <c r="D713" t="str">
        <f>_xlfn.XLOOKUP(F713,Products!$A$2:$A$51,Products!$B$2:$B$51,0)</f>
        <v>Minimalist Keychain</v>
      </c>
      <c r="E713" t="str">
        <f>_xlfn.XLOOKUP(B713,customers!$A$2:$A$195,customers!$B$2:$B$195,,0)</f>
        <v>East</v>
      </c>
      <c r="F713">
        <v>1020</v>
      </c>
      <c r="G713" s="9">
        <f>_xlfn.XLOOKUP(B713,customers!$A$1:$A$195,customers!$C$1:$C$195)</f>
        <v>45139</v>
      </c>
      <c r="H713" s="13">
        <v>45816</v>
      </c>
      <c r="I713">
        <v>3</v>
      </c>
      <c r="J713">
        <v>82.11</v>
      </c>
      <c r="K713">
        <v>72.27</v>
      </c>
      <c r="L713">
        <f>_xlfn.XLOOKUP(F713,Products!$A$2:$A$51,Products!$D$2:$D$51,0)</f>
        <v>27.37</v>
      </c>
      <c r="M713">
        <f t="shared" si="11"/>
        <v>9.84</v>
      </c>
    </row>
    <row r="714" spans="1:13">
      <c r="A714" t="s">
        <v>1073</v>
      </c>
      <c r="B714" t="s">
        <v>161</v>
      </c>
      <c r="C714" t="str">
        <f>_xlfn.XLOOKUP(F714,Products!$A$2:$A$51,Products!$C$2:$C$51,0)</f>
        <v>Merchandise</v>
      </c>
      <c r="D714" t="str">
        <f>_xlfn.XLOOKUP(F714,Products!$A$2:$A$51,Products!$B$2:$B$51,0)</f>
        <v>Insulated Travel Tumbler</v>
      </c>
      <c r="E714" t="str">
        <f>_xlfn.XLOOKUP(B714,customers!$A$2:$A$195,customers!$B$2:$B$195,,0)</f>
        <v>South</v>
      </c>
      <c r="F714">
        <v>1018</v>
      </c>
      <c r="G714" s="9">
        <f>_xlfn.XLOOKUP(B714,customers!$A$1:$A$195,customers!$C$1:$C$195)</f>
        <v>45203</v>
      </c>
      <c r="H714" s="13">
        <v>45816</v>
      </c>
      <c r="I714">
        <v>4</v>
      </c>
      <c r="J714">
        <v>173.12</v>
      </c>
      <c r="K714">
        <v>83.29</v>
      </c>
      <c r="L714">
        <f>_xlfn.XLOOKUP(F714,Products!$A$2:$A$51,Products!$D$2:$D$51,0)</f>
        <v>43.28</v>
      </c>
      <c r="M714">
        <f t="shared" si="11"/>
        <v>89.83</v>
      </c>
    </row>
    <row r="715" spans="1:13">
      <c r="A715" t="s">
        <v>1074</v>
      </c>
      <c r="B715" t="s">
        <v>165</v>
      </c>
      <c r="C715" t="str">
        <f>_xlfn.XLOOKUP(F715,Products!$A$2:$A$51,Products!$C$2:$C$51,0)</f>
        <v>Grinders &amp; Brewers</v>
      </c>
      <c r="D715" t="str">
        <f>_xlfn.XLOOKUP(F715,Products!$A$2:$A$51,Products!$B$2:$B$51,0)</f>
        <v>Automated Drip Brewer</v>
      </c>
      <c r="E715" t="str">
        <f>_xlfn.XLOOKUP(B715,customers!$A$2:$A$195,customers!$B$2:$B$195,,0)</f>
        <v>West</v>
      </c>
      <c r="F715">
        <v>1033</v>
      </c>
      <c r="G715" s="9">
        <f>_xlfn.XLOOKUP(B715,customers!$A$1:$A$195,customers!$C$1:$C$195)</f>
        <v>45132</v>
      </c>
      <c r="H715" s="13">
        <v>45816</v>
      </c>
      <c r="I715">
        <v>2</v>
      </c>
      <c r="J715">
        <v>471.52</v>
      </c>
      <c r="K715">
        <v>264.97</v>
      </c>
      <c r="L715">
        <f>_xlfn.XLOOKUP(F715,Products!$A$2:$A$51,Products!$D$2:$D$51,0)</f>
        <v>235.76</v>
      </c>
      <c r="M715">
        <f t="shared" si="11"/>
        <v>206.55</v>
      </c>
    </row>
    <row r="716" spans="1:13">
      <c r="A716" t="s">
        <v>1075</v>
      </c>
      <c r="B716" t="s">
        <v>185</v>
      </c>
      <c r="C716" t="str">
        <f>_xlfn.XLOOKUP(F716,Products!$A$2:$A$51,Products!$C$2:$C$51,0)</f>
        <v>Merchandise</v>
      </c>
      <c r="D716" t="str">
        <f>_xlfn.XLOOKUP(F716,Products!$A$2:$A$51,Products!$B$2:$B$51,0)</f>
        <v>Logo Hoodie (Black)</v>
      </c>
      <c r="E716" t="str">
        <f>_xlfn.XLOOKUP(B716,customers!$A$2:$A$195,customers!$B$2:$B$195,,0)</f>
        <v>South</v>
      </c>
      <c r="F716">
        <v>1042</v>
      </c>
      <c r="G716" s="9">
        <f>_xlfn.XLOOKUP(B716,customers!$A$1:$A$195,customers!$C$1:$C$195)</f>
        <v>45288</v>
      </c>
      <c r="H716" s="13">
        <v>45816</v>
      </c>
      <c r="I716">
        <v>1</v>
      </c>
      <c r="J716">
        <v>15.23</v>
      </c>
      <c r="K716">
        <v>13.4</v>
      </c>
      <c r="L716">
        <f>_xlfn.XLOOKUP(F716,Products!$A$2:$A$51,Products!$D$2:$D$51,0)</f>
        <v>15.23</v>
      </c>
      <c r="M716">
        <f t="shared" si="11"/>
        <v>1.83</v>
      </c>
    </row>
    <row r="717" spans="1:13">
      <c r="A717" t="s">
        <v>1076</v>
      </c>
      <c r="B717" t="s">
        <v>189</v>
      </c>
      <c r="C717" t="str">
        <f>_xlfn.XLOOKUP(F717,Products!$A$2:$A$51,Products!$C$2:$C$51,0)</f>
        <v>Subscriptions</v>
      </c>
      <c r="D717" t="str">
        <f>_xlfn.XLOOKUP(F717,Products!$A$2:$A$51,Products!$B$2:$B$51,0)</f>
        <v>Bi-Weekly Sampler Box</v>
      </c>
      <c r="E717" t="str">
        <f>_xlfn.XLOOKUP(B717,customers!$A$2:$A$195,customers!$B$2:$B$195,,0)</f>
        <v>East</v>
      </c>
      <c r="F717">
        <v>1047</v>
      </c>
      <c r="G717" s="9">
        <f>_xlfn.XLOOKUP(B717,customers!$A$1:$A$195,customers!$C$1:$C$195)</f>
        <v>45015</v>
      </c>
      <c r="H717" s="13">
        <v>45816</v>
      </c>
      <c r="I717">
        <v>2</v>
      </c>
      <c r="J717">
        <v>177.54</v>
      </c>
      <c r="K717">
        <v>47.72</v>
      </c>
      <c r="L717">
        <f>_xlfn.XLOOKUP(F717,Products!$A$2:$A$51,Products!$D$2:$D$51,0)</f>
        <v>88.77</v>
      </c>
      <c r="M717">
        <f t="shared" si="11"/>
        <v>129.82</v>
      </c>
    </row>
    <row r="718" spans="1:13">
      <c r="A718" t="s">
        <v>1077</v>
      </c>
      <c r="B718" t="s">
        <v>74</v>
      </c>
      <c r="C718" t="str">
        <f>_xlfn.XLOOKUP(F718,Products!$A$2:$A$51,Products!$C$2:$C$51,0)</f>
        <v>Merchandise</v>
      </c>
      <c r="D718" t="str">
        <f>_xlfn.XLOOKUP(F718,Products!$A$2:$A$51,Products!$B$2:$B$51,0)</f>
        <v>Insulated Travel Tumbler</v>
      </c>
      <c r="E718" t="str">
        <f>_xlfn.XLOOKUP(B718,customers!$A$2:$A$195,customers!$B$2:$B$195,,0)</f>
        <v>East</v>
      </c>
      <c r="F718">
        <v>1018</v>
      </c>
      <c r="G718" s="9">
        <f>_xlfn.XLOOKUP(B718,customers!$A$1:$A$195,customers!$C$1:$C$195)</f>
        <v>45103</v>
      </c>
      <c r="H718" s="13">
        <v>45846</v>
      </c>
      <c r="I718">
        <v>3</v>
      </c>
      <c r="J718">
        <v>129.84</v>
      </c>
      <c r="K718">
        <v>62.47</v>
      </c>
      <c r="L718">
        <f>_xlfn.XLOOKUP(F718,Products!$A$2:$A$51,Products!$D$2:$D$51,0)</f>
        <v>43.28</v>
      </c>
      <c r="M718">
        <f t="shared" si="11"/>
        <v>67.37</v>
      </c>
    </row>
    <row r="719" spans="1:13">
      <c r="A719" t="s">
        <v>1078</v>
      </c>
      <c r="B719" t="s">
        <v>107</v>
      </c>
      <c r="C719" t="str">
        <f>_xlfn.XLOOKUP(F719,Products!$A$2:$A$51,Products!$C$2:$C$51,0)</f>
        <v>Accessories</v>
      </c>
      <c r="D719" t="str">
        <f>_xlfn.XLOOKUP(F719,Products!$A$2:$A$51,Products!$B$2:$B$51,0)</f>
        <v>Chemex Filters (100 pack)</v>
      </c>
      <c r="E719" t="str">
        <f>_xlfn.XLOOKUP(B719,customers!$A$2:$A$195,customers!$B$2:$B$195,,0)</f>
        <v>North</v>
      </c>
      <c r="F719">
        <v>1039</v>
      </c>
      <c r="G719" s="9">
        <f>_xlfn.XLOOKUP(B719,customers!$A$1:$A$195,customers!$C$1:$C$195)</f>
        <v>45039</v>
      </c>
      <c r="H719" s="13">
        <v>45877</v>
      </c>
      <c r="I719">
        <v>4</v>
      </c>
      <c r="J719">
        <v>96.4</v>
      </c>
      <c r="K719">
        <v>84.83</v>
      </c>
      <c r="L719">
        <f>_xlfn.XLOOKUP(F719,Products!$A$2:$A$51,Products!$D$2:$D$51,0)</f>
        <v>24.1</v>
      </c>
      <c r="M719">
        <f t="shared" si="11"/>
        <v>11.57</v>
      </c>
    </row>
    <row r="720" spans="1:13">
      <c r="A720" t="s">
        <v>1079</v>
      </c>
      <c r="B720" t="s">
        <v>182</v>
      </c>
      <c r="C720" t="str">
        <f>_xlfn.XLOOKUP(F720,Products!$A$2:$A$51,Products!$C$2:$C$51,0)</f>
        <v>Merchandise</v>
      </c>
      <c r="D720" t="str">
        <f>_xlfn.XLOOKUP(F720,Products!$A$2:$A$51,Products!$B$2:$B$51,0)</f>
        <v>Branded Ceramic Mug (Large)</v>
      </c>
      <c r="E720" t="str">
        <f>_xlfn.XLOOKUP(B720,customers!$A$2:$A$195,customers!$B$2:$B$195,,0)</f>
        <v>East</v>
      </c>
      <c r="F720">
        <v>1041</v>
      </c>
      <c r="G720" s="9">
        <f>_xlfn.XLOOKUP(B720,customers!$A$1:$A$195,customers!$C$1:$C$195)</f>
        <v>44998</v>
      </c>
      <c r="H720" s="13">
        <v>45877</v>
      </c>
      <c r="I720">
        <v>2</v>
      </c>
      <c r="J720">
        <v>86.4</v>
      </c>
      <c r="K720">
        <v>62.22</v>
      </c>
      <c r="L720">
        <f>_xlfn.XLOOKUP(F720,Products!$A$2:$A$51,Products!$D$2:$D$51,0)</f>
        <v>43.2</v>
      </c>
      <c r="M720">
        <f t="shared" si="11"/>
        <v>24.18</v>
      </c>
    </row>
    <row r="721" spans="1:13">
      <c r="A721" t="s">
        <v>1080</v>
      </c>
      <c r="B721" t="s">
        <v>45</v>
      </c>
      <c r="C721" t="str">
        <f>_xlfn.XLOOKUP(F721,Products!$A$2:$A$51,Products!$C$2:$C$51,0)</f>
        <v>Subscriptions</v>
      </c>
      <c r="D721" t="str">
        <f>_xlfn.XLOOKUP(F721,Products!$A$2:$A$51,Products!$B$2:$B$51,0)</f>
        <v>Monthly Dark Roast Subscription</v>
      </c>
      <c r="E721" t="str">
        <f>_xlfn.XLOOKUP(B721,customers!$A$2:$A$195,customers!$B$2:$B$195,,0)</f>
        <v>West</v>
      </c>
      <c r="F721">
        <v>1021</v>
      </c>
      <c r="G721" s="9">
        <f>_xlfn.XLOOKUP(B721,customers!$A$1:$A$195,customers!$C$1:$C$195)</f>
        <v>45006</v>
      </c>
      <c r="H721" s="13">
        <v>45908</v>
      </c>
      <c r="I721">
        <v>4</v>
      </c>
      <c r="J721">
        <v>245.04</v>
      </c>
      <c r="K721">
        <v>140.58</v>
      </c>
      <c r="L721">
        <f>_xlfn.XLOOKUP(F721,Products!$A$2:$A$51,Products!$D$2:$D$51,0)</f>
        <v>61.26</v>
      </c>
      <c r="M721">
        <f t="shared" si="11"/>
        <v>104.46</v>
      </c>
    </row>
    <row r="722" spans="1:13">
      <c r="A722" t="s">
        <v>1081</v>
      </c>
      <c r="B722" t="s">
        <v>77</v>
      </c>
      <c r="C722" t="str">
        <f>_xlfn.XLOOKUP(F722,Products!$A$2:$A$51,Products!$C$2:$C$51,0)</f>
        <v>Merchandise</v>
      </c>
      <c r="D722" t="str">
        <f>_xlfn.XLOOKUP(F722,Products!$A$2:$A$51,Products!$B$2:$B$51,0)</f>
        <v>Insulated Travel Tumbler</v>
      </c>
      <c r="E722" t="str">
        <f>_xlfn.XLOOKUP(B722,customers!$A$2:$A$195,customers!$B$2:$B$195,,0)</f>
        <v>West</v>
      </c>
      <c r="F722">
        <v>1043</v>
      </c>
      <c r="G722" s="9">
        <f>_xlfn.XLOOKUP(B722,customers!$A$1:$A$195,customers!$C$1:$C$195)</f>
        <v>44964</v>
      </c>
      <c r="H722" s="13">
        <v>45908</v>
      </c>
      <c r="I722">
        <v>4</v>
      </c>
      <c r="J722">
        <v>173.12</v>
      </c>
      <c r="K722">
        <v>83.29</v>
      </c>
      <c r="L722">
        <f>_xlfn.XLOOKUP(F722,Products!$A$2:$A$51,Products!$D$2:$D$51,0)</f>
        <v>43.28</v>
      </c>
      <c r="M722">
        <f t="shared" si="11"/>
        <v>89.83</v>
      </c>
    </row>
    <row r="723" spans="1:13">
      <c r="A723" t="s">
        <v>1082</v>
      </c>
      <c r="B723" t="s">
        <v>27</v>
      </c>
      <c r="C723" t="str">
        <f>_xlfn.XLOOKUP(F723,Products!$A$2:$A$51,Products!$C$2:$C$51,0)</f>
        <v>Grinders &amp; Brewers</v>
      </c>
      <c r="D723" t="str">
        <f>_xlfn.XLOOKUP(F723,Products!$A$2:$A$51,Products!$B$2:$B$51,0)</f>
        <v>High-Capacity French Press</v>
      </c>
      <c r="E723" t="str">
        <f>_xlfn.XLOOKUP(B723,customers!$A$2:$A$195,customers!$B$2:$B$195,,0)</f>
        <v>West</v>
      </c>
      <c r="F723">
        <v>1009</v>
      </c>
      <c r="G723" s="9">
        <f>_xlfn.XLOOKUP(B723,customers!$A$1:$A$195,customers!$C$1:$C$195)</f>
        <v>45093</v>
      </c>
      <c r="H723" s="13">
        <v>45938</v>
      </c>
      <c r="I723">
        <v>4</v>
      </c>
      <c r="J723">
        <v>1353.44</v>
      </c>
      <c r="K723">
        <v>592.68</v>
      </c>
      <c r="L723">
        <f>_xlfn.XLOOKUP(F723,Products!$A$2:$A$51,Products!$D$2:$D$51,0)</f>
        <v>338.36</v>
      </c>
      <c r="M723">
        <f t="shared" si="11"/>
        <v>760.76</v>
      </c>
    </row>
    <row r="724" spans="1:13">
      <c r="A724" t="s">
        <v>1083</v>
      </c>
      <c r="B724" t="s">
        <v>129</v>
      </c>
      <c r="C724" t="str">
        <f>_xlfn.XLOOKUP(F724,Products!$A$2:$A$51,Products!$C$2:$C$51,0)</f>
        <v>Subscriptions</v>
      </c>
      <c r="D724" t="str">
        <f>_xlfn.XLOOKUP(F724,Products!$A$2:$A$51,Products!$B$2:$B$51,0)</f>
        <v>Monthly Dark Roast Subscription</v>
      </c>
      <c r="E724" t="str">
        <f>_xlfn.XLOOKUP(B724,customers!$A$2:$A$195,customers!$B$2:$B$195,,0)</f>
        <v>East</v>
      </c>
      <c r="F724">
        <v>1021</v>
      </c>
      <c r="G724" s="9">
        <f>_xlfn.XLOOKUP(B724,customers!$A$1:$A$195,customers!$C$1:$C$195)</f>
        <v>45151</v>
      </c>
      <c r="H724" s="13">
        <v>45969</v>
      </c>
      <c r="I724">
        <v>3</v>
      </c>
      <c r="J724">
        <v>183.78</v>
      </c>
      <c r="K724">
        <v>105.44</v>
      </c>
      <c r="L724">
        <f>_xlfn.XLOOKUP(F724,Products!$A$2:$A$51,Products!$D$2:$D$51,0)</f>
        <v>61.26</v>
      </c>
      <c r="M724">
        <f t="shared" si="11"/>
        <v>78.34</v>
      </c>
    </row>
    <row r="725" spans="1:13">
      <c r="A725" t="s">
        <v>1084</v>
      </c>
      <c r="B725" t="s">
        <v>161</v>
      </c>
      <c r="C725" t="str">
        <f>_xlfn.XLOOKUP(F725,Products!$A$2:$A$51,Products!$C$2:$C$51,0)</f>
        <v>Subscriptions</v>
      </c>
      <c r="D725" t="str">
        <f>_xlfn.XLOOKUP(F725,Products!$A$2:$A$51,Products!$B$2:$B$51,0)</f>
        <v>Three-Month Gift Subscription</v>
      </c>
      <c r="E725" t="str">
        <f>_xlfn.XLOOKUP(B725,customers!$A$2:$A$195,customers!$B$2:$B$195,,0)</f>
        <v>South</v>
      </c>
      <c r="F725">
        <v>1023</v>
      </c>
      <c r="G725" s="9">
        <f>_xlfn.XLOOKUP(B725,customers!$A$1:$A$195,customers!$C$1:$C$195)</f>
        <v>45203</v>
      </c>
      <c r="H725" s="13">
        <v>45969</v>
      </c>
      <c r="I725">
        <v>3</v>
      </c>
      <c r="J725">
        <v>195.63</v>
      </c>
      <c r="K725">
        <v>82.83</v>
      </c>
      <c r="L725">
        <f>_xlfn.XLOOKUP(F725,Products!$A$2:$A$51,Products!$D$2:$D$51,0)</f>
        <v>65.21</v>
      </c>
      <c r="M725">
        <f t="shared" si="11"/>
        <v>112.8</v>
      </c>
    </row>
    <row r="726" spans="1:13">
      <c r="A726" t="s">
        <v>1085</v>
      </c>
      <c r="B726" t="s">
        <v>193</v>
      </c>
      <c r="C726" t="str">
        <f>_xlfn.XLOOKUP(F726,Products!$A$2:$A$51,Products!$C$2:$C$51,0)</f>
        <v>Grinders &amp; Brewers</v>
      </c>
      <c r="D726" t="str">
        <f>_xlfn.XLOOKUP(F726,Products!$A$2:$A$51,Products!$B$2:$B$51,0)</f>
        <v>High-Capacity French Press</v>
      </c>
      <c r="E726" t="str">
        <f>_xlfn.XLOOKUP(B726,customers!$A$2:$A$195,customers!$B$2:$B$195,,0)</f>
        <v>East</v>
      </c>
      <c r="F726">
        <v>1009</v>
      </c>
      <c r="G726" s="9">
        <f>_xlfn.XLOOKUP(B726,customers!$A$1:$A$195,customers!$C$1:$C$195)</f>
        <v>45255</v>
      </c>
      <c r="H726" s="13">
        <v>45969</v>
      </c>
      <c r="I726">
        <v>1</v>
      </c>
      <c r="J726">
        <v>338.36</v>
      </c>
      <c r="K726">
        <v>148.17</v>
      </c>
      <c r="L726">
        <f>_xlfn.XLOOKUP(F726,Products!$A$2:$A$51,Products!$D$2:$D$51,0)</f>
        <v>338.36</v>
      </c>
      <c r="M726">
        <f t="shared" si="11"/>
        <v>190.19</v>
      </c>
    </row>
    <row r="727" spans="1:13">
      <c r="A727" t="s">
        <v>1086</v>
      </c>
      <c r="B727" t="s">
        <v>197</v>
      </c>
      <c r="C727" t="str">
        <f>_xlfn.XLOOKUP(F727,Products!$A$2:$A$51,Products!$C$2:$C$51,0)</f>
        <v>Consumables</v>
      </c>
      <c r="D727" t="str">
        <f>_xlfn.XLOOKUP(F727,Products!$A$2:$A$51,Products!$B$2:$B$51,0)</f>
        <v>Cold Brew Concentrate</v>
      </c>
      <c r="E727" t="str">
        <f>_xlfn.XLOOKUP(B727,customers!$A$2:$A$195,customers!$B$2:$B$195,,0)</f>
        <v>East</v>
      </c>
      <c r="F727">
        <v>1029</v>
      </c>
      <c r="G727" s="9">
        <f>_xlfn.XLOOKUP(B727,customers!$A$1:$A$195,customers!$C$1:$C$195)</f>
        <v>45251</v>
      </c>
      <c r="H727" s="13">
        <v>45969</v>
      </c>
      <c r="I727">
        <v>4</v>
      </c>
      <c r="J727">
        <v>93.96</v>
      </c>
      <c r="K727">
        <v>40.35</v>
      </c>
      <c r="L727">
        <f>_xlfn.XLOOKUP(F727,Products!$A$2:$A$51,Products!$D$2:$D$51,0)</f>
        <v>23.49</v>
      </c>
      <c r="M727">
        <f t="shared" si="11"/>
        <v>53.61</v>
      </c>
    </row>
    <row r="728" spans="1:13">
      <c r="A728" t="s">
        <v>1087</v>
      </c>
      <c r="B728" t="s">
        <v>39</v>
      </c>
      <c r="C728" t="str">
        <f>_xlfn.XLOOKUP(F728,Products!$A$2:$A$51,Products!$C$2:$C$51,0)</f>
        <v>Consumables</v>
      </c>
      <c r="D728" t="str">
        <f>_xlfn.XLOOKUP(F728,Products!$A$2:$A$51,Products!$B$2:$B$51,0)</f>
        <v>Single-Origin Ethiopian (250g)</v>
      </c>
      <c r="E728" t="str">
        <f>_xlfn.XLOOKUP(B728,customers!$A$2:$A$195,customers!$B$2:$B$195,,0)</f>
        <v>North</v>
      </c>
      <c r="F728">
        <v>1026</v>
      </c>
      <c r="G728" s="9">
        <f>_xlfn.XLOOKUP(B728,customers!$A$1:$A$195,customers!$C$1:$C$195)</f>
        <v>45037</v>
      </c>
      <c r="H728" s="13">
        <v>45999</v>
      </c>
      <c r="I728">
        <v>2</v>
      </c>
      <c r="J728">
        <v>38.98</v>
      </c>
      <c r="K728">
        <v>25.41</v>
      </c>
      <c r="L728">
        <f>_xlfn.XLOOKUP(F728,Products!$A$2:$A$51,Products!$D$2:$D$51,0)</f>
        <v>19.49</v>
      </c>
      <c r="M728">
        <f t="shared" si="11"/>
        <v>13.57</v>
      </c>
    </row>
    <row r="729" spans="1:13">
      <c r="A729" t="s">
        <v>1088</v>
      </c>
      <c r="B729" t="s">
        <v>39</v>
      </c>
      <c r="C729" t="str">
        <f>_xlfn.XLOOKUP(F729,Products!$A$2:$A$51,Products!$C$2:$C$51,0)</f>
        <v>Merchandise</v>
      </c>
      <c r="D729" t="str">
        <f>_xlfn.XLOOKUP(F729,Products!$A$2:$A$51,Products!$B$2:$B$51,0)</f>
        <v>Minimalist Keychain</v>
      </c>
      <c r="E729" t="str">
        <f>_xlfn.XLOOKUP(B729,customers!$A$2:$A$195,customers!$B$2:$B$195,,0)</f>
        <v>North</v>
      </c>
      <c r="F729">
        <v>1045</v>
      </c>
      <c r="G729" s="9">
        <f>_xlfn.XLOOKUP(B729,customers!$A$1:$A$195,customers!$C$1:$C$195)</f>
        <v>45037</v>
      </c>
      <c r="H729" s="13">
        <v>45999</v>
      </c>
      <c r="I729">
        <v>2</v>
      </c>
      <c r="J729">
        <v>54.74</v>
      </c>
      <c r="K729">
        <v>48.18</v>
      </c>
      <c r="L729">
        <f>_xlfn.XLOOKUP(F729,Products!$A$2:$A$51,Products!$D$2:$D$51,0)</f>
        <v>27.37</v>
      </c>
      <c r="M729">
        <f t="shared" si="11"/>
        <v>6.56</v>
      </c>
    </row>
    <row r="730" spans="1:13">
      <c r="A730" t="s">
        <v>1089</v>
      </c>
      <c r="B730" t="s">
        <v>71</v>
      </c>
      <c r="C730" t="str">
        <f>_xlfn.XLOOKUP(F730,Products!$A$2:$A$51,Products!$C$2:$C$51,0)</f>
        <v>Consumables</v>
      </c>
      <c r="D730" t="str">
        <f>_xlfn.XLOOKUP(F730,Products!$A$2:$A$51,Products!$B$2:$B$51,0)</f>
        <v>Cold Brew Concentrate</v>
      </c>
      <c r="E730" t="str">
        <f>_xlfn.XLOOKUP(B730,customers!$A$2:$A$195,customers!$B$2:$B$195,,0)</f>
        <v>South</v>
      </c>
      <c r="F730">
        <v>1029</v>
      </c>
      <c r="G730" s="9">
        <f>_xlfn.XLOOKUP(B730,customers!$A$1:$A$195,customers!$C$1:$C$195)</f>
        <v>44993</v>
      </c>
      <c r="H730" s="13">
        <v>45999</v>
      </c>
      <c r="I730">
        <v>1</v>
      </c>
      <c r="J730">
        <v>23.49</v>
      </c>
      <c r="K730">
        <v>10.09</v>
      </c>
      <c r="L730">
        <f>_xlfn.XLOOKUP(F730,Products!$A$2:$A$51,Products!$D$2:$D$51,0)</f>
        <v>23.49</v>
      </c>
      <c r="M730">
        <f t="shared" si="11"/>
        <v>13.4</v>
      </c>
    </row>
    <row r="731" spans="1:13">
      <c r="A731" t="s">
        <v>1090</v>
      </c>
      <c r="B731" t="s">
        <v>74</v>
      </c>
      <c r="C731" t="str">
        <f>_xlfn.XLOOKUP(F731,Products!$A$2:$A$51,Products!$C$2:$C$51,0)</f>
        <v>Grinders &amp; Brewers</v>
      </c>
      <c r="D731" t="str">
        <f>_xlfn.XLOOKUP(F731,Products!$A$2:$A$51,Products!$B$2:$B$51,0)</f>
        <v>Pour-Over Starter Kit</v>
      </c>
      <c r="E731" t="str">
        <f>_xlfn.XLOOKUP(B731,customers!$A$2:$A$195,customers!$B$2:$B$195,,0)</f>
        <v>East</v>
      </c>
      <c r="F731">
        <v>1010</v>
      </c>
      <c r="G731" s="9">
        <f>_xlfn.XLOOKUP(B731,customers!$A$1:$A$195,customers!$C$1:$C$195)</f>
        <v>45103</v>
      </c>
      <c r="H731" s="13">
        <v>45999</v>
      </c>
      <c r="I731">
        <v>4</v>
      </c>
      <c r="J731">
        <v>420.92</v>
      </c>
      <c r="K731">
        <v>298.98</v>
      </c>
      <c r="L731">
        <f>_xlfn.XLOOKUP(F731,Products!$A$2:$A$51,Products!$D$2:$D$51,0)</f>
        <v>105.23</v>
      </c>
      <c r="M731">
        <f t="shared" si="11"/>
        <v>121.94</v>
      </c>
    </row>
    <row r="732" spans="1:13">
      <c r="A732" t="s">
        <v>1091</v>
      </c>
      <c r="B732" t="s">
        <v>89</v>
      </c>
      <c r="C732" t="str">
        <f>_xlfn.XLOOKUP(F732,Products!$A$2:$A$51,Products!$C$2:$C$51,0)</f>
        <v>Grinders &amp; Brewers</v>
      </c>
      <c r="D732" t="str">
        <f>_xlfn.XLOOKUP(F732,Products!$A$2:$A$51,Products!$B$2:$B$51,0)</f>
        <v>Pour-Over Starter Kit</v>
      </c>
      <c r="E732" t="str">
        <f>_xlfn.XLOOKUP(B732,customers!$A$2:$A$195,customers!$B$2:$B$195,,0)</f>
        <v>West</v>
      </c>
      <c r="F732">
        <v>1010</v>
      </c>
      <c r="G732" s="9">
        <f>_xlfn.XLOOKUP(B732,customers!$A$1:$A$195,customers!$C$1:$C$195)</f>
        <v>44947</v>
      </c>
      <c r="H732" s="13">
        <v>45999</v>
      </c>
      <c r="I732">
        <v>3</v>
      </c>
      <c r="J732">
        <v>315.69</v>
      </c>
      <c r="K732">
        <v>224.24</v>
      </c>
      <c r="L732">
        <f>_xlfn.XLOOKUP(F732,Products!$A$2:$A$51,Products!$D$2:$D$51,0)</f>
        <v>105.23</v>
      </c>
      <c r="M732">
        <f t="shared" si="11"/>
        <v>91.45</v>
      </c>
    </row>
    <row r="733" spans="1:13">
      <c r="A733" t="s">
        <v>1092</v>
      </c>
      <c r="B733" t="s">
        <v>174</v>
      </c>
      <c r="C733" t="str">
        <f>_xlfn.XLOOKUP(F733,Products!$A$2:$A$51,Products!$C$2:$C$51,0)</f>
        <v>Consumables</v>
      </c>
      <c r="D733" t="str">
        <f>_xlfn.XLOOKUP(F733,Products!$A$2:$A$51,Products!$B$2:$B$51,0)</f>
        <v>Decaf Blend (1kg)</v>
      </c>
      <c r="E733" t="str">
        <f>_xlfn.XLOOKUP(B733,customers!$A$2:$A$195,customers!$B$2:$B$195,,0)</f>
        <v>West</v>
      </c>
      <c r="F733">
        <v>1028</v>
      </c>
      <c r="G733" s="9">
        <f>_xlfn.XLOOKUP(B733,customers!$A$1:$A$195,customers!$C$1:$C$195)</f>
        <v>45271</v>
      </c>
      <c r="H733" s="13">
        <v>45999</v>
      </c>
      <c r="I733">
        <v>4</v>
      </c>
      <c r="J733">
        <v>161.4</v>
      </c>
      <c r="K733">
        <v>51.44</v>
      </c>
      <c r="L733">
        <f>_xlfn.XLOOKUP(F733,Products!$A$2:$A$51,Products!$D$2:$D$51,0)</f>
        <v>40.35</v>
      </c>
      <c r="M733">
        <f t="shared" si="11"/>
        <v>109.96</v>
      </c>
    </row>
    <row r="734" spans="1:13">
      <c r="A734" t="s">
        <v>1093</v>
      </c>
      <c r="B734" t="s">
        <v>182</v>
      </c>
      <c r="C734" t="str">
        <f>_xlfn.XLOOKUP(F734,Products!$A$2:$A$51,Products!$C$2:$C$51,0)</f>
        <v>Accessories</v>
      </c>
      <c r="D734" t="str">
        <f>_xlfn.XLOOKUP(F734,Products!$A$2:$A$51,Products!$B$2:$B$51,0)</f>
        <v>Chemex Filters (100 pack)</v>
      </c>
      <c r="E734" t="str">
        <f>_xlfn.XLOOKUP(B734,customers!$A$2:$A$195,customers!$B$2:$B$195,,0)</f>
        <v>East</v>
      </c>
      <c r="F734">
        <v>1014</v>
      </c>
      <c r="G734" s="9">
        <f>_xlfn.XLOOKUP(B734,customers!$A$1:$A$195,customers!$C$1:$C$195)</f>
        <v>44998</v>
      </c>
      <c r="H734" s="13">
        <v>45999</v>
      </c>
      <c r="I734">
        <v>2</v>
      </c>
      <c r="J734">
        <v>48.2</v>
      </c>
      <c r="K734">
        <v>42.42</v>
      </c>
      <c r="L734">
        <f>_xlfn.XLOOKUP(F734,Products!$A$2:$A$51,Products!$D$2:$D$51,0)</f>
        <v>24.1</v>
      </c>
      <c r="M734">
        <f t="shared" si="11"/>
        <v>5.78</v>
      </c>
    </row>
    <row r="735" spans="1:13">
      <c r="A735" t="s">
        <v>1094</v>
      </c>
      <c r="B735" t="s">
        <v>195</v>
      </c>
      <c r="C735" t="str">
        <f>_xlfn.XLOOKUP(F735,Products!$A$2:$A$51,Products!$C$2:$C$51,0)</f>
        <v>Subscriptions</v>
      </c>
      <c r="D735" t="str">
        <f>_xlfn.XLOOKUP(F735,Products!$A$2:$A$51,Products!$B$2:$B$51,0)</f>
        <v>Monthly Dark Roast Subscription</v>
      </c>
      <c r="E735" t="str">
        <f>_xlfn.XLOOKUP(B735,customers!$A$2:$A$195,customers!$B$2:$B$195,,0)</f>
        <v>West</v>
      </c>
      <c r="F735">
        <v>1021</v>
      </c>
      <c r="G735" s="9">
        <f>_xlfn.XLOOKUP(B735,customers!$A$1:$A$195,customers!$C$1:$C$195)</f>
        <v>44997</v>
      </c>
      <c r="H735" s="13">
        <v>45999</v>
      </c>
      <c r="I735">
        <v>4</v>
      </c>
      <c r="J735">
        <v>245.04</v>
      </c>
      <c r="K735">
        <v>140.58</v>
      </c>
      <c r="L735">
        <f>_xlfn.XLOOKUP(F735,Products!$A$2:$A$51,Products!$D$2:$D$51,0)</f>
        <v>61.26</v>
      </c>
      <c r="M735">
        <f t="shared" si="11"/>
        <v>104.46</v>
      </c>
    </row>
    <row r="736" spans="1:13">
      <c r="A736" t="s">
        <v>1095</v>
      </c>
      <c r="B736" t="s">
        <v>33</v>
      </c>
      <c r="C736" t="str">
        <f>_xlfn.XLOOKUP(F736,Products!$A$2:$A$51,Products!$C$2:$C$51,0)</f>
        <v>Consumables</v>
      </c>
      <c r="D736" t="str">
        <f>_xlfn.XLOOKUP(F736,Products!$A$2:$A$51,Products!$B$2:$B$51,0)</f>
        <v>Cold Brew Concentrate</v>
      </c>
      <c r="E736" t="str">
        <f>_xlfn.XLOOKUP(B736,customers!$A$2:$A$195,customers!$B$2:$B$195,,0)</f>
        <v>West</v>
      </c>
      <c r="F736">
        <v>1004</v>
      </c>
      <c r="G736" s="9">
        <f>_xlfn.XLOOKUP(B736,customers!$A$1:$A$195,customers!$C$1:$C$195)</f>
        <v>44929</v>
      </c>
      <c r="H736" s="13" t="s">
        <v>1096</v>
      </c>
      <c r="I736">
        <v>2</v>
      </c>
      <c r="J736">
        <v>46.98</v>
      </c>
      <c r="K736">
        <v>20.17</v>
      </c>
      <c r="L736">
        <f>_xlfn.XLOOKUP(F736,Products!$A$2:$A$51,Products!$D$2:$D$51,0)</f>
        <v>23.49</v>
      </c>
      <c r="M736">
        <f t="shared" si="11"/>
        <v>26.81</v>
      </c>
    </row>
    <row r="737" spans="1:13">
      <c r="A737" t="s">
        <v>1097</v>
      </c>
      <c r="B737" t="s">
        <v>108</v>
      </c>
      <c r="C737" t="str">
        <f>_xlfn.XLOOKUP(F737,Products!$A$2:$A$51,Products!$C$2:$C$51,0)</f>
        <v>Accessories</v>
      </c>
      <c r="D737" t="str">
        <f>_xlfn.XLOOKUP(F737,Products!$A$2:$A$51,Products!$B$2:$B$51,0)</f>
        <v>Chemex Filters (100 pack)</v>
      </c>
      <c r="E737" t="str">
        <f>_xlfn.XLOOKUP(B737,customers!$A$2:$A$195,customers!$B$2:$B$195,,0)</f>
        <v>East</v>
      </c>
      <c r="F737">
        <v>1039</v>
      </c>
      <c r="G737" s="9">
        <f>_xlfn.XLOOKUP(B737,customers!$A$1:$A$195,customers!$C$1:$C$195)</f>
        <v>45194</v>
      </c>
      <c r="H737" s="13" t="s">
        <v>1096</v>
      </c>
      <c r="I737">
        <v>1</v>
      </c>
      <c r="J737">
        <v>24.1</v>
      </c>
      <c r="K737">
        <v>21.21</v>
      </c>
      <c r="L737">
        <f>_xlfn.XLOOKUP(F737,Products!$A$2:$A$51,Products!$D$2:$D$51,0)</f>
        <v>24.1</v>
      </c>
      <c r="M737">
        <f t="shared" si="11"/>
        <v>2.89</v>
      </c>
    </row>
    <row r="738" spans="1:13">
      <c r="A738" t="s">
        <v>1098</v>
      </c>
      <c r="B738" t="s">
        <v>137</v>
      </c>
      <c r="C738" t="str">
        <f>_xlfn.XLOOKUP(F738,Products!$A$2:$A$51,Products!$C$2:$C$51,0)</f>
        <v>Consumables</v>
      </c>
      <c r="D738" t="str">
        <f>_xlfn.XLOOKUP(F738,Products!$A$2:$A$51,Products!$B$2:$B$51,0)</f>
        <v>Single-Origin Ethiopian (250g)</v>
      </c>
      <c r="E738" t="str">
        <f>_xlfn.XLOOKUP(B738,customers!$A$2:$A$195,customers!$B$2:$B$195,,0)</f>
        <v>West</v>
      </c>
      <c r="F738">
        <v>1001</v>
      </c>
      <c r="G738" s="9">
        <f>_xlfn.XLOOKUP(B738,customers!$A$1:$A$195,customers!$C$1:$C$195)</f>
        <v>45166</v>
      </c>
      <c r="H738" s="13" t="s">
        <v>1096</v>
      </c>
      <c r="I738">
        <v>3</v>
      </c>
      <c r="J738">
        <v>58.47</v>
      </c>
      <c r="K738">
        <v>38.12</v>
      </c>
      <c r="L738">
        <f>_xlfn.XLOOKUP(F738,Products!$A$2:$A$51,Products!$D$2:$D$51,0)</f>
        <v>19.49</v>
      </c>
      <c r="M738">
        <f t="shared" si="11"/>
        <v>20.35</v>
      </c>
    </row>
    <row r="739" spans="1:13">
      <c r="A739" t="s">
        <v>1099</v>
      </c>
      <c r="B739" t="s">
        <v>173</v>
      </c>
      <c r="C739" t="str">
        <f>_xlfn.XLOOKUP(F739,Products!$A$2:$A$51,Products!$C$2:$C$51,0)</f>
        <v>Grinders &amp; Brewers</v>
      </c>
      <c r="D739" t="str">
        <f>_xlfn.XLOOKUP(F739,Products!$A$2:$A$51,Products!$B$2:$B$51,0)</f>
        <v>Automated Drip Brewer</v>
      </c>
      <c r="E739" t="str">
        <f>_xlfn.XLOOKUP(B739,customers!$A$2:$A$195,customers!$B$2:$B$195,,0)</f>
        <v>West</v>
      </c>
      <c r="F739">
        <v>1008</v>
      </c>
      <c r="G739" s="9">
        <f>_xlfn.XLOOKUP(B739,customers!$A$1:$A$195,customers!$C$1:$C$195)</f>
        <v>45084</v>
      </c>
      <c r="H739" s="13" t="s">
        <v>1096</v>
      </c>
      <c r="I739">
        <v>1</v>
      </c>
      <c r="J739">
        <v>235.76</v>
      </c>
      <c r="K739">
        <v>132.48</v>
      </c>
      <c r="L739">
        <f>_xlfn.XLOOKUP(F739,Products!$A$2:$A$51,Products!$D$2:$D$51,0)</f>
        <v>235.76</v>
      </c>
      <c r="M739">
        <f t="shared" si="11"/>
        <v>103.28</v>
      </c>
    </row>
    <row r="740" spans="1:13">
      <c r="A740" t="s">
        <v>1100</v>
      </c>
      <c r="B740" t="s">
        <v>35</v>
      </c>
      <c r="C740" t="str">
        <f>_xlfn.XLOOKUP(F740,Products!$A$2:$A$51,Products!$C$2:$C$51,0)</f>
        <v>Consumables</v>
      </c>
      <c r="D740" t="str">
        <f>_xlfn.XLOOKUP(F740,Products!$A$2:$A$51,Products!$B$2:$B$51,0)</f>
        <v>Single-Origin Ethiopian (250g)</v>
      </c>
      <c r="E740" t="str">
        <f>_xlfn.XLOOKUP(B740,customers!$A$2:$A$195,customers!$B$2:$B$195,,0)</f>
        <v>East</v>
      </c>
      <c r="F740">
        <v>1001</v>
      </c>
      <c r="G740" s="9">
        <f>_xlfn.XLOOKUP(B740,customers!$A$1:$A$195,customers!$C$1:$C$195)</f>
        <v>45161</v>
      </c>
      <c r="H740" s="13" t="s">
        <v>1101</v>
      </c>
      <c r="I740">
        <v>3</v>
      </c>
      <c r="J740">
        <v>58.47</v>
      </c>
      <c r="K740">
        <v>38.12</v>
      </c>
      <c r="L740">
        <f>_xlfn.XLOOKUP(F740,Products!$A$2:$A$51,Products!$D$2:$D$51,0)</f>
        <v>19.49</v>
      </c>
      <c r="M740">
        <f t="shared" si="11"/>
        <v>20.35</v>
      </c>
    </row>
    <row r="741" spans="1:13">
      <c r="A741" t="s">
        <v>1102</v>
      </c>
      <c r="B741" t="s">
        <v>36</v>
      </c>
      <c r="C741" t="str">
        <f>_xlfn.XLOOKUP(F741,Products!$A$2:$A$51,Products!$C$2:$C$51,0)</f>
        <v>Merchandise</v>
      </c>
      <c r="D741" t="str">
        <f>_xlfn.XLOOKUP(F741,Products!$A$2:$A$51,Products!$B$2:$B$51,0)</f>
        <v>Insulated Travel Tumbler</v>
      </c>
      <c r="E741" t="str">
        <f>_xlfn.XLOOKUP(B741,customers!$A$2:$A$195,customers!$B$2:$B$195,,0)</f>
        <v>North</v>
      </c>
      <c r="F741">
        <v>1043</v>
      </c>
      <c r="G741" s="9">
        <f>_xlfn.XLOOKUP(B741,customers!$A$1:$A$195,customers!$C$1:$C$195)</f>
        <v>45102</v>
      </c>
      <c r="H741" s="13" t="s">
        <v>1101</v>
      </c>
      <c r="I741">
        <v>4</v>
      </c>
      <c r="J741">
        <v>173.12</v>
      </c>
      <c r="K741">
        <v>83.29</v>
      </c>
      <c r="L741">
        <f>_xlfn.XLOOKUP(F741,Products!$A$2:$A$51,Products!$D$2:$D$51,0)</f>
        <v>43.28</v>
      </c>
      <c r="M741">
        <f t="shared" si="11"/>
        <v>89.83</v>
      </c>
    </row>
    <row r="742" spans="1:13">
      <c r="A742" t="s">
        <v>1103</v>
      </c>
      <c r="B742" t="s">
        <v>99</v>
      </c>
      <c r="C742" t="str">
        <f>_xlfn.XLOOKUP(F742,Products!$A$2:$A$51,Products!$C$2:$C$51,0)</f>
        <v>Consumables</v>
      </c>
      <c r="D742" t="str">
        <f>_xlfn.XLOOKUP(F742,Products!$A$2:$A$51,Products!$B$2:$B$51,0)</f>
        <v>Seasonal Blend Light Roast</v>
      </c>
      <c r="E742" t="str">
        <f>_xlfn.XLOOKUP(B742,customers!$A$2:$A$195,customers!$B$2:$B$195,,0)</f>
        <v>West</v>
      </c>
      <c r="F742">
        <v>1027</v>
      </c>
      <c r="G742" s="9">
        <f>_xlfn.XLOOKUP(B742,customers!$A$1:$A$195,customers!$C$1:$C$195)</f>
        <v>45052</v>
      </c>
      <c r="H742" s="13" t="s">
        <v>1101</v>
      </c>
      <c r="I742">
        <v>2</v>
      </c>
      <c r="J742">
        <v>71.06</v>
      </c>
      <c r="K742">
        <v>11.86</v>
      </c>
      <c r="L742">
        <f>_xlfn.XLOOKUP(F742,Products!$A$2:$A$51,Products!$D$2:$D$51,0)</f>
        <v>35.53</v>
      </c>
      <c r="M742">
        <f t="shared" si="11"/>
        <v>59.2</v>
      </c>
    </row>
    <row r="743" spans="1:13">
      <c r="A743" t="s">
        <v>1104</v>
      </c>
      <c r="B743" t="s">
        <v>127</v>
      </c>
      <c r="C743" t="str">
        <f>_xlfn.XLOOKUP(F743,Products!$A$2:$A$51,Products!$C$2:$C$51,0)</f>
        <v>Merchandise</v>
      </c>
      <c r="D743" t="str">
        <f>_xlfn.XLOOKUP(F743,Products!$A$2:$A$51,Products!$B$2:$B$51,0)</f>
        <v>Branded Ceramic Mug (Large)</v>
      </c>
      <c r="E743" t="str">
        <f>_xlfn.XLOOKUP(B743,customers!$A$2:$A$195,customers!$B$2:$B$195,,0)</f>
        <v>North</v>
      </c>
      <c r="F743">
        <v>1016</v>
      </c>
      <c r="G743" s="9">
        <f>_xlfn.XLOOKUP(B743,customers!$A$1:$A$195,customers!$C$1:$C$195)</f>
        <v>45070</v>
      </c>
      <c r="H743" s="13" t="s">
        <v>1101</v>
      </c>
      <c r="I743">
        <v>1</v>
      </c>
      <c r="J743">
        <v>43.2</v>
      </c>
      <c r="K743">
        <v>31.11</v>
      </c>
      <c r="L743">
        <f>_xlfn.XLOOKUP(F743,Products!$A$2:$A$51,Products!$D$2:$D$51,0)</f>
        <v>43.2</v>
      </c>
      <c r="M743">
        <f t="shared" si="11"/>
        <v>12.09</v>
      </c>
    </row>
    <row r="744" spans="1:13">
      <c r="A744" t="s">
        <v>1105</v>
      </c>
      <c r="B744" t="s">
        <v>128</v>
      </c>
      <c r="C744" t="str">
        <f>_xlfn.XLOOKUP(F744,Products!$A$2:$A$51,Products!$C$2:$C$51,0)</f>
        <v>Merchandise</v>
      </c>
      <c r="D744" t="str">
        <f>_xlfn.XLOOKUP(F744,Products!$A$2:$A$51,Products!$B$2:$B$51,0)</f>
        <v>Insulated Travel Tumbler</v>
      </c>
      <c r="E744" t="str">
        <f>_xlfn.XLOOKUP(B744,customers!$A$2:$A$195,customers!$B$2:$B$195,,0)</f>
        <v>West</v>
      </c>
      <c r="F744">
        <v>1043</v>
      </c>
      <c r="G744" s="9">
        <f>_xlfn.XLOOKUP(B744,customers!$A$1:$A$195,customers!$C$1:$C$195)</f>
        <v>45161</v>
      </c>
      <c r="H744" s="13" t="s">
        <v>1101</v>
      </c>
      <c r="I744">
        <v>3</v>
      </c>
      <c r="J744">
        <v>129.84</v>
      </c>
      <c r="K744">
        <v>62.47</v>
      </c>
      <c r="L744">
        <f>_xlfn.XLOOKUP(F744,Products!$A$2:$A$51,Products!$D$2:$D$51,0)</f>
        <v>43.28</v>
      </c>
      <c r="M744">
        <f t="shared" si="11"/>
        <v>67.37</v>
      </c>
    </row>
    <row r="745" spans="1:13">
      <c r="A745" t="s">
        <v>1106</v>
      </c>
      <c r="B745" t="s">
        <v>25</v>
      </c>
      <c r="C745" t="str">
        <f>_xlfn.XLOOKUP(F745,Products!$A$2:$A$51,Products!$C$2:$C$51,0)</f>
        <v>Accessories</v>
      </c>
      <c r="D745" t="str">
        <f>_xlfn.XLOOKUP(F745,Products!$A$2:$A$51,Products!$B$2:$B$51,0)</f>
        <v>Chemex Filters (100 pack)</v>
      </c>
      <c r="E745" t="str">
        <f>_xlfn.XLOOKUP(B745,customers!$A$2:$A$195,customers!$B$2:$B$195,,0)</f>
        <v>North</v>
      </c>
      <c r="F745">
        <v>1014</v>
      </c>
      <c r="G745" s="9">
        <f>_xlfn.XLOOKUP(B745,customers!$A$1:$A$195,customers!$C$1:$C$195)</f>
        <v>45187</v>
      </c>
      <c r="H745" s="13" t="s">
        <v>1107</v>
      </c>
      <c r="I745">
        <v>4</v>
      </c>
      <c r="J745">
        <v>96.4</v>
      </c>
      <c r="K745">
        <v>84.83</v>
      </c>
      <c r="L745">
        <f>_xlfn.XLOOKUP(F745,Products!$A$2:$A$51,Products!$D$2:$D$51,0)</f>
        <v>24.1</v>
      </c>
      <c r="M745">
        <f t="shared" si="11"/>
        <v>11.57</v>
      </c>
    </row>
    <row r="746" spans="1:13">
      <c r="A746" t="s">
        <v>1108</v>
      </c>
      <c r="B746" t="s">
        <v>89</v>
      </c>
      <c r="C746" t="str">
        <f>_xlfn.XLOOKUP(F746,Products!$A$2:$A$51,Products!$C$2:$C$51,0)</f>
        <v>Grinders &amp; Brewers</v>
      </c>
      <c r="D746" t="str">
        <f>_xlfn.XLOOKUP(F746,Products!$A$2:$A$51,Products!$B$2:$B$51,0)</f>
        <v>Precision Electric Grinder</v>
      </c>
      <c r="E746" t="str">
        <f>_xlfn.XLOOKUP(B746,customers!$A$2:$A$195,customers!$B$2:$B$195,,0)</f>
        <v>West</v>
      </c>
      <c r="F746">
        <v>1006</v>
      </c>
      <c r="G746" s="9">
        <f>_xlfn.XLOOKUP(B746,customers!$A$1:$A$195,customers!$C$1:$C$195)</f>
        <v>44947</v>
      </c>
      <c r="H746" s="13" t="s">
        <v>1107</v>
      </c>
      <c r="I746">
        <v>4</v>
      </c>
      <c r="J746">
        <v>928.8</v>
      </c>
      <c r="K746">
        <v>313.54</v>
      </c>
      <c r="L746">
        <f>_xlfn.XLOOKUP(F746,Products!$A$2:$A$51,Products!$D$2:$D$51,0)</f>
        <v>232.2</v>
      </c>
      <c r="M746">
        <f t="shared" si="11"/>
        <v>615.26</v>
      </c>
    </row>
    <row r="747" spans="1:13">
      <c r="A747" t="s">
        <v>1109</v>
      </c>
      <c r="B747" t="s">
        <v>94</v>
      </c>
      <c r="C747" t="str">
        <f>_xlfn.XLOOKUP(F747,Products!$A$2:$A$51,Products!$C$2:$C$51,0)</f>
        <v>Accessories</v>
      </c>
      <c r="D747" t="str">
        <f>_xlfn.XLOOKUP(F747,Products!$A$2:$A$51,Products!$B$2:$B$51,0)</f>
        <v>Airtight Storage Container</v>
      </c>
      <c r="E747" t="str">
        <f>_xlfn.XLOOKUP(B747,customers!$A$2:$A$195,customers!$B$2:$B$195,,0)</f>
        <v>East</v>
      </c>
      <c r="F747">
        <v>1013</v>
      </c>
      <c r="G747" s="9">
        <f>_xlfn.XLOOKUP(B747,customers!$A$1:$A$195,customers!$C$1:$C$195)</f>
        <v>44956</v>
      </c>
      <c r="H747" s="13" t="s">
        <v>1107</v>
      </c>
      <c r="I747">
        <v>2</v>
      </c>
      <c r="J747">
        <v>122.08</v>
      </c>
      <c r="K747">
        <v>51.41</v>
      </c>
      <c r="L747">
        <f>_xlfn.XLOOKUP(F747,Products!$A$2:$A$51,Products!$D$2:$D$51,0)</f>
        <v>61.04</v>
      </c>
      <c r="M747">
        <f t="shared" si="11"/>
        <v>70.67</v>
      </c>
    </row>
    <row r="748" spans="1:13">
      <c r="A748" t="s">
        <v>1110</v>
      </c>
      <c r="B748" t="s">
        <v>158</v>
      </c>
      <c r="C748" t="str">
        <f>_xlfn.XLOOKUP(F748,Products!$A$2:$A$51,Products!$C$2:$C$51,0)</f>
        <v>Accessories</v>
      </c>
      <c r="D748" t="str">
        <f>_xlfn.XLOOKUP(F748,Products!$A$2:$A$51,Products!$B$2:$B$51,0)</f>
        <v>Airtight Storage Container</v>
      </c>
      <c r="E748" t="str">
        <f>_xlfn.XLOOKUP(B748,customers!$A$2:$A$195,customers!$B$2:$B$195,,0)</f>
        <v>West</v>
      </c>
      <c r="F748">
        <v>1013</v>
      </c>
      <c r="G748" s="9">
        <f>_xlfn.XLOOKUP(B748,customers!$A$1:$A$195,customers!$C$1:$C$195)</f>
        <v>45061</v>
      </c>
      <c r="H748" s="13" t="s">
        <v>1107</v>
      </c>
      <c r="I748">
        <v>4</v>
      </c>
      <c r="J748">
        <v>244.16</v>
      </c>
      <c r="K748">
        <v>102.83</v>
      </c>
      <c r="L748">
        <f>_xlfn.XLOOKUP(F748,Products!$A$2:$A$51,Products!$D$2:$D$51,0)</f>
        <v>61.04</v>
      </c>
      <c r="M748">
        <f t="shared" si="11"/>
        <v>141.33</v>
      </c>
    </row>
    <row r="749" spans="1:13">
      <c r="A749" t="s">
        <v>1111</v>
      </c>
      <c r="B749" t="s">
        <v>161</v>
      </c>
      <c r="C749" t="str">
        <f>_xlfn.XLOOKUP(F749,Products!$A$2:$A$51,Products!$C$2:$C$51,0)</f>
        <v>Subscriptions</v>
      </c>
      <c r="D749" t="str">
        <f>_xlfn.XLOOKUP(F749,Products!$A$2:$A$51,Products!$B$2:$B$51,0)</f>
        <v>Espresso Lovers Quarterly Pack</v>
      </c>
      <c r="E749" t="str">
        <f>_xlfn.XLOOKUP(B749,customers!$A$2:$A$195,customers!$B$2:$B$195,,0)</f>
        <v>South</v>
      </c>
      <c r="F749">
        <v>1049</v>
      </c>
      <c r="G749" s="9">
        <f>_xlfn.XLOOKUP(B749,customers!$A$1:$A$195,customers!$C$1:$C$195)</f>
        <v>45203</v>
      </c>
      <c r="H749" s="13" t="s">
        <v>1107</v>
      </c>
      <c r="I749">
        <v>1</v>
      </c>
      <c r="J749">
        <v>74.87</v>
      </c>
      <c r="K749">
        <v>19.2</v>
      </c>
      <c r="L749">
        <f>_xlfn.XLOOKUP(F749,Products!$A$2:$A$51,Products!$D$2:$D$51,0)</f>
        <v>74.87</v>
      </c>
      <c r="M749">
        <f t="shared" si="11"/>
        <v>55.67</v>
      </c>
    </row>
    <row r="750" spans="1:13">
      <c r="A750" t="s">
        <v>1112</v>
      </c>
      <c r="B750" t="s">
        <v>171</v>
      </c>
      <c r="C750" t="str">
        <f>_xlfn.XLOOKUP(F750,Products!$A$2:$A$51,Products!$C$2:$C$51,0)</f>
        <v>Consumables</v>
      </c>
      <c r="D750" t="str">
        <f>_xlfn.XLOOKUP(F750,Products!$A$2:$A$51,Products!$B$2:$B$51,0)</f>
        <v>Cold Brew Concentrate</v>
      </c>
      <c r="E750" t="str">
        <f>_xlfn.XLOOKUP(B750,customers!$A$2:$A$195,customers!$B$2:$B$195,,0)</f>
        <v>West</v>
      </c>
      <c r="F750">
        <v>1004</v>
      </c>
      <c r="G750" s="9">
        <f>_xlfn.XLOOKUP(B750,customers!$A$1:$A$195,customers!$C$1:$C$195)</f>
        <v>45246</v>
      </c>
      <c r="H750" s="13" t="s">
        <v>1107</v>
      </c>
      <c r="I750">
        <v>2</v>
      </c>
      <c r="J750">
        <v>46.98</v>
      </c>
      <c r="K750">
        <v>20.17</v>
      </c>
      <c r="L750">
        <f>_xlfn.XLOOKUP(F750,Products!$A$2:$A$51,Products!$D$2:$D$51,0)</f>
        <v>23.49</v>
      </c>
      <c r="M750">
        <f t="shared" si="11"/>
        <v>26.81</v>
      </c>
    </row>
    <row r="751" spans="1:13">
      <c r="A751" t="s">
        <v>1113</v>
      </c>
      <c r="B751" t="s">
        <v>196</v>
      </c>
      <c r="C751" t="str">
        <f>_xlfn.XLOOKUP(F751,Products!$A$2:$A$51,Products!$C$2:$C$51,0)</f>
        <v>Grinders &amp; Brewers</v>
      </c>
      <c r="D751" t="str">
        <f>_xlfn.XLOOKUP(F751,Products!$A$2:$A$51,Products!$B$2:$B$51,0)</f>
        <v>High-Capacity French Press</v>
      </c>
      <c r="E751" t="str">
        <f>_xlfn.XLOOKUP(B751,customers!$A$2:$A$195,customers!$B$2:$B$195,,0)</f>
        <v>West</v>
      </c>
      <c r="F751">
        <v>1009</v>
      </c>
      <c r="G751" s="9">
        <f>_xlfn.XLOOKUP(B751,customers!$A$1:$A$195,customers!$C$1:$C$195)</f>
        <v>45186</v>
      </c>
      <c r="H751" s="13" t="s">
        <v>1107</v>
      </c>
      <c r="I751">
        <v>2</v>
      </c>
      <c r="J751">
        <v>676.72</v>
      </c>
      <c r="K751">
        <v>296.34</v>
      </c>
      <c r="L751">
        <f>_xlfn.XLOOKUP(F751,Products!$A$2:$A$51,Products!$D$2:$D$51,0)</f>
        <v>338.36</v>
      </c>
      <c r="M751">
        <f t="shared" si="11"/>
        <v>380.38</v>
      </c>
    </row>
    <row r="752" spans="1:13">
      <c r="A752" t="s">
        <v>1114</v>
      </c>
      <c r="B752" t="s">
        <v>48</v>
      </c>
      <c r="C752" t="str">
        <f>_xlfn.XLOOKUP(F752,Products!$A$2:$A$51,Products!$C$2:$C$51,0)</f>
        <v>Subscriptions</v>
      </c>
      <c r="D752" t="str">
        <f>_xlfn.XLOOKUP(F752,Products!$A$2:$A$51,Products!$B$2:$B$51,0)</f>
        <v>Bi-Weekly Sampler Box</v>
      </c>
      <c r="E752" t="str">
        <f>_xlfn.XLOOKUP(B752,customers!$A$2:$A$195,customers!$B$2:$B$195,,0)</f>
        <v>West</v>
      </c>
      <c r="F752">
        <v>1022</v>
      </c>
      <c r="G752" s="9">
        <f>_xlfn.XLOOKUP(B752,customers!$A$1:$A$195,customers!$C$1:$C$195)</f>
        <v>45161</v>
      </c>
      <c r="H752" s="13" t="s">
        <v>1115</v>
      </c>
      <c r="I752">
        <v>2</v>
      </c>
      <c r="J752">
        <v>177.54</v>
      </c>
      <c r="K752">
        <v>47.72</v>
      </c>
      <c r="L752">
        <f>_xlfn.XLOOKUP(F752,Products!$A$2:$A$51,Products!$D$2:$D$51,0)</f>
        <v>88.77</v>
      </c>
      <c r="M752">
        <f t="shared" si="11"/>
        <v>129.82</v>
      </c>
    </row>
    <row r="753" spans="1:13">
      <c r="A753" t="s">
        <v>1116</v>
      </c>
      <c r="B753" t="s">
        <v>58</v>
      </c>
      <c r="C753" t="str">
        <f>_xlfn.XLOOKUP(F753,Products!$A$2:$A$51,Products!$C$2:$C$51,0)</f>
        <v>Subscriptions</v>
      </c>
      <c r="D753" t="str">
        <f>_xlfn.XLOOKUP(F753,Products!$A$2:$A$51,Products!$B$2:$B$51,0)</f>
        <v>Three-Month Gift Subscription</v>
      </c>
      <c r="E753" t="str">
        <f>_xlfn.XLOOKUP(B753,customers!$A$2:$A$195,customers!$B$2:$B$195,,0)</f>
        <v>East</v>
      </c>
      <c r="F753">
        <v>1023</v>
      </c>
      <c r="G753" s="9">
        <f>_xlfn.XLOOKUP(B753,customers!$A$1:$A$195,customers!$C$1:$C$195)</f>
        <v>45287</v>
      </c>
      <c r="H753" s="13" t="s">
        <v>1117</v>
      </c>
      <c r="I753">
        <v>4</v>
      </c>
      <c r="J753">
        <v>260.84</v>
      </c>
      <c r="K753">
        <v>110.44</v>
      </c>
      <c r="L753">
        <f>_xlfn.XLOOKUP(F753,Products!$A$2:$A$51,Products!$D$2:$D$51,0)</f>
        <v>65.21</v>
      </c>
      <c r="M753">
        <f t="shared" si="11"/>
        <v>150.4</v>
      </c>
    </row>
    <row r="754" spans="1:13">
      <c r="A754" t="s">
        <v>1118</v>
      </c>
      <c r="B754" t="s">
        <v>116</v>
      </c>
      <c r="C754" t="str">
        <f>_xlfn.XLOOKUP(F754,Products!$A$2:$A$51,Products!$C$2:$C$51,0)</f>
        <v>Merchandise</v>
      </c>
      <c r="D754" t="str">
        <f>_xlfn.XLOOKUP(F754,Products!$A$2:$A$51,Products!$B$2:$B$51,0)</f>
        <v>Daily Grind T-Shirt</v>
      </c>
      <c r="E754" t="str">
        <f>_xlfn.XLOOKUP(B754,customers!$A$2:$A$195,customers!$B$2:$B$195,,0)</f>
        <v>West</v>
      </c>
      <c r="F754">
        <v>1019</v>
      </c>
      <c r="G754" s="9">
        <f>_xlfn.XLOOKUP(B754,customers!$A$1:$A$195,customers!$C$1:$C$195)</f>
        <v>45037</v>
      </c>
      <c r="H754" s="13" t="s">
        <v>1117</v>
      </c>
      <c r="I754">
        <v>1</v>
      </c>
      <c r="J754">
        <v>21.37</v>
      </c>
      <c r="K754">
        <v>8.26</v>
      </c>
      <c r="L754">
        <f>_xlfn.XLOOKUP(F754,Products!$A$2:$A$51,Products!$D$2:$D$51,0)</f>
        <v>21.37</v>
      </c>
      <c r="M754">
        <f t="shared" si="11"/>
        <v>13.11</v>
      </c>
    </row>
    <row r="755" spans="1:13">
      <c r="A755" t="s">
        <v>1119</v>
      </c>
      <c r="B755" t="s">
        <v>5</v>
      </c>
      <c r="C755" t="str">
        <f>_xlfn.XLOOKUP(F755,Products!$A$2:$A$51,Products!$C$2:$C$51,0)</f>
        <v>Consumables</v>
      </c>
      <c r="D755" t="str">
        <f>_xlfn.XLOOKUP(F755,Products!$A$2:$A$51,Products!$B$2:$B$51,0)</f>
        <v>Espresso Bean Sampler Pack</v>
      </c>
      <c r="E755" t="str">
        <f>_xlfn.XLOOKUP(B755,customers!$A$2:$A$195,customers!$B$2:$B$195,,0)</f>
        <v>West</v>
      </c>
      <c r="F755">
        <v>1005</v>
      </c>
      <c r="G755" s="9">
        <f>_xlfn.XLOOKUP(B755,customers!$A$1:$A$195,customers!$C$1:$C$195)</f>
        <v>44998</v>
      </c>
      <c r="H755" s="13" t="s">
        <v>1120</v>
      </c>
      <c r="I755">
        <v>4</v>
      </c>
      <c r="J755">
        <v>76.24</v>
      </c>
      <c r="K755">
        <v>47.87</v>
      </c>
      <c r="L755">
        <f>_xlfn.XLOOKUP(F755,Products!$A$2:$A$51,Products!$D$2:$D$51,0)</f>
        <v>19.06</v>
      </c>
      <c r="M755">
        <f t="shared" si="11"/>
        <v>28.37</v>
      </c>
    </row>
    <row r="756" spans="1:13">
      <c r="A756" t="s">
        <v>1121</v>
      </c>
      <c r="B756" t="s">
        <v>87</v>
      </c>
      <c r="C756" t="str">
        <f>_xlfn.XLOOKUP(F756,Products!$A$2:$A$51,Products!$C$2:$C$51,0)</f>
        <v>Grinders &amp; Brewers</v>
      </c>
      <c r="D756" t="str">
        <f>_xlfn.XLOOKUP(F756,Products!$A$2:$A$51,Products!$B$2:$B$51,0)</f>
        <v>High-Capacity French Press</v>
      </c>
      <c r="E756" t="str">
        <f>_xlfn.XLOOKUP(B756,customers!$A$2:$A$195,customers!$B$2:$B$195,,0)</f>
        <v>South</v>
      </c>
      <c r="F756">
        <v>1034</v>
      </c>
      <c r="G756" s="9">
        <f>_xlfn.XLOOKUP(B756,customers!$A$1:$A$195,customers!$C$1:$C$195)</f>
        <v>45019</v>
      </c>
      <c r="H756" s="13" t="s">
        <v>1120</v>
      </c>
      <c r="I756">
        <v>1</v>
      </c>
      <c r="J756">
        <v>338.36</v>
      </c>
      <c r="K756">
        <v>148.17</v>
      </c>
      <c r="L756">
        <f>_xlfn.XLOOKUP(F756,Products!$A$2:$A$51,Products!$D$2:$D$51,0)</f>
        <v>338.36</v>
      </c>
      <c r="M756">
        <f t="shared" si="11"/>
        <v>190.19</v>
      </c>
    </row>
    <row r="757" spans="1:13">
      <c r="A757" t="s">
        <v>1122</v>
      </c>
      <c r="B757" t="s">
        <v>161</v>
      </c>
      <c r="C757" t="str">
        <f>_xlfn.XLOOKUP(F757,Products!$A$2:$A$51,Products!$C$2:$C$51,0)</f>
        <v>Consumables</v>
      </c>
      <c r="D757" t="str">
        <f>_xlfn.XLOOKUP(F757,Products!$A$2:$A$51,Products!$B$2:$B$51,0)</f>
        <v>Seasonal Blend Light Roast</v>
      </c>
      <c r="E757" t="str">
        <f>_xlfn.XLOOKUP(B757,customers!$A$2:$A$195,customers!$B$2:$B$195,,0)</f>
        <v>South</v>
      </c>
      <c r="F757">
        <v>1002</v>
      </c>
      <c r="G757" s="9">
        <f>_xlfn.XLOOKUP(B757,customers!$A$1:$A$195,customers!$C$1:$C$195)</f>
        <v>45203</v>
      </c>
      <c r="H757" s="13" t="s">
        <v>1120</v>
      </c>
      <c r="I757">
        <v>3</v>
      </c>
      <c r="J757">
        <v>106.59</v>
      </c>
      <c r="K757">
        <v>17.79</v>
      </c>
      <c r="L757">
        <f>_xlfn.XLOOKUP(F757,Products!$A$2:$A$51,Products!$D$2:$D$51,0)</f>
        <v>35.53</v>
      </c>
      <c r="M757">
        <f t="shared" si="11"/>
        <v>88.8</v>
      </c>
    </row>
    <row r="758" spans="1:13">
      <c r="A758" t="s">
        <v>1123</v>
      </c>
      <c r="B758" t="s">
        <v>170</v>
      </c>
      <c r="C758" t="str">
        <f>_xlfn.XLOOKUP(F758,Products!$A$2:$A$51,Products!$C$2:$C$51,0)</f>
        <v>Subscriptions</v>
      </c>
      <c r="D758" t="str">
        <f>_xlfn.XLOOKUP(F758,Products!$A$2:$A$51,Products!$B$2:$B$51,0)</f>
        <v>Espresso Lovers Quarterly Pack</v>
      </c>
      <c r="E758" t="str">
        <f>_xlfn.XLOOKUP(B758,customers!$A$2:$A$195,customers!$B$2:$B$195,,0)</f>
        <v>North</v>
      </c>
      <c r="F758">
        <v>1024</v>
      </c>
      <c r="G758" s="9">
        <f>_xlfn.XLOOKUP(B758,customers!$A$1:$A$195,customers!$C$1:$C$195)</f>
        <v>44969</v>
      </c>
      <c r="H758" s="13" t="s">
        <v>1120</v>
      </c>
      <c r="I758">
        <v>3</v>
      </c>
      <c r="J758">
        <v>224.61</v>
      </c>
      <c r="K758">
        <v>57.58</v>
      </c>
      <c r="L758">
        <f>_xlfn.XLOOKUP(F758,Products!$A$2:$A$51,Products!$D$2:$D$51,0)</f>
        <v>74.87</v>
      </c>
      <c r="M758">
        <f t="shared" si="11"/>
        <v>167.03</v>
      </c>
    </row>
    <row r="759" spans="1:13">
      <c r="A759" t="s">
        <v>1124</v>
      </c>
      <c r="B759" t="s">
        <v>77</v>
      </c>
      <c r="C759" t="str">
        <f>_xlfn.XLOOKUP(F759,Products!$A$2:$A$51,Products!$C$2:$C$51,0)</f>
        <v>Grinders &amp; Brewers</v>
      </c>
      <c r="D759" t="str">
        <f>_xlfn.XLOOKUP(F759,Products!$A$2:$A$51,Products!$B$2:$B$51,0)</f>
        <v>Precision Electric Grinder</v>
      </c>
      <c r="E759" t="str">
        <f>_xlfn.XLOOKUP(B759,customers!$A$2:$A$195,customers!$B$2:$B$195,,0)</f>
        <v>West</v>
      </c>
      <c r="F759">
        <v>1031</v>
      </c>
      <c r="G759" s="9">
        <f>_xlfn.XLOOKUP(B759,customers!$A$1:$A$195,customers!$C$1:$C$195)</f>
        <v>44964</v>
      </c>
      <c r="H759" s="13" t="s">
        <v>1125</v>
      </c>
      <c r="I759">
        <v>3</v>
      </c>
      <c r="J759">
        <v>696.6</v>
      </c>
      <c r="K759">
        <v>235.16</v>
      </c>
      <c r="L759">
        <f>_xlfn.XLOOKUP(F759,Products!$A$2:$A$51,Products!$D$2:$D$51,0)</f>
        <v>232.2</v>
      </c>
      <c r="M759">
        <f t="shared" si="11"/>
        <v>461.44</v>
      </c>
    </row>
    <row r="760" spans="1:13">
      <c r="A760" t="s">
        <v>1126</v>
      </c>
      <c r="B760" t="s">
        <v>114</v>
      </c>
      <c r="C760" t="str">
        <f>_xlfn.XLOOKUP(F760,Products!$A$2:$A$51,Products!$C$2:$C$51,0)</f>
        <v>Grinders &amp; Brewers</v>
      </c>
      <c r="D760" t="str">
        <f>_xlfn.XLOOKUP(F760,Products!$A$2:$A$51,Products!$B$2:$B$51,0)</f>
        <v>High-Capacity French Press</v>
      </c>
      <c r="E760" t="str">
        <f>_xlfn.XLOOKUP(B760,customers!$A$2:$A$195,customers!$B$2:$B$195,,0)</f>
        <v>South</v>
      </c>
      <c r="F760">
        <v>1009</v>
      </c>
      <c r="G760" s="9">
        <f>_xlfn.XLOOKUP(B760,customers!$A$1:$A$195,customers!$C$1:$C$195)</f>
        <v>45211</v>
      </c>
      <c r="H760" s="13" t="s">
        <v>1125</v>
      </c>
      <c r="I760">
        <v>2</v>
      </c>
      <c r="J760">
        <v>676.72</v>
      </c>
      <c r="K760">
        <v>296.34</v>
      </c>
      <c r="L760">
        <f>_xlfn.XLOOKUP(F760,Products!$A$2:$A$51,Products!$D$2:$D$51,0)</f>
        <v>338.36</v>
      </c>
      <c r="M760">
        <f t="shared" si="11"/>
        <v>380.38</v>
      </c>
    </row>
    <row r="761" spans="1:13">
      <c r="A761" t="s">
        <v>1127</v>
      </c>
      <c r="B761" t="s">
        <v>165</v>
      </c>
      <c r="C761" t="str">
        <f>_xlfn.XLOOKUP(F761,Products!$A$2:$A$51,Products!$C$2:$C$51,0)</f>
        <v>Merchandise</v>
      </c>
      <c r="D761" t="str">
        <f>_xlfn.XLOOKUP(F761,Products!$A$2:$A$51,Products!$B$2:$B$51,0)</f>
        <v>Branded Ceramic Mug (Large)</v>
      </c>
      <c r="E761" t="str">
        <f>_xlfn.XLOOKUP(B761,customers!$A$2:$A$195,customers!$B$2:$B$195,,0)</f>
        <v>West</v>
      </c>
      <c r="F761">
        <v>1016</v>
      </c>
      <c r="G761" s="9">
        <f>_xlfn.XLOOKUP(B761,customers!$A$1:$A$195,customers!$C$1:$C$195)</f>
        <v>45132</v>
      </c>
      <c r="H761" s="13" t="s">
        <v>1125</v>
      </c>
      <c r="I761">
        <v>3</v>
      </c>
      <c r="J761">
        <v>129.6</v>
      </c>
      <c r="K761">
        <v>93.32</v>
      </c>
      <c r="L761">
        <f>_xlfn.XLOOKUP(F761,Products!$A$2:$A$51,Products!$D$2:$D$51,0)</f>
        <v>43.2</v>
      </c>
      <c r="M761">
        <f t="shared" si="11"/>
        <v>36.28</v>
      </c>
    </row>
    <row r="762" spans="1:13">
      <c r="A762" t="s">
        <v>1128</v>
      </c>
      <c r="B762" t="s">
        <v>141</v>
      </c>
      <c r="C762" t="str">
        <f>_xlfn.XLOOKUP(F762,Products!$A$2:$A$51,Products!$C$2:$C$51,0)</f>
        <v>Consumables</v>
      </c>
      <c r="D762" t="str">
        <f>_xlfn.XLOOKUP(F762,Products!$A$2:$A$51,Products!$B$2:$B$51,0)</f>
        <v>Seasonal Blend Light Roast</v>
      </c>
      <c r="E762" t="str">
        <f>_xlfn.XLOOKUP(B762,customers!$A$2:$A$195,customers!$B$2:$B$195,,0)</f>
        <v>East</v>
      </c>
      <c r="F762">
        <v>1002</v>
      </c>
      <c r="G762" s="9">
        <f>_xlfn.XLOOKUP(B762,customers!$A$1:$A$195,customers!$C$1:$C$195)</f>
        <v>45035</v>
      </c>
      <c r="H762" s="13" t="s">
        <v>1129</v>
      </c>
      <c r="I762">
        <v>1</v>
      </c>
      <c r="J762">
        <v>35.53</v>
      </c>
      <c r="K762">
        <v>5.93</v>
      </c>
      <c r="L762">
        <f>_xlfn.XLOOKUP(F762,Products!$A$2:$A$51,Products!$D$2:$D$51,0)</f>
        <v>35.53</v>
      </c>
      <c r="M762">
        <f t="shared" si="11"/>
        <v>29.6</v>
      </c>
    </row>
    <row r="763" spans="1:13">
      <c r="A763" t="s">
        <v>1130</v>
      </c>
      <c r="B763" t="s">
        <v>175</v>
      </c>
      <c r="C763" t="str">
        <f>_xlfn.XLOOKUP(F763,Products!$A$2:$A$51,Products!$C$2:$C$51,0)</f>
        <v>Subscriptions</v>
      </c>
      <c r="D763" t="str">
        <f>_xlfn.XLOOKUP(F763,Products!$A$2:$A$51,Products!$B$2:$B$51,0)</f>
        <v>Bi-Weekly Sampler Box</v>
      </c>
      <c r="E763" t="str">
        <f>_xlfn.XLOOKUP(B763,customers!$A$2:$A$195,customers!$B$2:$B$195,,0)</f>
        <v>West</v>
      </c>
      <c r="F763">
        <v>1022</v>
      </c>
      <c r="G763" s="9">
        <f>_xlfn.XLOOKUP(B763,customers!$A$1:$A$195,customers!$C$1:$C$195)</f>
        <v>44964</v>
      </c>
      <c r="H763" s="13" t="s">
        <v>1129</v>
      </c>
      <c r="I763">
        <v>1</v>
      </c>
      <c r="J763">
        <v>88.77</v>
      </c>
      <c r="K763">
        <v>23.86</v>
      </c>
      <c r="L763">
        <f>_xlfn.XLOOKUP(F763,Products!$A$2:$A$51,Products!$D$2:$D$51,0)</f>
        <v>88.77</v>
      </c>
      <c r="M763">
        <f t="shared" si="11"/>
        <v>64.91</v>
      </c>
    </row>
    <row r="764" spans="1:13">
      <c r="A764" t="s">
        <v>1131</v>
      </c>
      <c r="B764" t="s">
        <v>7</v>
      </c>
      <c r="C764" t="str">
        <f>_xlfn.XLOOKUP(F764,Products!$A$2:$A$51,Products!$C$2:$C$51,0)</f>
        <v>Subscriptions</v>
      </c>
      <c r="D764" t="str">
        <f>_xlfn.XLOOKUP(F764,Products!$A$2:$A$51,Products!$B$2:$B$51,0)</f>
        <v>Espresso Lovers Quarterly Pack</v>
      </c>
      <c r="E764" t="str">
        <f>_xlfn.XLOOKUP(B764,customers!$A$2:$A$195,customers!$B$2:$B$195,,0)</f>
        <v>West</v>
      </c>
      <c r="F764">
        <v>1049</v>
      </c>
      <c r="G764" s="9">
        <f>_xlfn.XLOOKUP(B764,customers!$A$1:$A$195,customers!$C$1:$C$195)</f>
        <v>45177</v>
      </c>
      <c r="H764" s="13" t="s">
        <v>1132</v>
      </c>
      <c r="I764">
        <v>4</v>
      </c>
      <c r="J764">
        <v>299.48</v>
      </c>
      <c r="K764">
        <v>76.78</v>
      </c>
      <c r="L764">
        <f>_xlfn.XLOOKUP(F764,Products!$A$2:$A$51,Products!$D$2:$D$51,0)</f>
        <v>74.87</v>
      </c>
      <c r="M764">
        <f t="shared" si="11"/>
        <v>222.7</v>
      </c>
    </row>
    <row r="765" spans="1:13">
      <c r="A765" t="s">
        <v>1133</v>
      </c>
      <c r="B765" t="s">
        <v>29</v>
      </c>
      <c r="C765" t="str">
        <f>_xlfn.XLOOKUP(F765,Products!$A$2:$A$51,Products!$C$2:$C$51,0)</f>
        <v>Consumables</v>
      </c>
      <c r="D765" t="str">
        <f>_xlfn.XLOOKUP(F765,Products!$A$2:$A$51,Products!$B$2:$B$51,0)</f>
        <v>Single-Origin Ethiopian (250g)</v>
      </c>
      <c r="E765" t="str">
        <f>_xlfn.XLOOKUP(B765,customers!$A$2:$A$195,customers!$B$2:$B$195,,0)</f>
        <v>West</v>
      </c>
      <c r="F765">
        <v>1026</v>
      </c>
      <c r="G765" s="9">
        <f>_xlfn.XLOOKUP(B765,customers!$A$1:$A$195,customers!$C$1:$C$195)</f>
        <v>45207</v>
      </c>
      <c r="H765" s="13" t="s">
        <v>1132</v>
      </c>
      <c r="I765">
        <v>4</v>
      </c>
      <c r="J765">
        <v>77.96</v>
      </c>
      <c r="K765">
        <v>50.82</v>
      </c>
      <c r="L765">
        <f>_xlfn.XLOOKUP(F765,Products!$A$2:$A$51,Products!$D$2:$D$51,0)</f>
        <v>19.49</v>
      </c>
      <c r="M765">
        <f t="shared" si="11"/>
        <v>27.14</v>
      </c>
    </row>
    <row r="766" spans="1:13">
      <c r="A766" t="s">
        <v>1134</v>
      </c>
      <c r="B766" t="s">
        <v>70</v>
      </c>
      <c r="C766" t="str">
        <f>_xlfn.XLOOKUP(F766,Products!$A$2:$A$51,Products!$C$2:$C$51,0)</f>
        <v>Subscriptions</v>
      </c>
      <c r="D766" t="str">
        <f>_xlfn.XLOOKUP(F766,Products!$A$2:$A$51,Products!$B$2:$B$51,0)</f>
        <v>Espresso Lovers Quarterly Pack</v>
      </c>
      <c r="E766" t="str">
        <f>_xlfn.XLOOKUP(B766,customers!$A$2:$A$195,customers!$B$2:$B$195,,0)</f>
        <v>West</v>
      </c>
      <c r="F766">
        <v>1049</v>
      </c>
      <c r="G766" s="9">
        <f>_xlfn.XLOOKUP(B766,customers!$A$1:$A$195,customers!$C$1:$C$195)</f>
        <v>45269</v>
      </c>
      <c r="H766" s="13" t="s">
        <v>1132</v>
      </c>
      <c r="I766">
        <v>1</v>
      </c>
      <c r="J766">
        <v>74.87</v>
      </c>
      <c r="K766">
        <v>19.2</v>
      </c>
      <c r="L766">
        <f>_xlfn.XLOOKUP(F766,Products!$A$2:$A$51,Products!$D$2:$D$51,0)</f>
        <v>74.87</v>
      </c>
      <c r="M766">
        <f t="shared" si="11"/>
        <v>55.67</v>
      </c>
    </row>
    <row r="767" spans="1:13">
      <c r="A767" t="s">
        <v>1135</v>
      </c>
      <c r="B767" t="s">
        <v>78</v>
      </c>
      <c r="C767" t="str">
        <f>_xlfn.XLOOKUP(F767,Products!$A$2:$A$51,Products!$C$2:$C$51,0)</f>
        <v>Consumables</v>
      </c>
      <c r="D767" t="str">
        <f>_xlfn.XLOOKUP(F767,Products!$A$2:$A$51,Products!$B$2:$B$51,0)</f>
        <v>Decaf Blend (1kg)</v>
      </c>
      <c r="E767" t="str">
        <f>_xlfn.XLOOKUP(B767,customers!$A$2:$A$195,customers!$B$2:$B$195,,0)</f>
        <v>North</v>
      </c>
      <c r="F767">
        <v>1003</v>
      </c>
      <c r="G767" s="9">
        <f>_xlfn.XLOOKUP(B767,customers!$A$1:$A$195,customers!$C$1:$C$195)</f>
        <v>44961</v>
      </c>
      <c r="H767" s="13" t="s">
        <v>1132</v>
      </c>
      <c r="I767">
        <v>1</v>
      </c>
      <c r="J767">
        <v>40.35</v>
      </c>
      <c r="K767">
        <v>12.86</v>
      </c>
      <c r="L767">
        <f>_xlfn.XLOOKUP(F767,Products!$A$2:$A$51,Products!$D$2:$D$51,0)</f>
        <v>40.35</v>
      </c>
      <c r="M767">
        <f t="shared" si="11"/>
        <v>27.49</v>
      </c>
    </row>
    <row r="768" spans="1:13">
      <c r="A768" t="s">
        <v>1136</v>
      </c>
      <c r="B768" t="s">
        <v>92</v>
      </c>
      <c r="C768" t="str">
        <f>_xlfn.XLOOKUP(F768,Products!$A$2:$A$51,Products!$C$2:$C$51,0)</f>
        <v>Merchandise</v>
      </c>
      <c r="D768" t="str">
        <f>_xlfn.XLOOKUP(F768,Products!$A$2:$A$51,Products!$B$2:$B$51,0)</f>
        <v>Minimalist Keychain</v>
      </c>
      <c r="E768" t="str">
        <f>_xlfn.XLOOKUP(B768,customers!$A$2:$A$195,customers!$B$2:$B$195,,0)</f>
        <v>South</v>
      </c>
      <c r="F768">
        <v>1020</v>
      </c>
      <c r="G768" s="9">
        <f>_xlfn.XLOOKUP(B768,customers!$A$1:$A$195,customers!$C$1:$C$195)</f>
        <v>45125</v>
      </c>
      <c r="H768" s="13" t="s">
        <v>1132</v>
      </c>
      <c r="I768">
        <v>2</v>
      </c>
      <c r="J768">
        <v>54.74</v>
      </c>
      <c r="K768">
        <v>48.18</v>
      </c>
      <c r="L768">
        <f>_xlfn.XLOOKUP(F768,Products!$A$2:$A$51,Products!$D$2:$D$51,0)</f>
        <v>27.37</v>
      </c>
      <c r="M768">
        <f t="shared" si="11"/>
        <v>6.56</v>
      </c>
    </row>
    <row r="769" spans="1:13">
      <c r="A769" t="s">
        <v>1137</v>
      </c>
      <c r="B769" t="s">
        <v>98</v>
      </c>
      <c r="C769" t="str">
        <f>_xlfn.XLOOKUP(F769,Products!$A$2:$A$51,Products!$C$2:$C$51,0)</f>
        <v>Accessories</v>
      </c>
      <c r="D769" t="str">
        <f>_xlfn.XLOOKUP(F769,Products!$A$2:$A$51,Products!$B$2:$B$51,0)</f>
        <v>Chemex Filters (100 pack)</v>
      </c>
      <c r="E769" t="str">
        <f>_xlfn.XLOOKUP(B769,customers!$A$2:$A$195,customers!$B$2:$B$195,,0)</f>
        <v>South</v>
      </c>
      <c r="F769">
        <v>1014</v>
      </c>
      <c r="G769" s="9">
        <f>_xlfn.XLOOKUP(B769,customers!$A$1:$A$195,customers!$C$1:$C$195)</f>
        <v>45122</v>
      </c>
      <c r="H769" s="13" t="s">
        <v>1132</v>
      </c>
      <c r="I769">
        <v>4</v>
      </c>
      <c r="J769">
        <v>96.4</v>
      </c>
      <c r="K769">
        <v>84.83</v>
      </c>
      <c r="L769">
        <f>_xlfn.XLOOKUP(F769,Products!$A$2:$A$51,Products!$D$2:$D$51,0)</f>
        <v>24.1</v>
      </c>
      <c r="M769">
        <f t="shared" si="11"/>
        <v>11.57</v>
      </c>
    </row>
    <row r="770" spans="1:13">
      <c r="A770" t="s">
        <v>1138</v>
      </c>
      <c r="B770" t="s">
        <v>121</v>
      </c>
      <c r="C770" t="str">
        <f>_xlfn.XLOOKUP(F770,Products!$A$2:$A$51,Products!$C$2:$C$51,0)</f>
        <v>Grinders &amp; Brewers</v>
      </c>
      <c r="D770" t="str">
        <f>_xlfn.XLOOKUP(F770,Products!$A$2:$A$51,Products!$B$2:$B$51,0)</f>
        <v>High-Capacity French Press</v>
      </c>
      <c r="E770" t="str">
        <f>_xlfn.XLOOKUP(B770,customers!$A$2:$A$195,customers!$B$2:$B$195,,0)</f>
        <v>West</v>
      </c>
      <c r="F770">
        <v>1034</v>
      </c>
      <c r="G770" s="9">
        <f>_xlfn.XLOOKUP(B770,customers!$A$1:$A$195,customers!$C$1:$C$195)</f>
        <v>45164</v>
      </c>
      <c r="H770" s="13" t="s">
        <v>1132</v>
      </c>
      <c r="I770">
        <v>4</v>
      </c>
      <c r="J770">
        <v>1353.44</v>
      </c>
      <c r="K770">
        <v>592.68</v>
      </c>
      <c r="L770">
        <f>_xlfn.XLOOKUP(F770,Products!$A$2:$A$51,Products!$D$2:$D$51,0)</f>
        <v>338.36</v>
      </c>
      <c r="M770">
        <f t="shared" si="11"/>
        <v>760.76</v>
      </c>
    </row>
    <row r="771" spans="1:13">
      <c r="A771" t="s">
        <v>1139</v>
      </c>
      <c r="B771" t="s">
        <v>135</v>
      </c>
      <c r="C771" t="str">
        <f>_xlfn.XLOOKUP(F771,Products!$A$2:$A$51,Products!$C$2:$C$51,0)</f>
        <v>Subscriptions</v>
      </c>
      <c r="D771" t="str">
        <f>_xlfn.XLOOKUP(F771,Products!$A$2:$A$51,Products!$B$2:$B$51,0)</f>
        <v>Bi-Weekly Sampler Box</v>
      </c>
      <c r="E771" t="str">
        <f>_xlfn.XLOOKUP(B771,customers!$A$2:$A$195,customers!$B$2:$B$195,,0)</f>
        <v>East</v>
      </c>
      <c r="F771">
        <v>1022</v>
      </c>
      <c r="G771" s="9">
        <f>_xlfn.XLOOKUP(B771,customers!$A$1:$A$195,customers!$C$1:$C$195)</f>
        <v>45286</v>
      </c>
      <c r="H771" s="13" t="s">
        <v>1132</v>
      </c>
      <c r="I771">
        <v>3</v>
      </c>
      <c r="J771">
        <v>266.31</v>
      </c>
      <c r="K771">
        <v>71.58</v>
      </c>
      <c r="L771">
        <f>_xlfn.XLOOKUP(F771,Products!$A$2:$A$51,Products!$D$2:$D$51,0)</f>
        <v>88.77</v>
      </c>
      <c r="M771">
        <f t="shared" ref="M771:M834" si="12">J771-K771</f>
        <v>194.73</v>
      </c>
    </row>
    <row r="772" spans="1:13">
      <c r="A772" t="s">
        <v>1140</v>
      </c>
      <c r="B772" t="s">
        <v>181</v>
      </c>
      <c r="C772" t="str">
        <f>_xlfn.XLOOKUP(F772,Products!$A$2:$A$51,Products!$C$2:$C$51,0)</f>
        <v>Merchandise</v>
      </c>
      <c r="D772" t="str">
        <f>_xlfn.XLOOKUP(F772,Products!$A$2:$A$51,Products!$B$2:$B$51,0)</f>
        <v>Daily Grind T-Shirt</v>
      </c>
      <c r="E772" t="str">
        <f>_xlfn.XLOOKUP(B772,customers!$A$2:$A$195,customers!$B$2:$B$195,,0)</f>
        <v>East</v>
      </c>
      <c r="F772">
        <v>1044</v>
      </c>
      <c r="G772" s="9">
        <f>_xlfn.XLOOKUP(B772,customers!$A$1:$A$195,customers!$C$1:$C$195)</f>
        <v>45125</v>
      </c>
      <c r="H772" s="13" t="s">
        <v>1132</v>
      </c>
      <c r="I772">
        <v>2</v>
      </c>
      <c r="J772">
        <v>42.74</v>
      </c>
      <c r="K772">
        <v>16.52</v>
      </c>
      <c r="L772">
        <f>_xlfn.XLOOKUP(F772,Products!$A$2:$A$51,Products!$D$2:$D$51,0)</f>
        <v>21.37</v>
      </c>
      <c r="M772">
        <f t="shared" si="12"/>
        <v>26.22</v>
      </c>
    </row>
    <row r="773" spans="1:13">
      <c r="A773" t="s">
        <v>1141</v>
      </c>
      <c r="B773" t="s">
        <v>37</v>
      </c>
      <c r="C773" t="str">
        <f>_xlfn.XLOOKUP(F773,Products!$A$2:$A$51,Products!$C$2:$C$51,0)</f>
        <v>Subscriptions</v>
      </c>
      <c r="D773" t="str">
        <f>_xlfn.XLOOKUP(F773,Products!$A$2:$A$51,Products!$B$2:$B$51,0)</f>
        <v>Monthly Dark Roast Subscription</v>
      </c>
      <c r="E773" t="str">
        <f>_xlfn.XLOOKUP(B773,customers!$A$2:$A$195,customers!$B$2:$B$195,,0)</f>
        <v>South</v>
      </c>
      <c r="F773">
        <v>1046</v>
      </c>
      <c r="G773" s="9">
        <f>_xlfn.XLOOKUP(B773,customers!$A$1:$A$195,customers!$C$1:$C$195)</f>
        <v>45059</v>
      </c>
      <c r="H773" s="13" t="s">
        <v>1142</v>
      </c>
      <c r="I773">
        <v>3</v>
      </c>
      <c r="J773">
        <v>183.78</v>
      </c>
      <c r="K773">
        <v>105.44</v>
      </c>
      <c r="L773">
        <f>_xlfn.XLOOKUP(F773,Products!$A$2:$A$51,Products!$D$2:$D$51,0)</f>
        <v>61.26</v>
      </c>
      <c r="M773">
        <f t="shared" si="12"/>
        <v>78.34</v>
      </c>
    </row>
    <row r="774" spans="1:13">
      <c r="A774" t="s">
        <v>1143</v>
      </c>
      <c r="B774" t="s">
        <v>55</v>
      </c>
      <c r="C774" t="str">
        <f>_xlfn.XLOOKUP(F774,Products!$A$2:$A$51,Products!$C$2:$C$51,0)</f>
        <v>Merchandise</v>
      </c>
      <c r="D774" t="str">
        <f>_xlfn.XLOOKUP(F774,Products!$A$2:$A$51,Products!$B$2:$B$51,0)</f>
        <v>Daily Grind T-Shirt</v>
      </c>
      <c r="E774" t="str">
        <f>_xlfn.XLOOKUP(B774,customers!$A$2:$A$195,customers!$B$2:$B$195,,0)</f>
        <v>South</v>
      </c>
      <c r="F774">
        <v>1044</v>
      </c>
      <c r="G774" s="9">
        <f>_xlfn.XLOOKUP(B774,customers!$A$1:$A$195,customers!$C$1:$C$195)</f>
        <v>45223</v>
      </c>
      <c r="H774" s="13" t="s">
        <v>1142</v>
      </c>
      <c r="I774">
        <v>4</v>
      </c>
      <c r="J774">
        <v>85.48</v>
      </c>
      <c r="K774">
        <v>33.04</v>
      </c>
      <c r="L774">
        <f>_xlfn.XLOOKUP(F774,Products!$A$2:$A$51,Products!$D$2:$D$51,0)</f>
        <v>21.37</v>
      </c>
      <c r="M774">
        <f t="shared" si="12"/>
        <v>52.44</v>
      </c>
    </row>
    <row r="775" spans="1:13">
      <c r="A775" t="s">
        <v>1144</v>
      </c>
      <c r="B775" t="s">
        <v>182</v>
      </c>
      <c r="C775" t="str">
        <f>_xlfn.XLOOKUP(F775,Products!$A$2:$A$51,Products!$C$2:$C$51,0)</f>
        <v>Merchandise</v>
      </c>
      <c r="D775" t="str">
        <f>_xlfn.XLOOKUP(F775,Products!$A$2:$A$51,Products!$B$2:$B$51,0)</f>
        <v>Branded Ceramic Mug (Large)</v>
      </c>
      <c r="E775" t="str">
        <f>_xlfn.XLOOKUP(B775,customers!$A$2:$A$195,customers!$B$2:$B$195,,0)</f>
        <v>East</v>
      </c>
      <c r="F775">
        <v>1016</v>
      </c>
      <c r="G775" s="9">
        <f>_xlfn.XLOOKUP(B775,customers!$A$1:$A$195,customers!$C$1:$C$195)</f>
        <v>44998</v>
      </c>
      <c r="H775" s="13" t="s">
        <v>1142</v>
      </c>
      <c r="I775">
        <v>2</v>
      </c>
      <c r="J775">
        <v>86.4</v>
      </c>
      <c r="K775">
        <v>62.22</v>
      </c>
      <c r="L775">
        <f>_xlfn.XLOOKUP(F775,Products!$A$2:$A$51,Products!$D$2:$D$51,0)</f>
        <v>43.2</v>
      </c>
      <c r="M775">
        <f t="shared" si="12"/>
        <v>24.18</v>
      </c>
    </row>
    <row r="776" spans="1:13">
      <c r="A776" t="s">
        <v>1145</v>
      </c>
      <c r="B776" t="s">
        <v>44</v>
      </c>
      <c r="C776" t="str">
        <f>_xlfn.XLOOKUP(F776,Products!$A$2:$A$51,Products!$C$2:$C$51,0)</f>
        <v>Accessories</v>
      </c>
      <c r="D776" t="str">
        <f>_xlfn.XLOOKUP(F776,Products!$A$2:$A$51,Products!$B$2:$B$51,0)</f>
        <v>Digital Coffee Scale</v>
      </c>
      <c r="E776" t="str">
        <f>_xlfn.XLOOKUP(B776,customers!$A$2:$A$195,customers!$B$2:$B$195,,0)</f>
        <v>East</v>
      </c>
      <c r="F776">
        <v>1011</v>
      </c>
      <c r="G776" s="9">
        <f>_xlfn.XLOOKUP(B776,customers!$A$1:$A$195,customers!$C$1:$C$195)</f>
        <v>45171</v>
      </c>
      <c r="H776" s="13" t="s">
        <v>1146</v>
      </c>
      <c r="I776">
        <v>4</v>
      </c>
      <c r="J776">
        <v>107.32</v>
      </c>
      <c r="K776">
        <v>58.61</v>
      </c>
      <c r="L776">
        <f>_xlfn.XLOOKUP(F776,Products!$A$2:$A$51,Products!$D$2:$D$51,0)</f>
        <v>26.83</v>
      </c>
      <c r="M776">
        <f t="shared" si="12"/>
        <v>48.71</v>
      </c>
    </row>
    <row r="777" spans="1:13">
      <c r="A777" t="s">
        <v>1147</v>
      </c>
      <c r="B777" t="s">
        <v>78</v>
      </c>
      <c r="C777" t="str">
        <f>_xlfn.XLOOKUP(F777,Products!$A$2:$A$51,Products!$C$2:$C$51,0)</f>
        <v>Subscriptions</v>
      </c>
      <c r="D777" t="str">
        <f>_xlfn.XLOOKUP(F777,Products!$A$2:$A$51,Products!$B$2:$B$51,0)</f>
        <v>Monthly Dark Roast Subscription</v>
      </c>
      <c r="E777" t="str">
        <f>_xlfn.XLOOKUP(B777,customers!$A$2:$A$195,customers!$B$2:$B$195,,0)</f>
        <v>North</v>
      </c>
      <c r="F777">
        <v>1021</v>
      </c>
      <c r="G777" s="9">
        <f>_xlfn.XLOOKUP(B777,customers!$A$1:$A$195,customers!$C$1:$C$195)</f>
        <v>44961</v>
      </c>
      <c r="H777" s="13" t="s">
        <v>1148</v>
      </c>
      <c r="I777">
        <v>3</v>
      </c>
      <c r="J777">
        <v>183.78</v>
      </c>
      <c r="K777">
        <v>105.44</v>
      </c>
      <c r="L777">
        <f>_xlfn.XLOOKUP(F777,Products!$A$2:$A$51,Products!$D$2:$D$51,0)</f>
        <v>61.26</v>
      </c>
      <c r="M777">
        <f t="shared" si="12"/>
        <v>78.34</v>
      </c>
    </row>
    <row r="778" spans="1:13">
      <c r="A778" t="s">
        <v>1149</v>
      </c>
      <c r="B778" t="s">
        <v>81</v>
      </c>
      <c r="C778" t="str">
        <f>_xlfn.XLOOKUP(F778,Products!$A$2:$A$51,Products!$C$2:$C$51,0)</f>
        <v>Accessories</v>
      </c>
      <c r="D778" t="str">
        <f>_xlfn.XLOOKUP(F778,Products!$A$2:$A$51,Products!$B$2:$B$51,0)</f>
        <v>Gooseneck Electric Kettle</v>
      </c>
      <c r="E778" t="str">
        <f>_xlfn.XLOOKUP(B778,customers!$A$2:$A$195,customers!$B$2:$B$195,,0)</f>
        <v>West</v>
      </c>
      <c r="F778">
        <v>1037</v>
      </c>
      <c r="G778" s="9">
        <f>_xlfn.XLOOKUP(B778,customers!$A$1:$A$195,customers!$C$1:$C$195)</f>
        <v>45041</v>
      </c>
      <c r="H778" s="13" t="s">
        <v>1148</v>
      </c>
      <c r="I778">
        <v>4</v>
      </c>
      <c r="J778">
        <v>139.48</v>
      </c>
      <c r="K778">
        <v>103.88</v>
      </c>
      <c r="L778">
        <f>_xlfn.XLOOKUP(F778,Products!$A$2:$A$51,Products!$D$2:$D$51,0)</f>
        <v>34.87</v>
      </c>
      <c r="M778">
        <f t="shared" si="12"/>
        <v>35.6</v>
      </c>
    </row>
    <row r="779" spans="1:13">
      <c r="A779" t="s">
        <v>1150</v>
      </c>
      <c r="B779" t="s">
        <v>36</v>
      </c>
      <c r="C779" t="str">
        <f>_xlfn.XLOOKUP(F779,Products!$A$2:$A$51,Products!$C$2:$C$51,0)</f>
        <v>Subscriptions</v>
      </c>
      <c r="D779" t="str">
        <f>_xlfn.XLOOKUP(F779,Products!$A$2:$A$51,Products!$B$2:$B$51,0)</f>
        <v>Subscription Renewal Service</v>
      </c>
      <c r="E779" t="str">
        <f>_xlfn.XLOOKUP(B779,customers!$A$2:$A$195,customers!$B$2:$B$195,,0)</f>
        <v>North</v>
      </c>
      <c r="F779">
        <v>1050</v>
      </c>
      <c r="G779" s="9">
        <f>_xlfn.XLOOKUP(B779,customers!$A$1:$A$195,customers!$C$1:$C$195)</f>
        <v>45102</v>
      </c>
      <c r="H779" s="13" t="s">
        <v>1151</v>
      </c>
      <c r="I779">
        <v>1</v>
      </c>
      <c r="J779">
        <v>73.41</v>
      </c>
      <c r="K779">
        <v>27.29</v>
      </c>
      <c r="L779">
        <f>_xlfn.XLOOKUP(F779,Products!$A$2:$A$51,Products!$D$2:$D$51,0)</f>
        <v>73.41</v>
      </c>
      <c r="M779">
        <f t="shared" si="12"/>
        <v>46.12</v>
      </c>
    </row>
    <row r="780" spans="1:13">
      <c r="A780" t="s">
        <v>1152</v>
      </c>
      <c r="B780" t="s">
        <v>85</v>
      </c>
      <c r="C780" t="str">
        <f>_xlfn.XLOOKUP(F780,Products!$A$2:$A$51,Products!$C$2:$C$51,0)</f>
        <v>Grinders &amp; Brewers</v>
      </c>
      <c r="D780" t="str">
        <f>_xlfn.XLOOKUP(F780,Products!$A$2:$A$51,Products!$B$2:$B$51,0)</f>
        <v>High-Capacity French Press</v>
      </c>
      <c r="E780" t="str">
        <f>_xlfn.XLOOKUP(B780,customers!$A$2:$A$195,customers!$B$2:$B$195,,0)</f>
        <v>North</v>
      </c>
      <c r="F780">
        <v>1034</v>
      </c>
      <c r="G780" s="9">
        <f>_xlfn.XLOOKUP(B780,customers!$A$1:$A$195,customers!$C$1:$C$195)</f>
        <v>45181</v>
      </c>
      <c r="H780" s="13" t="s">
        <v>1151</v>
      </c>
      <c r="I780">
        <v>2</v>
      </c>
      <c r="J780">
        <v>676.72</v>
      </c>
      <c r="K780">
        <v>296.34</v>
      </c>
      <c r="L780">
        <f>_xlfn.XLOOKUP(F780,Products!$A$2:$A$51,Products!$D$2:$D$51,0)</f>
        <v>338.36</v>
      </c>
      <c r="M780">
        <f t="shared" si="12"/>
        <v>380.38</v>
      </c>
    </row>
    <row r="781" spans="1:13">
      <c r="A781" t="s">
        <v>1153</v>
      </c>
      <c r="B781" t="s">
        <v>95</v>
      </c>
      <c r="C781" t="str">
        <f>_xlfn.XLOOKUP(F781,Products!$A$2:$A$51,Products!$C$2:$C$51,0)</f>
        <v>Accessories</v>
      </c>
      <c r="D781" t="str">
        <f>_xlfn.XLOOKUP(F781,Products!$A$2:$A$51,Products!$B$2:$B$51,0)</f>
        <v>Digital Coffee Scale</v>
      </c>
      <c r="E781" t="str">
        <f>_xlfn.XLOOKUP(B781,customers!$A$2:$A$195,customers!$B$2:$B$195,,0)</f>
        <v>West</v>
      </c>
      <c r="F781">
        <v>1011</v>
      </c>
      <c r="G781" s="9">
        <f>_xlfn.XLOOKUP(B781,customers!$A$1:$A$195,customers!$C$1:$C$195)</f>
        <v>44941</v>
      </c>
      <c r="H781" s="13" t="s">
        <v>1151</v>
      </c>
      <c r="I781">
        <v>3</v>
      </c>
      <c r="J781">
        <v>80.49</v>
      </c>
      <c r="K781">
        <v>43.96</v>
      </c>
      <c r="L781">
        <f>_xlfn.XLOOKUP(F781,Products!$A$2:$A$51,Products!$D$2:$D$51,0)</f>
        <v>26.83</v>
      </c>
      <c r="M781">
        <f t="shared" si="12"/>
        <v>36.53</v>
      </c>
    </row>
    <row r="782" spans="1:13">
      <c r="A782" t="s">
        <v>1154</v>
      </c>
      <c r="B782" t="s">
        <v>119</v>
      </c>
      <c r="C782" t="str">
        <f>_xlfn.XLOOKUP(F782,Products!$A$2:$A$51,Products!$C$2:$C$51,0)</f>
        <v>Consumables</v>
      </c>
      <c r="D782" t="str">
        <f>_xlfn.XLOOKUP(F782,Products!$A$2:$A$51,Products!$B$2:$B$51,0)</f>
        <v>Cold Brew Concentrate</v>
      </c>
      <c r="E782" t="str">
        <f>_xlfn.XLOOKUP(B782,customers!$A$2:$A$195,customers!$B$2:$B$195,,0)</f>
        <v>West</v>
      </c>
      <c r="F782">
        <v>1029</v>
      </c>
      <c r="G782" s="9">
        <f>_xlfn.XLOOKUP(B782,customers!$A$1:$A$195,customers!$C$1:$C$195)</f>
        <v>44960</v>
      </c>
      <c r="H782" s="13" t="s">
        <v>1151</v>
      </c>
      <c r="I782">
        <v>2</v>
      </c>
      <c r="J782">
        <v>46.98</v>
      </c>
      <c r="K782">
        <v>20.17</v>
      </c>
      <c r="L782">
        <f>_xlfn.XLOOKUP(F782,Products!$A$2:$A$51,Products!$D$2:$D$51,0)</f>
        <v>23.49</v>
      </c>
      <c r="M782">
        <f t="shared" si="12"/>
        <v>26.81</v>
      </c>
    </row>
    <row r="783" spans="1:13">
      <c r="A783" t="s">
        <v>1155</v>
      </c>
      <c r="B783" t="s">
        <v>126</v>
      </c>
      <c r="C783" t="str">
        <f>_xlfn.XLOOKUP(F783,Products!$A$2:$A$51,Products!$C$2:$C$51,0)</f>
        <v>Merchandise</v>
      </c>
      <c r="D783" t="str">
        <f>_xlfn.XLOOKUP(F783,Products!$A$2:$A$51,Products!$B$2:$B$51,0)</f>
        <v>Logo Hoodie (Black)</v>
      </c>
      <c r="E783" t="str">
        <f>_xlfn.XLOOKUP(B783,customers!$A$2:$A$195,customers!$B$2:$B$195,,0)</f>
        <v>North</v>
      </c>
      <c r="F783">
        <v>1017</v>
      </c>
      <c r="G783" s="9">
        <f>_xlfn.XLOOKUP(B783,customers!$A$1:$A$195,customers!$C$1:$C$195)</f>
        <v>45192</v>
      </c>
      <c r="H783" s="13" t="s">
        <v>1151</v>
      </c>
      <c r="I783">
        <v>1</v>
      </c>
      <c r="J783">
        <v>15.23</v>
      </c>
      <c r="K783">
        <v>13.4</v>
      </c>
      <c r="L783">
        <f>_xlfn.XLOOKUP(F783,Products!$A$2:$A$51,Products!$D$2:$D$51,0)</f>
        <v>15.23</v>
      </c>
      <c r="M783">
        <f t="shared" si="12"/>
        <v>1.83</v>
      </c>
    </row>
    <row r="784" spans="1:13">
      <c r="A784" t="s">
        <v>1156</v>
      </c>
      <c r="B784" t="s">
        <v>9</v>
      </c>
      <c r="C784" t="str">
        <f>_xlfn.XLOOKUP(F784,Products!$A$2:$A$51,Products!$C$2:$C$51,0)</f>
        <v>Accessories</v>
      </c>
      <c r="D784" t="str">
        <f>_xlfn.XLOOKUP(F784,Products!$A$2:$A$51,Products!$B$2:$B$51,0)</f>
        <v>Gooseneck Electric Kettle</v>
      </c>
      <c r="E784" t="str">
        <f>_xlfn.XLOOKUP(B784,customers!$A$2:$A$195,customers!$B$2:$B$195,,0)</f>
        <v>West</v>
      </c>
      <c r="F784">
        <v>1037</v>
      </c>
      <c r="G784" s="9">
        <f>_xlfn.XLOOKUP(B784,customers!$A$1:$A$195,customers!$C$1:$C$195)</f>
        <v>44949</v>
      </c>
      <c r="H784" s="13" t="s">
        <v>1157</v>
      </c>
      <c r="I784">
        <v>2</v>
      </c>
      <c r="J784">
        <v>69.74</v>
      </c>
      <c r="K784">
        <v>51.94</v>
      </c>
      <c r="L784">
        <f>_xlfn.XLOOKUP(F784,Products!$A$2:$A$51,Products!$D$2:$D$51,0)</f>
        <v>34.87</v>
      </c>
      <c r="M784">
        <f t="shared" si="12"/>
        <v>17.8</v>
      </c>
    </row>
    <row r="785" spans="1:13">
      <c r="A785" t="s">
        <v>1158</v>
      </c>
      <c r="B785" t="s">
        <v>43</v>
      </c>
      <c r="C785" t="str">
        <f>_xlfn.XLOOKUP(F785,Products!$A$2:$A$51,Products!$C$2:$C$51,0)</f>
        <v>Consumables</v>
      </c>
      <c r="D785" t="str">
        <f>_xlfn.XLOOKUP(F785,Products!$A$2:$A$51,Products!$B$2:$B$51,0)</f>
        <v>Single-Origin Ethiopian (250g)</v>
      </c>
      <c r="E785" t="str">
        <f>_xlfn.XLOOKUP(B785,customers!$A$2:$A$195,customers!$B$2:$B$195,,0)</f>
        <v>West</v>
      </c>
      <c r="F785">
        <v>1026</v>
      </c>
      <c r="G785" s="9">
        <f>_xlfn.XLOOKUP(B785,customers!$A$1:$A$195,customers!$C$1:$C$195)</f>
        <v>45197</v>
      </c>
      <c r="H785" s="13" t="s">
        <v>1157</v>
      </c>
      <c r="I785">
        <v>2</v>
      </c>
      <c r="J785">
        <v>38.98</v>
      </c>
      <c r="K785">
        <v>25.41</v>
      </c>
      <c r="L785">
        <f>_xlfn.XLOOKUP(F785,Products!$A$2:$A$51,Products!$D$2:$D$51,0)</f>
        <v>19.49</v>
      </c>
      <c r="M785">
        <f t="shared" si="12"/>
        <v>13.57</v>
      </c>
    </row>
    <row r="786" spans="1:13">
      <c r="A786" t="s">
        <v>1159</v>
      </c>
      <c r="B786" t="s">
        <v>85</v>
      </c>
      <c r="C786" t="str">
        <f>_xlfn.XLOOKUP(F786,Products!$A$2:$A$51,Products!$C$2:$C$51,0)</f>
        <v>Merchandise</v>
      </c>
      <c r="D786" t="str">
        <f>_xlfn.XLOOKUP(F786,Products!$A$2:$A$51,Products!$B$2:$B$51,0)</f>
        <v>Insulated Travel Tumbler</v>
      </c>
      <c r="E786" t="str">
        <f>_xlfn.XLOOKUP(B786,customers!$A$2:$A$195,customers!$B$2:$B$195,,0)</f>
        <v>North</v>
      </c>
      <c r="F786">
        <v>1018</v>
      </c>
      <c r="G786" s="9">
        <f>_xlfn.XLOOKUP(B786,customers!$A$1:$A$195,customers!$C$1:$C$195)</f>
        <v>45181</v>
      </c>
      <c r="H786" s="13" t="s">
        <v>1157</v>
      </c>
      <c r="I786">
        <v>1</v>
      </c>
      <c r="J786">
        <v>43.28</v>
      </c>
      <c r="K786">
        <v>20.82</v>
      </c>
      <c r="L786">
        <f>_xlfn.XLOOKUP(F786,Products!$A$2:$A$51,Products!$D$2:$D$51,0)</f>
        <v>43.28</v>
      </c>
      <c r="M786">
        <f t="shared" si="12"/>
        <v>22.46</v>
      </c>
    </row>
    <row r="787" spans="1:13">
      <c r="A787" t="s">
        <v>1160</v>
      </c>
      <c r="B787" t="s">
        <v>169</v>
      </c>
      <c r="C787" t="str">
        <f>_xlfn.XLOOKUP(F787,Products!$A$2:$A$51,Products!$C$2:$C$51,0)</f>
        <v>Consumables</v>
      </c>
      <c r="D787" t="str">
        <f>_xlfn.XLOOKUP(F787,Products!$A$2:$A$51,Products!$B$2:$B$51,0)</f>
        <v>Seasonal Blend Light Roast</v>
      </c>
      <c r="E787" t="str">
        <f>_xlfn.XLOOKUP(B787,customers!$A$2:$A$195,customers!$B$2:$B$195,,0)</f>
        <v>West</v>
      </c>
      <c r="F787">
        <v>1027</v>
      </c>
      <c r="G787" s="9">
        <f>_xlfn.XLOOKUP(B787,customers!$A$1:$A$195,customers!$C$1:$C$195)</f>
        <v>44979</v>
      </c>
      <c r="H787" s="13" t="s">
        <v>1157</v>
      </c>
      <c r="I787">
        <v>1</v>
      </c>
      <c r="J787">
        <v>35.53</v>
      </c>
      <c r="K787">
        <v>5.93</v>
      </c>
      <c r="L787">
        <f>_xlfn.XLOOKUP(F787,Products!$A$2:$A$51,Products!$D$2:$D$51,0)</f>
        <v>35.53</v>
      </c>
      <c r="M787">
        <f t="shared" si="12"/>
        <v>29.6</v>
      </c>
    </row>
    <row r="788" spans="1:13">
      <c r="A788" t="s">
        <v>1161</v>
      </c>
      <c r="B788" t="s">
        <v>44</v>
      </c>
      <c r="C788" t="str">
        <f>_xlfn.XLOOKUP(F788,Products!$A$2:$A$51,Products!$C$2:$C$51,0)</f>
        <v>Subscriptions</v>
      </c>
      <c r="D788" t="str">
        <f>_xlfn.XLOOKUP(F788,Products!$A$2:$A$51,Products!$B$2:$B$51,0)</f>
        <v>Subscription Renewal Service</v>
      </c>
      <c r="E788" t="str">
        <f>_xlfn.XLOOKUP(B788,customers!$A$2:$A$195,customers!$B$2:$B$195,,0)</f>
        <v>East</v>
      </c>
      <c r="F788">
        <v>1025</v>
      </c>
      <c r="G788" s="9">
        <f>_xlfn.XLOOKUP(B788,customers!$A$1:$A$195,customers!$C$1:$C$195)</f>
        <v>45171</v>
      </c>
      <c r="H788" s="13" t="s">
        <v>1162</v>
      </c>
      <c r="I788">
        <v>3</v>
      </c>
      <c r="J788">
        <v>220.23</v>
      </c>
      <c r="K788">
        <v>81.87</v>
      </c>
      <c r="L788">
        <f>_xlfn.XLOOKUP(F788,Products!$A$2:$A$51,Products!$D$2:$D$51,0)</f>
        <v>73.41</v>
      </c>
      <c r="M788">
        <f t="shared" si="12"/>
        <v>138.36</v>
      </c>
    </row>
    <row r="789" spans="1:13">
      <c r="A789" t="s">
        <v>1163</v>
      </c>
      <c r="B789" t="s">
        <v>49</v>
      </c>
      <c r="C789" t="str">
        <f>_xlfn.XLOOKUP(F789,Products!$A$2:$A$51,Products!$C$2:$C$51,0)</f>
        <v>Accessories</v>
      </c>
      <c r="D789" t="str">
        <f>_xlfn.XLOOKUP(F789,Products!$A$2:$A$51,Products!$B$2:$B$51,0)</f>
        <v>Chemex Filters (100 pack)</v>
      </c>
      <c r="E789" t="str">
        <f>_xlfn.XLOOKUP(B789,customers!$A$2:$A$195,customers!$B$2:$B$195,,0)</f>
        <v>West</v>
      </c>
      <c r="F789">
        <v>1039</v>
      </c>
      <c r="G789" s="9">
        <f>_xlfn.XLOOKUP(B789,customers!$A$1:$A$195,customers!$C$1:$C$195)</f>
        <v>45152</v>
      </c>
      <c r="H789" s="13" t="s">
        <v>1162</v>
      </c>
      <c r="I789">
        <v>4</v>
      </c>
      <c r="J789">
        <v>96.4</v>
      </c>
      <c r="K789">
        <v>84.83</v>
      </c>
      <c r="L789">
        <f>_xlfn.XLOOKUP(F789,Products!$A$2:$A$51,Products!$D$2:$D$51,0)</f>
        <v>24.1</v>
      </c>
      <c r="M789">
        <f t="shared" si="12"/>
        <v>11.57</v>
      </c>
    </row>
    <row r="790" spans="1:13">
      <c r="A790" t="s">
        <v>1164</v>
      </c>
      <c r="B790" t="s">
        <v>56</v>
      </c>
      <c r="C790" t="str">
        <f>_xlfn.XLOOKUP(F790,Products!$A$2:$A$51,Products!$C$2:$C$51,0)</f>
        <v>Accessories</v>
      </c>
      <c r="D790" t="str">
        <f>_xlfn.XLOOKUP(F790,Products!$A$2:$A$51,Products!$B$2:$B$51,0)</f>
        <v>Refillable Coffee Pods</v>
      </c>
      <c r="E790" t="str">
        <f>_xlfn.XLOOKUP(B790,customers!$A$2:$A$195,customers!$B$2:$B$195,,0)</f>
        <v>East</v>
      </c>
      <c r="F790">
        <v>1040</v>
      </c>
      <c r="G790" s="9">
        <f>_xlfn.XLOOKUP(B790,customers!$A$1:$A$195,customers!$C$1:$C$195)</f>
        <v>45074</v>
      </c>
      <c r="H790" s="13" t="s">
        <v>1162</v>
      </c>
      <c r="I790">
        <v>3</v>
      </c>
      <c r="J790">
        <v>72.39</v>
      </c>
      <c r="K790">
        <v>27.88</v>
      </c>
      <c r="L790">
        <f>_xlfn.XLOOKUP(F790,Products!$A$2:$A$51,Products!$D$2:$D$51,0)</f>
        <v>24.13</v>
      </c>
      <c r="M790">
        <f t="shared" si="12"/>
        <v>44.51</v>
      </c>
    </row>
    <row r="791" spans="1:13">
      <c r="A791" t="s">
        <v>1165</v>
      </c>
      <c r="B791" t="s">
        <v>149</v>
      </c>
      <c r="C791" t="str">
        <f>_xlfn.XLOOKUP(F791,Products!$A$2:$A$51,Products!$C$2:$C$51,0)</f>
        <v>Subscriptions</v>
      </c>
      <c r="D791" t="str">
        <f>_xlfn.XLOOKUP(F791,Products!$A$2:$A$51,Products!$B$2:$B$51,0)</f>
        <v>Bi-Weekly Sampler Box</v>
      </c>
      <c r="E791" t="str">
        <f>_xlfn.XLOOKUP(B791,customers!$A$2:$A$195,customers!$B$2:$B$195,,0)</f>
        <v>South</v>
      </c>
      <c r="F791">
        <v>1022</v>
      </c>
      <c r="G791" s="9">
        <f>_xlfn.XLOOKUP(B791,customers!$A$1:$A$195,customers!$C$1:$C$195)</f>
        <v>45054</v>
      </c>
      <c r="H791" s="13" t="s">
        <v>1162</v>
      </c>
      <c r="I791">
        <v>1</v>
      </c>
      <c r="J791">
        <v>88.77</v>
      </c>
      <c r="K791">
        <v>23.86</v>
      </c>
      <c r="L791">
        <f>_xlfn.XLOOKUP(F791,Products!$A$2:$A$51,Products!$D$2:$D$51,0)</f>
        <v>88.77</v>
      </c>
      <c r="M791">
        <f t="shared" si="12"/>
        <v>64.91</v>
      </c>
    </row>
    <row r="792" spans="1:13">
      <c r="A792" t="s">
        <v>1166</v>
      </c>
      <c r="B792" t="s">
        <v>196</v>
      </c>
      <c r="C792" t="str">
        <f>_xlfn.XLOOKUP(F792,Products!$A$2:$A$51,Products!$C$2:$C$51,0)</f>
        <v>Consumables</v>
      </c>
      <c r="D792" t="str">
        <f>_xlfn.XLOOKUP(F792,Products!$A$2:$A$51,Products!$B$2:$B$51,0)</f>
        <v>Cold Brew Concentrate</v>
      </c>
      <c r="E792" t="str">
        <f>_xlfn.XLOOKUP(B792,customers!$A$2:$A$195,customers!$B$2:$B$195,,0)</f>
        <v>West</v>
      </c>
      <c r="F792">
        <v>1029</v>
      </c>
      <c r="G792" s="9">
        <f>_xlfn.XLOOKUP(B792,customers!$A$1:$A$195,customers!$C$1:$C$195)</f>
        <v>45186</v>
      </c>
      <c r="H792" s="13" t="s">
        <v>1162</v>
      </c>
      <c r="I792">
        <v>2</v>
      </c>
      <c r="J792">
        <v>46.98</v>
      </c>
      <c r="K792">
        <v>20.17</v>
      </c>
      <c r="L792">
        <f>_xlfn.XLOOKUP(F792,Products!$A$2:$A$51,Products!$D$2:$D$51,0)</f>
        <v>23.49</v>
      </c>
      <c r="M792">
        <f t="shared" si="12"/>
        <v>26.81</v>
      </c>
    </row>
    <row r="793" spans="1:13">
      <c r="A793" t="s">
        <v>1167</v>
      </c>
      <c r="B793" t="s">
        <v>51</v>
      </c>
      <c r="C793" t="str">
        <f>_xlfn.XLOOKUP(F793,Products!$A$2:$A$51,Products!$C$2:$C$51,0)</f>
        <v>Consumables</v>
      </c>
      <c r="D793" t="str">
        <f>_xlfn.XLOOKUP(F793,Products!$A$2:$A$51,Products!$B$2:$B$51,0)</f>
        <v>Seasonal Blend Light Roast</v>
      </c>
      <c r="E793" t="str">
        <f>_xlfn.XLOOKUP(B793,customers!$A$2:$A$195,customers!$B$2:$B$195,,0)</f>
        <v>South</v>
      </c>
      <c r="F793">
        <v>1002</v>
      </c>
      <c r="G793" s="9">
        <f>_xlfn.XLOOKUP(B793,customers!$A$1:$A$195,customers!$C$1:$C$195)</f>
        <v>45096</v>
      </c>
      <c r="H793" s="13" t="s">
        <v>1168</v>
      </c>
      <c r="I793">
        <v>3</v>
      </c>
      <c r="J793">
        <v>106.59</v>
      </c>
      <c r="K793">
        <v>17.79</v>
      </c>
      <c r="L793">
        <f>_xlfn.XLOOKUP(F793,Products!$A$2:$A$51,Products!$D$2:$D$51,0)</f>
        <v>35.53</v>
      </c>
      <c r="M793">
        <f t="shared" si="12"/>
        <v>88.8</v>
      </c>
    </row>
    <row r="794" spans="1:13">
      <c r="A794" t="s">
        <v>1169</v>
      </c>
      <c r="B794" t="s">
        <v>127</v>
      </c>
      <c r="C794" t="str">
        <f>_xlfn.XLOOKUP(F794,Products!$A$2:$A$51,Products!$C$2:$C$51,0)</f>
        <v>Subscriptions</v>
      </c>
      <c r="D794" t="str">
        <f>_xlfn.XLOOKUP(F794,Products!$A$2:$A$51,Products!$B$2:$B$51,0)</f>
        <v>Espresso Lovers Quarterly Pack</v>
      </c>
      <c r="E794" t="str">
        <f>_xlfn.XLOOKUP(B794,customers!$A$2:$A$195,customers!$B$2:$B$195,,0)</f>
        <v>North</v>
      </c>
      <c r="F794">
        <v>1049</v>
      </c>
      <c r="G794" s="9">
        <f>_xlfn.XLOOKUP(B794,customers!$A$1:$A$195,customers!$C$1:$C$195)</f>
        <v>45070</v>
      </c>
      <c r="H794" s="13" t="s">
        <v>1168</v>
      </c>
      <c r="I794">
        <v>1</v>
      </c>
      <c r="J794">
        <v>74.87</v>
      </c>
      <c r="K794">
        <v>19.2</v>
      </c>
      <c r="L794">
        <f>_xlfn.XLOOKUP(F794,Products!$A$2:$A$51,Products!$D$2:$D$51,0)</f>
        <v>74.87</v>
      </c>
      <c r="M794">
        <f t="shared" si="12"/>
        <v>55.67</v>
      </c>
    </row>
    <row r="795" spans="1:13">
      <c r="A795" t="s">
        <v>1170</v>
      </c>
      <c r="B795" t="s">
        <v>163</v>
      </c>
      <c r="C795" t="str">
        <f>_xlfn.XLOOKUP(F795,Products!$A$2:$A$51,Products!$C$2:$C$51,0)</f>
        <v>Subscriptions</v>
      </c>
      <c r="D795" t="str">
        <f>_xlfn.XLOOKUP(F795,Products!$A$2:$A$51,Products!$B$2:$B$51,0)</f>
        <v>Espresso Lovers Quarterly Pack</v>
      </c>
      <c r="E795" t="str">
        <f>_xlfn.XLOOKUP(B795,customers!$A$2:$A$195,customers!$B$2:$B$195,,0)</f>
        <v>West</v>
      </c>
      <c r="F795">
        <v>1024</v>
      </c>
      <c r="G795" s="9">
        <f>_xlfn.XLOOKUP(B795,customers!$A$1:$A$195,customers!$C$1:$C$195)</f>
        <v>45140</v>
      </c>
      <c r="H795" s="13" t="s">
        <v>1168</v>
      </c>
      <c r="I795">
        <v>3</v>
      </c>
      <c r="J795">
        <v>224.61</v>
      </c>
      <c r="K795">
        <v>57.58</v>
      </c>
      <c r="L795">
        <f>_xlfn.XLOOKUP(F795,Products!$A$2:$A$51,Products!$D$2:$D$51,0)</f>
        <v>74.87</v>
      </c>
      <c r="M795">
        <f t="shared" si="12"/>
        <v>167.03</v>
      </c>
    </row>
    <row r="796" spans="1:13">
      <c r="A796" t="s">
        <v>1171</v>
      </c>
      <c r="B796" t="s">
        <v>171</v>
      </c>
      <c r="C796" t="str">
        <f>_xlfn.XLOOKUP(F796,Products!$A$2:$A$51,Products!$C$2:$C$51,0)</f>
        <v>Consumables</v>
      </c>
      <c r="D796" t="str">
        <f>_xlfn.XLOOKUP(F796,Products!$A$2:$A$51,Products!$B$2:$B$51,0)</f>
        <v>Seasonal Blend Light Roast</v>
      </c>
      <c r="E796" t="str">
        <f>_xlfn.XLOOKUP(B796,customers!$A$2:$A$195,customers!$B$2:$B$195,,0)</f>
        <v>West</v>
      </c>
      <c r="F796">
        <v>1002</v>
      </c>
      <c r="G796" s="9">
        <f>_xlfn.XLOOKUP(B796,customers!$A$1:$A$195,customers!$C$1:$C$195)</f>
        <v>45246</v>
      </c>
      <c r="H796" s="13" t="s">
        <v>1168</v>
      </c>
      <c r="I796">
        <v>4</v>
      </c>
      <c r="J796">
        <v>142.12</v>
      </c>
      <c r="K796">
        <v>23.72</v>
      </c>
      <c r="L796">
        <f>_xlfn.XLOOKUP(F796,Products!$A$2:$A$51,Products!$D$2:$D$51,0)</f>
        <v>35.53</v>
      </c>
      <c r="M796">
        <f t="shared" si="12"/>
        <v>118.4</v>
      </c>
    </row>
    <row r="797" spans="1:13">
      <c r="A797" t="s">
        <v>1172</v>
      </c>
      <c r="B797" t="s">
        <v>17</v>
      </c>
      <c r="C797" t="str">
        <f>_xlfn.XLOOKUP(F797,Products!$A$2:$A$51,Products!$C$2:$C$51,0)</f>
        <v>Merchandise</v>
      </c>
      <c r="D797" t="str">
        <f>_xlfn.XLOOKUP(F797,Products!$A$2:$A$51,Products!$B$2:$B$51,0)</f>
        <v>Insulated Travel Tumbler</v>
      </c>
      <c r="E797" t="str">
        <f>_xlfn.XLOOKUP(B797,customers!$A$2:$A$195,customers!$B$2:$B$195,,0)</f>
        <v>West</v>
      </c>
      <c r="F797">
        <v>1043</v>
      </c>
      <c r="G797" s="9">
        <f>_xlfn.XLOOKUP(B797,customers!$A$1:$A$195,customers!$C$1:$C$195)</f>
        <v>45041</v>
      </c>
      <c r="H797" s="13" t="s">
        <v>1173</v>
      </c>
      <c r="I797">
        <v>4</v>
      </c>
      <c r="J797">
        <v>173.12</v>
      </c>
      <c r="K797">
        <v>83.29</v>
      </c>
      <c r="L797">
        <f>_xlfn.XLOOKUP(F797,Products!$A$2:$A$51,Products!$D$2:$D$51,0)</f>
        <v>43.28</v>
      </c>
      <c r="M797">
        <f t="shared" si="12"/>
        <v>89.83</v>
      </c>
    </row>
    <row r="798" spans="1:13">
      <c r="A798" t="s">
        <v>1174</v>
      </c>
      <c r="B798" t="s">
        <v>32</v>
      </c>
      <c r="C798" t="str">
        <f>_xlfn.XLOOKUP(F798,Products!$A$2:$A$51,Products!$C$2:$C$51,0)</f>
        <v>Consumables</v>
      </c>
      <c r="D798" t="str">
        <f>_xlfn.XLOOKUP(F798,Products!$A$2:$A$51,Products!$B$2:$B$51,0)</f>
        <v>Seasonal Blend Light Roast</v>
      </c>
      <c r="E798" t="str">
        <f>_xlfn.XLOOKUP(B798,customers!$A$2:$A$195,customers!$B$2:$B$195,,0)</f>
        <v>East</v>
      </c>
      <c r="F798">
        <v>1027</v>
      </c>
      <c r="G798" s="9">
        <f>_xlfn.XLOOKUP(B798,customers!$A$1:$A$195,customers!$C$1:$C$195)</f>
        <v>45037</v>
      </c>
      <c r="H798" s="13" t="s">
        <v>1173</v>
      </c>
      <c r="I798">
        <v>1</v>
      </c>
      <c r="J798">
        <v>35.53</v>
      </c>
      <c r="K798">
        <v>5.93</v>
      </c>
      <c r="L798">
        <f>_xlfn.XLOOKUP(F798,Products!$A$2:$A$51,Products!$D$2:$D$51,0)</f>
        <v>35.53</v>
      </c>
      <c r="M798">
        <f t="shared" si="12"/>
        <v>29.6</v>
      </c>
    </row>
    <row r="799" spans="1:13">
      <c r="A799" t="s">
        <v>1175</v>
      </c>
      <c r="B799" t="s">
        <v>109</v>
      </c>
      <c r="C799" t="str">
        <f>_xlfn.XLOOKUP(F799,Products!$A$2:$A$51,Products!$C$2:$C$51,0)</f>
        <v>Merchandise</v>
      </c>
      <c r="D799" t="str">
        <f>_xlfn.XLOOKUP(F799,Products!$A$2:$A$51,Products!$B$2:$B$51,0)</f>
        <v>Branded Ceramic Mug (Large)</v>
      </c>
      <c r="E799" t="str">
        <f>_xlfn.XLOOKUP(B799,customers!$A$2:$A$195,customers!$B$2:$B$195,,0)</f>
        <v>North</v>
      </c>
      <c r="F799">
        <v>1016</v>
      </c>
      <c r="G799" s="9">
        <f>_xlfn.XLOOKUP(B799,customers!$A$1:$A$195,customers!$C$1:$C$195)</f>
        <v>45129</v>
      </c>
      <c r="H799" s="13" t="s">
        <v>1173</v>
      </c>
      <c r="I799">
        <v>4</v>
      </c>
      <c r="J799">
        <v>172.8</v>
      </c>
      <c r="K799">
        <v>124.43</v>
      </c>
      <c r="L799">
        <f>_xlfn.XLOOKUP(F799,Products!$A$2:$A$51,Products!$D$2:$D$51,0)</f>
        <v>43.2</v>
      </c>
      <c r="M799">
        <f t="shared" si="12"/>
        <v>48.37</v>
      </c>
    </row>
    <row r="800" spans="1:13">
      <c r="A800" t="s">
        <v>1176</v>
      </c>
      <c r="B800" t="s">
        <v>143</v>
      </c>
      <c r="C800" t="str">
        <f>_xlfn.XLOOKUP(F800,Products!$A$2:$A$51,Products!$C$2:$C$51,0)</f>
        <v>Subscriptions</v>
      </c>
      <c r="D800" t="str">
        <f>_xlfn.XLOOKUP(F800,Products!$A$2:$A$51,Products!$B$2:$B$51,0)</f>
        <v>Three-Month Gift Subscription</v>
      </c>
      <c r="E800" t="str">
        <f>_xlfn.XLOOKUP(B800,customers!$A$2:$A$195,customers!$B$2:$B$195,,0)</f>
        <v>West</v>
      </c>
      <c r="F800">
        <v>1023</v>
      </c>
      <c r="G800" s="9">
        <f>_xlfn.XLOOKUP(B800,customers!$A$1:$A$195,customers!$C$1:$C$195)</f>
        <v>45193</v>
      </c>
      <c r="H800" s="13" t="s">
        <v>1173</v>
      </c>
      <c r="I800">
        <v>1</v>
      </c>
      <c r="J800">
        <v>65.21</v>
      </c>
      <c r="K800">
        <v>27.61</v>
      </c>
      <c r="L800">
        <f>_xlfn.XLOOKUP(F800,Products!$A$2:$A$51,Products!$D$2:$D$51,0)</f>
        <v>65.21</v>
      </c>
      <c r="M800">
        <f t="shared" si="12"/>
        <v>37.6</v>
      </c>
    </row>
    <row r="801" spans="1:13">
      <c r="A801" t="s">
        <v>1177</v>
      </c>
      <c r="B801" t="s">
        <v>176</v>
      </c>
      <c r="C801" t="str">
        <f>_xlfn.XLOOKUP(F801,Products!$A$2:$A$51,Products!$C$2:$C$51,0)</f>
        <v>Subscriptions</v>
      </c>
      <c r="D801" t="str">
        <f>_xlfn.XLOOKUP(F801,Products!$A$2:$A$51,Products!$B$2:$B$51,0)</f>
        <v>Espresso Lovers Quarterly Pack</v>
      </c>
      <c r="E801" t="str">
        <f>_xlfn.XLOOKUP(B801,customers!$A$2:$A$195,customers!$B$2:$B$195,,0)</f>
        <v>West</v>
      </c>
      <c r="F801">
        <v>1049</v>
      </c>
      <c r="G801" s="9">
        <f>_xlfn.XLOOKUP(B801,customers!$A$1:$A$195,customers!$C$1:$C$195)</f>
        <v>45206</v>
      </c>
      <c r="H801" s="13" t="s">
        <v>1173</v>
      </c>
      <c r="I801">
        <v>4</v>
      </c>
      <c r="J801">
        <v>299.48</v>
      </c>
      <c r="K801">
        <v>76.78</v>
      </c>
      <c r="L801">
        <f>_xlfn.XLOOKUP(F801,Products!$A$2:$A$51,Products!$D$2:$D$51,0)</f>
        <v>74.87</v>
      </c>
      <c r="M801">
        <f t="shared" si="12"/>
        <v>222.7</v>
      </c>
    </row>
    <row r="802" spans="1:13">
      <c r="A802" t="s">
        <v>1178</v>
      </c>
      <c r="B802" t="s">
        <v>33</v>
      </c>
      <c r="C802" t="str">
        <f>_xlfn.XLOOKUP(F802,Products!$A$2:$A$51,Products!$C$2:$C$51,0)</f>
        <v>Merchandise</v>
      </c>
      <c r="D802" t="str">
        <f>_xlfn.XLOOKUP(F802,Products!$A$2:$A$51,Products!$B$2:$B$51,0)</f>
        <v>Insulated Travel Tumbler</v>
      </c>
      <c r="E802" t="str">
        <f>_xlfn.XLOOKUP(B802,customers!$A$2:$A$195,customers!$B$2:$B$195,,0)</f>
        <v>West</v>
      </c>
      <c r="F802">
        <v>1018</v>
      </c>
      <c r="G802" s="9">
        <f>_xlfn.XLOOKUP(B802,customers!$A$1:$A$195,customers!$C$1:$C$195)</f>
        <v>44929</v>
      </c>
      <c r="H802" s="13" t="s">
        <v>1179</v>
      </c>
      <c r="I802">
        <v>4</v>
      </c>
      <c r="J802">
        <v>173.12</v>
      </c>
      <c r="K802">
        <v>83.29</v>
      </c>
      <c r="L802">
        <f>_xlfn.XLOOKUP(F802,Products!$A$2:$A$51,Products!$D$2:$D$51,0)</f>
        <v>43.28</v>
      </c>
      <c r="M802">
        <f t="shared" si="12"/>
        <v>89.83</v>
      </c>
    </row>
    <row r="803" spans="1:13">
      <c r="A803" t="s">
        <v>1180</v>
      </c>
      <c r="B803" t="s">
        <v>168</v>
      </c>
      <c r="C803" t="str">
        <f>_xlfn.XLOOKUP(F803,Products!$A$2:$A$51,Products!$C$2:$C$51,0)</f>
        <v>Accessories</v>
      </c>
      <c r="D803" t="str">
        <f>_xlfn.XLOOKUP(F803,Products!$A$2:$A$51,Products!$B$2:$B$51,0)</f>
        <v>Chemex Filters (100 pack)</v>
      </c>
      <c r="E803" t="str">
        <f>_xlfn.XLOOKUP(B803,customers!$A$2:$A$195,customers!$B$2:$B$195,,0)</f>
        <v>West</v>
      </c>
      <c r="F803">
        <v>1014</v>
      </c>
      <c r="G803" s="9">
        <f>_xlfn.XLOOKUP(B803,customers!$A$1:$A$195,customers!$C$1:$C$195)</f>
        <v>45128</v>
      </c>
      <c r="H803" s="13" t="s">
        <v>1179</v>
      </c>
      <c r="I803">
        <v>2</v>
      </c>
      <c r="J803">
        <v>48.2</v>
      </c>
      <c r="K803">
        <v>42.42</v>
      </c>
      <c r="L803">
        <f>_xlfn.XLOOKUP(F803,Products!$A$2:$A$51,Products!$D$2:$D$51,0)</f>
        <v>24.1</v>
      </c>
      <c r="M803">
        <f t="shared" si="12"/>
        <v>5.78</v>
      </c>
    </row>
    <row r="804" spans="1:13">
      <c r="A804" t="s">
        <v>1181</v>
      </c>
      <c r="B804" t="s">
        <v>188</v>
      </c>
      <c r="C804" t="str">
        <f>_xlfn.XLOOKUP(F804,Products!$A$2:$A$51,Products!$C$2:$C$51,0)</f>
        <v>Subscriptions</v>
      </c>
      <c r="D804" t="str">
        <f>_xlfn.XLOOKUP(F804,Products!$A$2:$A$51,Products!$B$2:$B$51,0)</f>
        <v>Subscription Renewal Service</v>
      </c>
      <c r="E804" t="str">
        <f>_xlfn.XLOOKUP(B804,customers!$A$2:$A$195,customers!$B$2:$B$195,,0)</f>
        <v>West</v>
      </c>
      <c r="F804">
        <v>1025</v>
      </c>
      <c r="G804" s="9">
        <f>_xlfn.XLOOKUP(B804,customers!$A$1:$A$195,customers!$C$1:$C$195)</f>
        <v>45003</v>
      </c>
      <c r="H804" s="13" t="s">
        <v>1179</v>
      </c>
      <c r="I804">
        <v>4</v>
      </c>
      <c r="J804">
        <v>293.64</v>
      </c>
      <c r="K804">
        <v>109.16</v>
      </c>
      <c r="L804">
        <f>_xlfn.XLOOKUP(F804,Products!$A$2:$A$51,Products!$D$2:$D$51,0)</f>
        <v>73.41</v>
      </c>
      <c r="M804">
        <f t="shared" si="12"/>
        <v>184.48</v>
      </c>
    </row>
    <row r="805" spans="1:13">
      <c r="A805" t="s">
        <v>1182</v>
      </c>
      <c r="B805" t="s">
        <v>17</v>
      </c>
      <c r="C805" t="str">
        <f>_xlfn.XLOOKUP(F805,Products!$A$2:$A$51,Products!$C$2:$C$51,0)</f>
        <v>Consumables</v>
      </c>
      <c r="D805" t="str">
        <f>_xlfn.XLOOKUP(F805,Products!$A$2:$A$51,Products!$B$2:$B$51,0)</f>
        <v>Seasonal Blend Light Roast</v>
      </c>
      <c r="E805" t="str">
        <f>_xlfn.XLOOKUP(B805,customers!$A$2:$A$195,customers!$B$2:$B$195,,0)</f>
        <v>West</v>
      </c>
      <c r="F805">
        <v>1027</v>
      </c>
      <c r="G805" s="9">
        <f>_xlfn.XLOOKUP(B805,customers!$A$1:$A$195,customers!$C$1:$C$195)</f>
        <v>45041</v>
      </c>
      <c r="H805" s="13">
        <v>45666</v>
      </c>
      <c r="I805">
        <v>3</v>
      </c>
      <c r="J805">
        <v>106.59</v>
      </c>
      <c r="K805">
        <v>17.79</v>
      </c>
      <c r="L805">
        <f>_xlfn.XLOOKUP(F805,Products!$A$2:$A$51,Products!$D$2:$D$51,0)</f>
        <v>35.53</v>
      </c>
      <c r="M805">
        <f t="shared" si="12"/>
        <v>88.8</v>
      </c>
    </row>
    <row r="806" spans="1:13">
      <c r="A806" t="s">
        <v>1183</v>
      </c>
      <c r="B806" t="s">
        <v>19</v>
      </c>
      <c r="C806" t="str">
        <f>_xlfn.XLOOKUP(F806,Products!$A$2:$A$51,Products!$C$2:$C$51,0)</f>
        <v>Accessories</v>
      </c>
      <c r="D806" t="str">
        <f>_xlfn.XLOOKUP(F806,Products!$A$2:$A$51,Products!$B$2:$B$51,0)</f>
        <v>Digital Coffee Scale</v>
      </c>
      <c r="E806" t="str">
        <f>_xlfn.XLOOKUP(B806,customers!$A$2:$A$195,customers!$B$2:$B$195,,0)</f>
        <v>East</v>
      </c>
      <c r="F806">
        <v>1011</v>
      </c>
      <c r="G806" s="9">
        <f>_xlfn.XLOOKUP(B806,customers!$A$1:$A$195,customers!$C$1:$C$195)</f>
        <v>45112</v>
      </c>
      <c r="H806" s="13">
        <v>45666</v>
      </c>
      <c r="I806">
        <v>4</v>
      </c>
      <c r="J806">
        <v>107.32</v>
      </c>
      <c r="K806">
        <v>58.61</v>
      </c>
      <c r="L806">
        <f>_xlfn.XLOOKUP(F806,Products!$A$2:$A$51,Products!$D$2:$D$51,0)</f>
        <v>26.83</v>
      </c>
      <c r="M806">
        <f t="shared" si="12"/>
        <v>48.71</v>
      </c>
    </row>
    <row r="807" spans="1:13">
      <c r="A807" t="s">
        <v>1184</v>
      </c>
      <c r="B807" t="s">
        <v>97</v>
      </c>
      <c r="C807" t="str">
        <f>_xlfn.XLOOKUP(F807,Products!$A$2:$A$51,Products!$C$2:$C$51,0)</f>
        <v>Merchandise</v>
      </c>
      <c r="D807" t="str">
        <f>_xlfn.XLOOKUP(F807,Products!$A$2:$A$51,Products!$B$2:$B$51,0)</f>
        <v>Daily Grind T-Shirt</v>
      </c>
      <c r="E807" t="str">
        <f>_xlfn.XLOOKUP(B807,customers!$A$2:$A$195,customers!$B$2:$B$195,,0)</f>
        <v>East</v>
      </c>
      <c r="F807">
        <v>1019</v>
      </c>
      <c r="G807" s="9">
        <f>_xlfn.XLOOKUP(B807,customers!$A$1:$A$195,customers!$C$1:$C$195)</f>
        <v>45151</v>
      </c>
      <c r="H807" s="13">
        <v>45666</v>
      </c>
      <c r="I807">
        <v>4</v>
      </c>
      <c r="J807">
        <v>85.48</v>
      </c>
      <c r="K807">
        <v>33.04</v>
      </c>
      <c r="L807">
        <f>_xlfn.XLOOKUP(F807,Products!$A$2:$A$51,Products!$D$2:$D$51,0)</f>
        <v>21.37</v>
      </c>
      <c r="M807">
        <f t="shared" si="12"/>
        <v>52.44</v>
      </c>
    </row>
    <row r="808" spans="1:13">
      <c r="A808" t="s">
        <v>1185</v>
      </c>
      <c r="B808" t="s">
        <v>135</v>
      </c>
      <c r="C808" t="str">
        <f>_xlfn.XLOOKUP(F808,Products!$A$2:$A$51,Products!$C$2:$C$51,0)</f>
        <v>Merchandise</v>
      </c>
      <c r="D808" t="str">
        <f>_xlfn.XLOOKUP(F808,Products!$A$2:$A$51,Products!$B$2:$B$51,0)</f>
        <v>Logo Hoodie (Black)</v>
      </c>
      <c r="E808" t="str">
        <f>_xlfn.XLOOKUP(B808,customers!$A$2:$A$195,customers!$B$2:$B$195,,0)</f>
        <v>East</v>
      </c>
      <c r="F808">
        <v>1042</v>
      </c>
      <c r="G808" s="9">
        <f>_xlfn.XLOOKUP(B808,customers!$A$1:$A$195,customers!$C$1:$C$195)</f>
        <v>45286</v>
      </c>
      <c r="H808" s="13">
        <v>45666</v>
      </c>
      <c r="I808">
        <v>4</v>
      </c>
      <c r="J808">
        <v>60.92</v>
      </c>
      <c r="K808">
        <v>53.59</v>
      </c>
      <c r="L808">
        <f>_xlfn.XLOOKUP(F808,Products!$A$2:$A$51,Products!$D$2:$D$51,0)</f>
        <v>15.23</v>
      </c>
      <c r="M808">
        <f t="shared" si="12"/>
        <v>7.33</v>
      </c>
    </row>
    <row r="809" spans="1:13">
      <c r="A809" t="s">
        <v>1186</v>
      </c>
      <c r="B809" t="s">
        <v>155</v>
      </c>
      <c r="C809" t="str">
        <f>_xlfn.XLOOKUP(F809,Products!$A$2:$A$51,Products!$C$2:$C$51,0)</f>
        <v>Merchandise</v>
      </c>
      <c r="D809" t="str">
        <f>_xlfn.XLOOKUP(F809,Products!$A$2:$A$51,Products!$B$2:$B$51,0)</f>
        <v>Logo Hoodie (Black)</v>
      </c>
      <c r="E809" t="str">
        <f>_xlfn.XLOOKUP(B809,customers!$A$2:$A$195,customers!$B$2:$B$195,,0)</f>
        <v>East</v>
      </c>
      <c r="F809">
        <v>1017</v>
      </c>
      <c r="G809" s="9">
        <f>_xlfn.XLOOKUP(B809,customers!$A$1:$A$195,customers!$C$1:$C$195)</f>
        <v>45204</v>
      </c>
      <c r="H809" s="13">
        <v>45666</v>
      </c>
      <c r="I809">
        <v>3</v>
      </c>
      <c r="J809">
        <v>45.69</v>
      </c>
      <c r="K809">
        <v>40.19</v>
      </c>
      <c r="L809">
        <f>_xlfn.XLOOKUP(F809,Products!$A$2:$A$51,Products!$D$2:$D$51,0)</f>
        <v>15.23</v>
      </c>
      <c r="M809">
        <f t="shared" si="12"/>
        <v>5.5</v>
      </c>
    </row>
    <row r="810" spans="1:13">
      <c r="A810" t="s">
        <v>1187</v>
      </c>
      <c r="B810" t="s">
        <v>159</v>
      </c>
      <c r="C810" t="str">
        <f>_xlfn.XLOOKUP(F810,Products!$A$2:$A$51,Products!$C$2:$C$51,0)</f>
        <v>Merchandise</v>
      </c>
      <c r="D810" t="str">
        <f>_xlfn.XLOOKUP(F810,Products!$A$2:$A$51,Products!$B$2:$B$51,0)</f>
        <v>Logo Hoodie (Black)</v>
      </c>
      <c r="E810" t="str">
        <f>_xlfn.XLOOKUP(B810,customers!$A$2:$A$195,customers!$B$2:$B$195,,0)</f>
        <v>West</v>
      </c>
      <c r="F810">
        <v>1017</v>
      </c>
      <c r="G810" s="9">
        <f>_xlfn.XLOOKUP(B810,customers!$A$1:$A$195,customers!$C$1:$C$195)</f>
        <v>45153</v>
      </c>
      <c r="H810" s="13">
        <v>45666</v>
      </c>
      <c r="I810">
        <v>1</v>
      </c>
      <c r="J810">
        <v>15.23</v>
      </c>
      <c r="K810">
        <v>13.4</v>
      </c>
      <c r="L810">
        <f>_xlfn.XLOOKUP(F810,Products!$A$2:$A$51,Products!$D$2:$D$51,0)</f>
        <v>15.23</v>
      </c>
      <c r="M810">
        <f t="shared" si="12"/>
        <v>1.83</v>
      </c>
    </row>
    <row r="811" spans="1:13">
      <c r="A811" t="s">
        <v>1188</v>
      </c>
      <c r="B811" t="s">
        <v>70</v>
      </c>
      <c r="C811" t="str">
        <f>_xlfn.XLOOKUP(F811,Products!$A$2:$A$51,Products!$C$2:$C$51,0)</f>
        <v>Accessories</v>
      </c>
      <c r="D811" t="str">
        <f>_xlfn.XLOOKUP(F811,Products!$A$2:$A$51,Products!$B$2:$B$51,0)</f>
        <v>Refillable Coffee Pods</v>
      </c>
      <c r="E811" t="str">
        <f>_xlfn.XLOOKUP(B811,customers!$A$2:$A$195,customers!$B$2:$B$195,,0)</f>
        <v>West</v>
      </c>
      <c r="F811">
        <v>1040</v>
      </c>
      <c r="G811" s="9">
        <f>_xlfn.XLOOKUP(B811,customers!$A$1:$A$195,customers!$C$1:$C$195)</f>
        <v>45269</v>
      </c>
      <c r="H811" s="13">
        <v>45697</v>
      </c>
      <c r="I811">
        <v>1</v>
      </c>
      <c r="J811">
        <v>24.13</v>
      </c>
      <c r="K811">
        <v>9.3</v>
      </c>
      <c r="L811">
        <f>_xlfn.XLOOKUP(F811,Products!$A$2:$A$51,Products!$D$2:$D$51,0)</f>
        <v>24.13</v>
      </c>
      <c r="M811">
        <f t="shared" si="12"/>
        <v>14.83</v>
      </c>
    </row>
    <row r="812" spans="1:13">
      <c r="A812" t="s">
        <v>1189</v>
      </c>
      <c r="B812" t="s">
        <v>73</v>
      </c>
      <c r="C812" t="str">
        <f>_xlfn.XLOOKUP(F812,Products!$A$2:$A$51,Products!$C$2:$C$51,0)</f>
        <v>Grinders &amp; Brewers</v>
      </c>
      <c r="D812" t="str">
        <f>_xlfn.XLOOKUP(F812,Products!$A$2:$A$51,Products!$B$2:$B$51,0)</f>
        <v>Automated Drip Brewer</v>
      </c>
      <c r="E812" t="str">
        <f>_xlfn.XLOOKUP(B812,customers!$A$2:$A$195,customers!$B$2:$B$195,,0)</f>
        <v>West</v>
      </c>
      <c r="F812">
        <v>1033</v>
      </c>
      <c r="G812" s="9">
        <f>_xlfn.XLOOKUP(B812,customers!$A$1:$A$195,customers!$C$1:$C$195)</f>
        <v>45053</v>
      </c>
      <c r="H812" s="13">
        <v>45697</v>
      </c>
      <c r="I812">
        <v>3</v>
      </c>
      <c r="J812">
        <v>707.28</v>
      </c>
      <c r="K812">
        <v>397.45</v>
      </c>
      <c r="L812">
        <f>_xlfn.XLOOKUP(F812,Products!$A$2:$A$51,Products!$D$2:$D$51,0)</f>
        <v>235.76</v>
      </c>
      <c r="M812">
        <f t="shared" si="12"/>
        <v>309.83</v>
      </c>
    </row>
    <row r="813" spans="1:13">
      <c r="A813" t="s">
        <v>1190</v>
      </c>
      <c r="B813" t="s">
        <v>83</v>
      </c>
      <c r="C813" t="str">
        <f>_xlfn.XLOOKUP(F813,Products!$A$2:$A$51,Products!$C$2:$C$51,0)</f>
        <v>Accessories</v>
      </c>
      <c r="D813" t="str">
        <f>_xlfn.XLOOKUP(F813,Products!$A$2:$A$51,Products!$B$2:$B$51,0)</f>
        <v>Chemex Filters (100 pack)</v>
      </c>
      <c r="E813" t="str">
        <f>_xlfn.XLOOKUP(B813,customers!$A$2:$A$195,customers!$B$2:$B$195,,0)</f>
        <v>West</v>
      </c>
      <c r="F813">
        <v>1014</v>
      </c>
      <c r="G813" s="9">
        <f>_xlfn.XLOOKUP(B813,customers!$A$1:$A$195,customers!$C$1:$C$195)</f>
        <v>45277</v>
      </c>
      <c r="H813" s="13">
        <v>45697</v>
      </c>
      <c r="I813">
        <v>4</v>
      </c>
      <c r="J813">
        <v>96.4</v>
      </c>
      <c r="K813">
        <v>84.83</v>
      </c>
      <c r="L813">
        <f>_xlfn.XLOOKUP(F813,Products!$A$2:$A$51,Products!$D$2:$D$51,0)</f>
        <v>24.1</v>
      </c>
      <c r="M813">
        <f t="shared" si="12"/>
        <v>11.57</v>
      </c>
    </row>
    <row r="814" spans="1:13">
      <c r="A814" t="s">
        <v>1191</v>
      </c>
      <c r="B814" t="s">
        <v>102</v>
      </c>
      <c r="C814" t="str">
        <f>_xlfn.XLOOKUP(F814,Products!$A$2:$A$51,Products!$C$2:$C$51,0)</f>
        <v>Accessories</v>
      </c>
      <c r="D814" t="str">
        <f>_xlfn.XLOOKUP(F814,Products!$A$2:$A$51,Products!$B$2:$B$51,0)</f>
        <v>Gooseneck Electric Kettle</v>
      </c>
      <c r="E814" t="str">
        <f>_xlfn.XLOOKUP(B814,customers!$A$2:$A$195,customers!$B$2:$B$195,,0)</f>
        <v>East</v>
      </c>
      <c r="F814">
        <v>1012</v>
      </c>
      <c r="G814" s="9">
        <f>_xlfn.XLOOKUP(B814,customers!$A$1:$A$195,customers!$C$1:$C$195)</f>
        <v>45149</v>
      </c>
      <c r="H814" s="13">
        <v>45697</v>
      </c>
      <c r="I814">
        <v>3</v>
      </c>
      <c r="J814">
        <v>104.61</v>
      </c>
      <c r="K814">
        <v>77.91</v>
      </c>
      <c r="L814">
        <f>_xlfn.XLOOKUP(F814,Products!$A$2:$A$51,Products!$D$2:$D$51,0)</f>
        <v>34.87</v>
      </c>
      <c r="M814">
        <f t="shared" si="12"/>
        <v>26.7</v>
      </c>
    </row>
    <row r="815" spans="1:13">
      <c r="A815" t="s">
        <v>1192</v>
      </c>
      <c r="B815" t="s">
        <v>188</v>
      </c>
      <c r="C815" t="str">
        <f>_xlfn.XLOOKUP(F815,Products!$A$2:$A$51,Products!$C$2:$C$51,0)</f>
        <v>Grinders &amp; Brewers</v>
      </c>
      <c r="D815" t="str">
        <f>_xlfn.XLOOKUP(F815,Products!$A$2:$A$51,Products!$B$2:$B$51,0)</f>
        <v>Hand Grinder (Travel Size)</v>
      </c>
      <c r="E815" t="str">
        <f>_xlfn.XLOOKUP(B815,customers!$A$2:$A$195,customers!$B$2:$B$195,,0)</f>
        <v>West</v>
      </c>
      <c r="F815">
        <v>1007</v>
      </c>
      <c r="G815" s="9">
        <f>_xlfn.XLOOKUP(B815,customers!$A$1:$A$195,customers!$C$1:$C$195)</f>
        <v>45003</v>
      </c>
      <c r="H815" s="13">
        <v>45697</v>
      </c>
      <c r="I815">
        <v>4</v>
      </c>
      <c r="J815">
        <v>1018.88</v>
      </c>
      <c r="K815">
        <v>521.14</v>
      </c>
      <c r="L815">
        <f>_xlfn.XLOOKUP(F815,Products!$A$2:$A$51,Products!$D$2:$D$51,0)</f>
        <v>254.72</v>
      </c>
      <c r="M815">
        <f t="shared" si="12"/>
        <v>497.74</v>
      </c>
    </row>
    <row r="816" spans="1:13">
      <c r="A816" t="s">
        <v>1193</v>
      </c>
      <c r="B816" t="s">
        <v>43</v>
      </c>
      <c r="C816" t="str">
        <f>_xlfn.XLOOKUP(F816,Products!$A$2:$A$51,Products!$C$2:$C$51,0)</f>
        <v>Subscriptions</v>
      </c>
      <c r="D816" t="str">
        <f>_xlfn.XLOOKUP(F816,Products!$A$2:$A$51,Products!$B$2:$B$51,0)</f>
        <v>Monthly Dark Roast Subscription</v>
      </c>
      <c r="E816" t="str">
        <f>_xlfn.XLOOKUP(B816,customers!$A$2:$A$195,customers!$B$2:$B$195,,0)</f>
        <v>West</v>
      </c>
      <c r="F816">
        <v>1021</v>
      </c>
      <c r="G816" s="9">
        <f>_xlfn.XLOOKUP(B816,customers!$A$1:$A$195,customers!$C$1:$C$195)</f>
        <v>45197</v>
      </c>
      <c r="H816" s="13">
        <v>45725</v>
      </c>
      <c r="I816">
        <v>1</v>
      </c>
      <c r="J816">
        <v>61.26</v>
      </c>
      <c r="K816">
        <v>35.15</v>
      </c>
      <c r="L816">
        <f>_xlfn.XLOOKUP(F816,Products!$A$2:$A$51,Products!$D$2:$D$51,0)</f>
        <v>61.26</v>
      </c>
      <c r="M816">
        <f t="shared" si="12"/>
        <v>26.11</v>
      </c>
    </row>
    <row r="817" spans="1:13">
      <c r="A817" t="s">
        <v>1194</v>
      </c>
      <c r="B817" t="s">
        <v>57</v>
      </c>
      <c r="C817" t="str">
        <f>_xlfn.XLOOKUP(F817,Products!$A$2:$A$51,Products!$C$2:$C$51,0)</f>
        <v>Subscriptions</v>
      </c>
      <c r="D817" t="str">
        <f>_xlfn.XLOOKUP(F817,Products!$A$2:$A$51,Products!$B$2:$B$51,0)</f>
        <v>Espresso Lovers Quarterly Pack</v>
      </c>
      <c r="E817" t="str">
        <f>_xlfn.XLOOKUP(B817,customers!$A$2:$A$195,customers!$B$2:$B$195,,0)</f>
        <v>North</v>
      </c>
      <c r="F817">
        <v>1049</v>
      </c>
      <c r="G817" s="9">
        <f>_xlfn.XLOOKUP(B817,customers!$A$1:$A$195,customers!$C$1:$C$195)</f>
        <v>44933</v>
      </c>
      <c r="H817" s="13">
        <v>45725</v>
      </c>
      <c r="I817">
        <v>1</v>
      </c>
      <c r="J817">
        <v>74.87</v>
      </c>
      <c r="K817">
        <v>19.2</v>
      </c>
      <c r="L817">
        <f>_xlfn.XLOOKUP(F817,Products!$A$2:$A$51,Products!$D$2:$D$51,0)</f>
        <v>74.87</v>
      </c>
      <c r="M817">
        <f t="shared" si="12"/>
        <v>55.67</v>
      </c>
    </row>
    <row r="818" spans="1:13">
      <c r="A818" t="s">
        <v>1195</v>
      </c>
      <c r="B818" t="s">
        <v>94</v>
      </c>
      <c r="C818" t="str">
        <f>_xlfn.XLOOKUP(F818,Products!$A$2:$A$51,Products!$C$2:$C$51,0)</f>
        <v>Consumables</v>
      </c>
      <c r="D818" t="str">
        <f>_xlfn.XLOOKUP(F818,Products!$A$2:$A$51,Products!$B$2:$B$51,0)</f>
        <v>Decaf Blend (1kg)</v>
      </c>
      <c r="E818" t="str">
        <f>_xlfn.XLOOKUP(B818,customers!$A$2:$A$195,customers!$B$2:$B$195,,0)</f>
        <v>East</v>
      </c>
      <c r="F818">
        <v>1003</v>
      </c>
      <c r="G818" s="9">
        <f>_xlfn.XLOOKUP(B818,customers!$A$1:$A$195,customers!$C$1:$C$195)</f>
        <v>44956</v>
      </c>
      <c r="H818" s="13">
        <v>45725</v>
      </c>
      <c r="I818">
        <v>2</v>
      </c>
      <c r="J818">
        <v>80.7</v>
      </c>
      <c r="K818">
        <v>25.72</v>
      </c>
      <c r="L818">
        <f>_xlfn.XLOOKUP(F818,Products!$A$2:$A$51,Products!$D$2:$D$51,0)</f>
        <v>40.35</v>
      </c>
      <c r="M818">
        <f t="shared" si="12"/>
        <v>54.98</v>
      </c>
    </row>
    <row r="819" spans="1:13">
      <c r="A819" t="s">
        <v>1196</v>
      </c>
      <c r="B819" t="s">
        <v>11</v>
      </c>
      <c r="C819" t="str">
        <f>_xlfn.XLOOKUP(F819,Products!$A$2:$A$51,Products!$C$2:$C$51,0)</f>
        <v>Subscriptions</v>
      </c>
      <c r="D819" t="str">
        <f>_xlfn.XLOOKUP(F819,Products!$A$2:$A$51,Products!$B$2:$B$51,0)</f>
        <v>Subscription Renewal Service</v>
      </c>
      <c r="E819" t="str">
        <f>_xlfn.XLOOKUP(B819,customers!$A$2:$A$195,customers!$B$2:$B$195,,0)</f>
        <v>East</v>
      </c>
      <c r="F819">
        <v>1050</v>
      </c>
      <c r="G819" s="9">
        <f>_xlfn.XLOOKUP(B819,customers!$A$1:$A$195,customers!$C$1:$C$195)</f>
        <v>45072</v>
      </c>
      <c r="H819" s="13">
        <v>45756</v>
      </c>
      <c r="I819">
        <v>1</v>
      </c>
      <c r="J819">
        <v>73.41</v>
      </c>
      <c r="K819">
        <v>27.29</v>
      </c>
      <c r="L819">
        <f>_xlfn.XLOOKUP(F819,Products!$A$2:$A$51,Products!$D$2:$D$51,0)</f>
        <v>73.41</v>
      </c>
      <c r="M819">
        <f t="shared" si="12"/>
        <v>46.12</v>
      </c>
    </row>
    <row r="820" spans="1:13">
      <c r="A820" t="s">
        <v>1197</v>
      </c>
      <c r="B820" t="s">
        <v>20</v>
      </c>
      <c r="C820" t="str">
        <f>_xlfn.XLOOKUP(F820,Products!$A$2:$A$51,Products!$C$2:$C$51,0)</f>
        <v>Accessories</v>
      </c>
      <c r="D820" t="str">
        <f>_xlfn.XLOOKUP(F820,Products!$A$2:$A$51,Products!$B$2:$B$51,0)</f>
        <v>Refillable Coffee Pods</v>
      </c>
      <c r="E820" t="str">
        <f>_xlfn.XLOOKUP(B820,customers!$A$2:$A$195,customers!$B$2:$B$195,,0)</f>
        <v>West</v>
      </c>
      <c r="F820">
        <v>1040</v>
      </c>
      <c r="G820" s="9">
        <f>_xlfn.XLOOKUP(B820,customers!$A$1:$A$195,customers!$C$1:$C$195)</f>
        <v>44982</v>
      </c>
      <c r="H820" s="13">
        <v>45756</v>
      </c>
      <c r="I820">
        <v>4</v>
      </c>
      <c r="J820">
        <v>96.52</v>
      </c>
      <c r="K820">
        <v>37.18</v>
      </c>
      <c r="L820">
        <f>_xlfn.XLOOKUP(F820,Products!$A$2:$A$51,Products!$D$2:$D$51,0)</f>
        <v>24.13</v>
      </c>
      <c r="M820">
        <f t="shared" si="12"/>
        <v>59.34</v>
      </c>
    </row>
    <row r="821" spans="1:13">
      <c r="A821" t="s">
        <v>1198</v>
      </c>
      <c r="B821" t="s">
        <v>79</v>
      </c>
      <c r="C821" t="str">
        <f>_xlfn.XLOOKUP(F821,Products!$A$2:$A$51,Products!$C$2:$C$51,0)</f>
        <v>Merchandise</v>
      </c>
      <c r="D821" t="str">
        <f>_xlfn.XLOOKUP(F821,Products!$A$2:$A$51,Products!$B$2:$B$51,0)</f>
        <v>Branded Ceramic Mug (Large)</v>
      </c>
      <c r="E821" t="str">
        <f>_xlfn.XLOOKUP(B821,customers!$A$2:$A$195,customers!$B$2:$B$195,,0)</f>
        <v>South</v>
      </c>
      <c r="F821">
        <v>1041</v>
      </c>
      <c r="G821" s="9">
        <f>_xlfn.XLOOKUP(B821,customers!$A$1:$A$195,customers!$C$1:$C$195)</f>
        <v>44978</v>
      </c>
      <c r="H821" s="13">
        <v>45756</v>
      </c>
      <c r="I821">
        <v>4</v>
      </c>
      <c r="J821">
        <v>172.8</v>
      </c>
      <c r="K821">
        <v>124.43</v>
      </c>
      <c r="L821">
        <f>_xlfn.XLOOKUP(F821,Products!$A$2:$A$51,Products!$D$2:$D$51,0)</f>
        <v>43.2</v>
      </c>
      <c r="M821">
        <f t="shared" si="12"/>
        <v>48.37</v>
      </c>
    </row>
    <row r="822" spans="1:13">
      <c r="A822" t="s">
        <v>1199</v>
      </c>
      <c r="B822" t="s">
        <v>160</v>
      </c>
      <c r="C822" t="str">
        <f>_xlfn.XLOOKUP(F822,Products!$A$2:$A$51,Products!$C$2:$C$51,0)</f>
        <v>Accessories</v>
      </c>
      <c r="D822" t="str">
        <f>_xlfn.XLOOKUP(F822,Products!$A$2:$A$51,Products!$B$2:$B$51,0)</f>
        <v>Refillable Coffee Pods</v>
      </c>
      <c r="E822" t="str">
        <f>_xlfn.XLOOKUP(B822,customers!$A$2:$A$195,customers!$B$2:$B$195,,0)</f>
        <v>East</v>
      </c>
      <c r="F822">
        <v>1040</v>
      </c>
      <c r="G822" s="9">
        <f>_xlfn.XLOOKUP(B822,customers!$A$1:$A$195,customers!$C$1:$C$195)</f>
        <v>45087</v>
      </c>
      <c r="H822" s="13">
        <v>45756</v>
      </c>
      <c r="I822">
        <v>2</v>
      </c>
      <c r="J822">
        <v>48.26</v>
      </c>
      <c r="K822">
        <v>18.59</v>
      </c>
      <c r="L822">
        <f>_xlfn.XLOOKUP(F822,Products!$A$2:$A$51,Products!$D$2:$D$51,0)</f>
        <v>24.13</v>
      </c>
      <c r="M822">
        <f t="shared" si="12"/>
        <v>29.67</v>
      </c>
    </row>
    <row r="823" spans="1:13">
      <c r="A823" t="s">
        <v>1200</v>
      </c>
      <c r="B823" t="s">
        <v>16</v>
      </c>
      <c r="C823" t="str">
        <f>_xlfn.XLOOKUP(F823,Products!$A$2:$A$51,Products!$C$2:$C$51,0)</f>
        <v>Merchandise</v>
      </c>
      <c r="D823" t="str">
        <f>_xlfn.XLOOKUP(F823,Products!$A$2:$A$51,Products!$B$2:$B$51,0)</f>
        <v>Insulated Travel Tumbler</v>
      </c>
      <c r="E823" t="str">
        <f>_xlfn.XLOOKUP(B823,customers!$A$2:$A$195,customers!$B$2:$B$195,,0)</f>
        <v>East</v>
      </c>
      <c r="F823">
        <v>1018</v>
      </c>
      <c r="G823" s="9">
        <f>_xlfn.XLOOKUP(B823,customers!$A$1:$A$195,customers!$C$1:$C$195)</f>
        <v>45182</v>
      </c>
      <c r="H823" s="13">
        <v>45786</v>
      </c>
      <c r="I823">
        <v>4</v>
      </c>
      <c r="J823">
        <v>173.12</v>
      </c>
      <c r="K823">
        <v>83.29</v>
      </c>
      <c r="L823">
        <f>_xlfn.XLOOKUP(F823,Products!$A$2:$A$51,Products!$D$2:$D$51,0)</f>
        <v>43.28</v>
      </c>
      <c r="M823">
        <f t="shared" si="12"/>
        <v>89.83</v>
      </c>
    </row>
    <row r="824" spans="1:13">
      <c r="A824" t="s">
        <v>1201</v>
      </c>
      <c r="B824" t="s">
        <v>33</v>
      </c>
      <c r="C824" t="str">
        <f>_xlfn.XLOOKUP(F824,Products!$A$2:$A$51,Products!$C$2:$C$51,0)</f>
        <v>Subscriptions</v>
      </c>
      <c r="D824" t="str">
        <f>_xlfn.XLOOKUP(F824,Products!$A$2:$A$51,Products!$B$2:$B$51,0)</f>
        <v>Monthly Dark Roast Subscription</v>
      </c>
      <c r="E824" t="str">
        <f>_xlfn.XLOOKUP(B824,customers!$A$2:$A$195,customers!$B$2:$B$195,,0)</f>
        <v>West</v>
      </c>
      <c r="F824">
        <v>1021</v>
      </c>
      <c r="G824" s="9">
        <f>_xlfn.XLOOKUP(B824,customers!$A$1:$A$195,customers!$C$1:$C$195)</f>
        <v>44929</v>
      </c>
      <c r="H824" s="13">
        <v>45786</v>
      </c>
      <c r="I824">
        <v>1</v>
      </c>
      <c r="J824">
        <v>61.26</v>
      </c>
      <c r="K824">
        <v>35.15</v>
      </c>
      <c r="L824">
        <f>_xlfn.XLOOKUP(F824,Products!$A$2:$A$51,Products!$D$2:$D$51,0)</f>
        <v>61.26</v>
      </c>
      <c r="M824">
        <f t="shared" si="12"/>
        <v>26.11</v>
      </c>
    </row>
    <row r="825" spans="1:13">
      <c r="A825" t="s">
        <v>1202</v>
      </c>
      <c r="B825" t="s">
        <v>117</v>
      </c>
      <c r="C825" t="str">
        <f>_xlfn.XLOOKUP(F825,Products!$A$2:$A$51,Products!$C$2:$C$51,0)</f>
        <v>Grinders &amp; Brewers</v>
      </c>
      <c r="D825" t="str">
        <f>_xlfn.XLOOKUP(F825,Products!$A$2:$A$51,Products!$B$2:$B$51,0)</f>
        <v>Precision Electric Grinder</v>
      </c>
      <c r="E825" t="str">
        <f>_xlfn.XLOOKUP(B825,customers!$A$2:$A$195,customers!$B$2:$B$195,,0)</f>
        <v>East</v>
      </c>
      <c r="F825">
        <v>1031</v>
      </c>
      <c r="G825" s="9">
        <f>_xlfn.XLOOKUP(B825,customers!$A$1:$A$195,customers!$C$1:$C$195)</f>
        <v>45139</v>
      </c>
      <c r="H825" s="13">
        <v>45786</v>
      </c>
      <c r="I825">
        <v>3</v>
      </c>
      <c r="J825">
        <v>696.6</v>
      </c>
      <c r="K825">
        <v>235.16</v>
      </c>
      <c r="L825">
        <f>_xlfn.XLOOKUP(F825,Products!$A$2:$A$51,Products!$D$2:$D$51,0)</f>
        <v>232.2</v>
      </c>
      <c r="M825">
        <f t="shared" si="12"/>
        <v>461.44</v>
      </c>
    </row>
    <row r="826" spans="1:13">
      <c r="A826" t="s">
        <v>1203</v>
      </c>
      <c r="B826" t="s">
        <v>118</v>
      </c>
      <c r="C826" t="str">
        <f>_xlfn.XLOOKUP(F826,Products!$A$2:$A$51,Products!$C$2:$C$51,0)</f>
        <v>Merchandise</v>
      </c>
      <c r="D826" t="str">
        <f>_xlfn.XLOOKUP(F826,Products!$A$2:$A$51,Products!$B$2:$B$51,0)</f>
        <v>Daily Grind T-Shirt</v>
      </c>
      <c r="E826" t="str">
        <f>_xlfn.XLOOKUP(B826,customers!$A$2:$A$195,customers!$B$2:$B$195,,0)</f>
        <v>West</v>
      </c>
      <c r="F826">
        <v>1019</v>
      </c>
      <c r="G826" s="9">
        <f>_xlfn.XLOOKUP(B826,customers!$A$1:$A$195,customers!$C$1:$C$195)</f>
        <v>45218</v>
      </c>
      <c r="H826" s="13">
        <v>45786</v>
      </c>
      <c r="I826">
        <v>1</v>
      </c>
      <c r="J826">
        <v>21.37</v>
      </c>
      <c r="K826">
        <v>8.26</v>
      </c>
      <c r="L826">
        <f>_xlfn.XLOOKUP(F826,Products!$A$2:$A$51,Products!$D$2:$D$51,0)</f>
        <v>21.37</v>
      </c>
      <c r="M826">
        <f t="shared" si="12"/>
        <v>13.11</v>
      </c>
    </row>
    <row r="827" spans="1:13">
      <c r="A827" t="s">
        <v>1204</v>
      </c>
      <c r="B827" t="s">
        <v>165</v>
      </c>
      <c r="C827" t="str">
        <f>_xlfn.XLOOKUP(F827,Products!$A$2:$A$51,Products!$C$2:$C$51,0)</f>
        <v>Merchandise</v>
      </c>
      <c r="D827" t="str">
        <f>_xlfn.XLOOKUP(F827,Products!$A$2:$A$51,Products!$B$2:$B$51,0)</f>
        <v>Logo Hoodie (Black)</v>
      </c>
      <c r="E827" t="str">
        <f>_xlfn.XLOOKUP(B827,customers!$A$2:$A$195,customers!$B$2:$B$195,,0)</f>
        <v>West</v>
      </c>
      <c r="F827">
        <v>1042</v>
      </c>
      <c r="G827" s="9">
        <f>_xlfn.XLOOKUP(B827,customers!$A$1:$A$195,customers!$C$1:$C$195)</f>
        <v>45132</v>
      </c>
      <c r="H827" s="13">
        <v>45786</v>
      </c>
      <c r="I827">
        <v>2</v>
      </c>
      <c r="J827">
        <v>30.46</v>
      </c>
      <c r="K827">
        <v>26.8</v>
      </c>
      <c r="L827">
        <f>_xlfn.XLOOKUP(F827,Products!$A$2:$A$51,Products!$D$2:$D$51,0)</f>
        <v>15.23</v>
      </c>
      <c r="M827">
        <f t="shared" si="12"/>
        <v>3.66</v>
      </c>
    </row>
    <row r="828" spans="1:13">
      <c r="A828" t="s">
        <v>1205</v>
      </c>
      <c r="B828" t="s">
        <v>181</v>
      </c>
      <c r="C828" t="str">
        <f>_xlfn.XLOOKUP(F828,Products!$A$2:$A$51,Products!$C$2:$C$51,0)</f>
        <v>Merchandise</v>
      </c>
      <c r="D828" t="str">
        <f>_xlfn.XLOOKUP(F828,Products!$A$2:$A$51,Products!$B$2:$B$51,0)</f>
        <v>Insulated Travel Tumbler</v>
      </c>
      <c r="E828" t="str">
        <f>_xlfn.XLOOKUP(B828,customers!$A$2:$A$195,customers!$B$2:$B$195,,0)</f>
        <v>East</v>
      </c>
      <c r="F828">
        <v>1018</v>
      </c>
      <c r="G828" s="9">
        <f>_xlfn.XLOOKUP(B828,customers!$A$1:$A$195,customers!$C$1:$C$195)</f>
        <v>45125</v>
      </c>
      <c r="H828" s="13">
        <v>45786</v>
      </c>
      <c r="I828">
        <v>1</v>
      </c>
      <c r="J828">
        <v>43.28</v>
      </c>
      <c r="K828">
        <v>20.82</v>
      </c>
      <c r="L828">
        <f>_xlfn.XLOOKUP(F828,Products!$A$2:$A$51,Products!$D$2:$D$51,0)</f>
        <v>43.28</v>
      </c>
      <c r="M828">
        <f t="shared" si="12"/>
        <v>22.46</v>
      </c>
    </row>
    <row r="829" spans="1:13">
      <c r="A829" t="s">
        <v>1206</v>
      </c>
      <c r="B829" t="s">
        <v>71</v>
      </c>
      <c r="C829" t="str">
        <f>_xlfn.XLOOKUP(F829,Products!$A$2:$A$51,Products!$C$2:$C$51,0)</f>
        <v>Consumables</v>
      </c>
      <c r="D829" t="str">
        <f>_xlfn.XLOOKUP(F829,Products!$A$2:$A$51,Products!$B$2:$B$51,0)</f>
        <v>Single-Origin Ethiopian (250g)</v>
      </c>
      <c r="E829" t="str">
        <f>_xlfn.XLOOKUP(B829,customers!$A$2:$A$195,customers!$B$2:$B$195,,0)</f>
        <v>South</v>
      </c>
      <c r="F829">
        <v>1026</v>
      </c>
      <c r="G829" s="9">
        <f>_xlfn.XLOOKUP(B829,customers!$A$1:$A$195,customers!$C$1:$C$195)</f>
        <v>44993</v>
      </c>
      <c r="H829" s="13">
        <v>45878</v>
      </c>
      <c r="I829">
        <v>1</v>
      </c>
      <c r="J829">
        <v>19.49</v>
      </c>
      <c r="K829">
        <v>12.71</v>
      </c>
      <c r="L829">
        <f>_xlfn.XLOOKUP(F829,Products!$A$2:$A$51,Products!$D$2:$D$51,0)</f>
        <v>19.49</v>
      </c>
      <c r="M829">
        <f t="shared" si="12"/>
        <v>6.78</v>
      </c>
    </row>
    <row r="830" spans="1:13">
      <c r="A830" t="s">
        <v>1207</v>
      </c>
      <c r="B830" t="s">
        <v>77</v>
      </c>
      <c r="C830" t="str">
        <f>_xlfn.XLOOKUP(F830,Products!$A$2:$A$51,Products!$C$2:$C$51,0)</f>
        <v>Subscriptions</v>
      </c>
      <c r="D830" t="str">
        <f>_xlfn.XLOOKUP(F830,Products!$A$2:$A$51,Products!$B$2:$B$51,0)</f>
        <v>Bi-Weekly Sampler Box</v>
      </c>
      <c r="E830" t="str">
        <f>_xlfn.XLOOKUP(B830,customers!$A$2:$A$195,customers!$B$2:$B$195,,0)</f>
        <v>West</v>
      </c>
      <c r="F830">
        <v>1022</v>
      </c>
      <c r="G830" s="9">
        <f>_xlfn.XLOOKUP(B830,customers!$A$1:$A$195,customers!$C$1:$C$195)</f>
        <v>44964</v>
      </c>
      <c r="H830" s="13">
        <v>45878</v>
      </c>
      <c r="I830">
        <v>3</v>
      </c>
      <c r="J830">
        <v>266.31</v>
      </c>
      <c r="K830">
        <v>71.58</v>
      </c>
      <c r="L830">
        <f>_xlfn.XLOOKUP(F830,Products!$A$2:$A$51,Products!$D$2:$D$51,0)</f>
        <v>88.77</v>
      </c>
      <c r="M830">
        <f t="shared" si="12"/>
        <v>194.73</v>
      </c>
    </row>
    <row r="831" spans="1:13">
      <c r="A831" t="s">
        <v>1208</v>
      </c>
      <c r="B831" t="s">
        <v>104</v>
      </c>
      <c r="C831" t="str">
        <f>_xlfn.XLOOKUP(F831,Products!$A$2:$A$51,Products!$C$2:$C$51,0)</f>
        <v>Consumables</v>
      </c>
      <c r="D831" t="str">
        <f>_xlfn.XLOOKUP(F831,Products!$A$2:$A$51,Products!$B$2:$B$51,0)</f>
        <v>Single-Origin Ethiopian (250g)</v>
      </c>
      <c r="E831" t="str">
        <f>_xlfn.XLOOKUP(B831,customers!$A$2:$A$195,customers!$B$2:$B$195,,0)</f>
        <v>South</v>
      </c>
      <c r="F831">
        <v>1001</v>
      </c>
      <c r="G831" s="9">
        <f>_xlfn.XLOOKUP(B831,customers!$A$1:$A$195,customers!$C$1:$C$195)</f>
        <v>45279</v>
      </c>
      <c r="H831" s="13">
        <v>45878</v>
      </c>
      <c r="I831">
        <v>4</v>
      </c>
      <c r="J831">
        <v>77.96</v>
      </c>
      <c r="K831">
        <v>50.82</v>
      </c>
      <c r="L831">
        <f>_xlfn.XLOOKUP(F831,Products!$A$2:$A$51,Products!$D$2:$D$51,0)</f>
        <v>19.49</v>
      </c>
      <c r="M831">
        <f t="shared" si="12"/>
        <v>27.14</v>
      </c>
    </row>
    <row r="832" spans="1:13">
      <c r="A832" t="s">
        <v>1209</v>
      </c>
      <c r="B832" t="s">
        <v>181</v>
      </c>
      <c r="C832" t="str">
        <f>_xlfn.XLOOKUP(F832,Products!$A$2:$A$51,Products!$C$2:$C$51,0)</f>
        <v>Merchandise</v>
      </c>
      <c r="D832" t="str">
        <f>_xlfn.XLOOKUP(F832,Products!$A$2:$A$51,Products!$B$2:$B$51,0)</f>
        <v>Branded Ceramic Mug (Large)</v>
      </c>
      <c r="E832" t="str">
        <f>_xlfn.XLOOKUP(B832,customers!$A$2:$A$195,customers!$B$2:$B$195,,0)</f>
        <v>East</v>
      </c>
      <c r="F832">
        <v>1041</v>
      </c>
      <c r="G832" s="9">
        <f>_xlfn.XLOOKUP(B832,customers!$A$1:$A$195,customers!$C$1:$C$195)</f>
        <v>45125</v>
      </c>
      <c r="H832" s="13">
        <v>45878</v>
      </c>
      <c r="I832">
        <v>1</v>
      </c>
      <c r="J832">
        <v>43.2</v>
      </c>
      <c r="K832">
        <v>31.11</v>
      </c>
      <c r="L832">
        <f>_xlfn.XLOOKUP(F832,Products!$A$2:$A$51,Products!$D$2:$D$51,0)</f>
        <v>43.2</v>
      </c>
      <c r="M832">
        <f t="shared" si="12"/>
        <v>12.09</v>
      </c>
    </row>
    <row r="833" spans="1:13">
      <c r="A833" t="s">
        <v>1210</v>
      </c>
      <c r="B833" t="s">
        <v>10</v>
      </c>
      <c r="C833" t="str">
        <f>_xlfn.XLOOKUP(F833,Products!$A$2:$A$51,Products!$C$2:$C$51,0)</f>
        <v>Accessories</v>
      </c>
      <c r="D833" t="str">
        <f>_xlfn.XLOOKUP(F833,Products!$A$2:$A$51,Products!$B$2:$B$51,0)</f>
        <v>Airtight Storage Container</v>
      </c>
      <c r="E833" t="str">
        <f>_xlfn.XLOOKUP(B833,customers!$A$2:$A$195,customers!$B$2:$B$195,,0)</f>
        <v>West</v>
      </c>
      <c r="F833">
        <v>1013</v>
      </c>
      <c r="G833" s="9">
        <f>_xlfn.XLOOKUP(B833,customers!$A$1:$A$195,customers!$C$1:$C$195)</f>
        <v>45195</v>
      </c>
      <c r="H833" s="13">
        <v>45909</v>
      </c>
      <c r="I833">
        <v>4</v>
      </c>
      <c r="J833">
        <v>244.16</v>
      </c>
      <c r="K833">
        <v>102.83</v>
      </c>
      <c r="L833">
        <f>_xlfn.XLOOKUP(F833,Products!$A$2:$A$51,Products!$D$2:$D$51,0)</f>
        <v>61.04</v>
      </c>
      <c r="M833">
        <f t="shared" si="12"/>
        <v>141.33</v>
      </c>
    </row>
    <row r="834" spans="1:13">
      <c r="A834" t="s">
        <v>1211</v>
      </c>
      <c r="B834" t="s">
        <v>10</v>
      </c>
      <c r="C834" t="str">
        <f>_xlfn.XLOOKUP(F834,Products!$A$2:$A$51,Products!$C$2:$C$51,0)</f>
        <v>Subscriptions</v>
      </c>
      <c r="D834" t="str">
        <f>_xlfn.XLOOKUP(F834,Products!$A$2:$A$51,Products!$B$2:$B$51,0)</f>
        <v>Bi-Weekly Sampler Box</v>
      </c>
      <c r="E834" t="str">
        <f>_xlfn.XLOOKUP(B834,customers!$A$2:$A$195,customers!$B$2:$B$195,,0)</f>
        <v>West</v>
      </c>
      <c r="F834">
        <v>1022</v>
      </c>
      <c r="G834" s="9">
        <f>_xlfn.XLOOKUP(B834,customers!$A$1:$A$195,customers!$C$1:$C$195)</f>
        <v>45195</v>
      </c>
      <c r="H834" s="13">
        <v>45909</v>
      </c>
      <c r="I834">
        <v>4</v>
      </c>
      <c r="J834">
        <v>355.08</v>
      </c>
      <c r="K834">
        <v>95.44</v>
      </c>
      <c r="L834">
        <f>_xlfn.XLOOKUP(F834,Products!$A$2:$A$51,Products!$D$2:$D$51,0)</f>
        <v>88.77</v>
      </c>
      <c r="M834">
        <f t="shared" si="12"/>
        <v>259.64</v>
      </c>
    </row>
    <row r="835" spans="1:13">
      <c r="A835" t="s">
        <v>1212</v>
      </c>
      <c r="B835" t="s">
        <v>74</v>
      </c>
      <c r="C835" t="str">
        <f>_xlfn.XLOOKUP(F835,Products!$A$2:$A$51,Products!$C$2:$C$51,0)</f>
        <v>Consumables</v>
      </c>
      <c r="D835" t="str">
        <f>_xlfn.XLOOKUP(F835,Products!$A$2:$A$51,Products!$B$2:$B$51,0)</f>
        <v>Single-Origin Ethiopian (250g)</v>
      </c>
      <c r="E835" t="str">
        <f>_xlfn.XLOOKUP(B835,customers!$A$2:$A$195,customers!$B$2:$B$195,,0)</f>
        <v>East</v>
      </c>
      <c r="F835">
        <v>1001</v>
      </c>
      <c r="G835" s="9">
        <f>_xlfn.XLOOKUP(B835,customers!$A$1:$A$195,customers!$C$1:$C$195)</f>
        <v>45103</v>
      </c>
      <c r="H835" s="13">
        <v>45909</v>
      </c>
      <c r="I835">
        <v>3</v>
      </c>
      <c r="J835">
        <v>58.47</v>
      </c>
      <c r="K835">
        <v>38.12</v>
      </c>
      <c r="L835">
        <f>_xlfn.XLOOKUP(F835,Products!$A$2:$A$51,Products!$D$2:$D$51,0)</f>
        <v>19.49</v>
      </c>
      <c r="M835">
        <f t="shared" ref="M835:M898" si="13">J835-K835</f>
        <v>20.35</v>
      </c>
    </row>
    <row r="836" spans="1:13">
      <c r="A836" t="s">
        <v>1213</v>
      </c>
      <c r="B836" t="s">
        <v>87</v>
      </c>
      <c r="C836" t="str">
        <f>_xlfn.XLOOKUP(F836,Products!$A$2:$A$51,Products!$C$2:$C$51,0)</f>
        <v>Subscriptions</v>
      </c>
      <c r="D836" t="str">
        <f>_xlfn.XLOOKUP(F836,Products!$A$2:$A$51,Products!$B$2:$B$51,0)</f>
        <v>Bi-Weekly Sampler Box</v>
      </c>
      <c r="E836" t="str">
        <f>_xlfn.XLOOKUP(B836,customers!$A$2:$A$195,customers!$B$2:$B$195,,0)</f>
        <v>South</v>
      </c>
      <c r="F836">
        <v>1022</v>
      </c>
      <c r="G836" s="9">
        <f>_xlfn.XLOOKUP(B836,customers!$A$1:$A$195,customers!$C$1:$C$195)</f>
        <v>45019</v>
      </c>
      <c r="H836" s="13">
        <v>45909</v>
      </c>
      <c r="I836">
        <v>4</v>
      </c>
      <c r="J836">
        <v>355.08</v>
      </c>
      <c r="K836">
        <v>95.44</v>
      </c>
      <c r="L836">
        <f>_xlfn.XLOOKUP(F836,Products!$A$2:$A$51,Products!$D$2:$D$51,0)</f>
        <v>88.77</v>
      </c>
      <c r="M836">
        <f t="shared" si="13"/>
        <v>259.64</v>
      </c>
    </row>
    <row r="837" spans="1:13">
      <c r="A837" t="s">
        <v>1214</v>
      </c>
      <c r="B837" t="s">
        <v>162</v>
      </c>
      <c r="C837" t="str">
        <f>_xlfn.XLOOKUP(F837,Products!$A$2:$A$51,Products!$C$2:$C$51,0)</f>
        <v>Consumables</v>
      </c>
      <c r="D837" t="str">
        <f>_xlfn.XLOOKUP(F837,Products!$A$2:$A$51,Products!$B$2:$B$51,0)</f>
        <v>Seasonal Blend Light Roast</v>
      </c>
      <c r="E837" t="str">
        <f>_xlfn.XLOOKUP(B837,customers!$A$2:$A$195,customers!$B$2:$B$195,,0)</f>
        <v>East</v>
      </c>
      <c r="F837">
        <v>1027</v>
      </c>
      <c r="G837" s="9">
        <f>_xlfn.XLOOKUP(B837,customers!$A$1:$A$195,customers!$C$1:$C$195)</f>
        <v>45262</v>
      </c>
      <c r="H837" s="13">
        <v>45909</v>
      </c>
      <c r="I837">
        <v>1</v>
      </c>
      <c r="J837">
        <v>35.53</v>
      </c>
      <c r="K837">
        <v>5.93</v>
      </c>
      <c r="L837">
        <f>_xlfn.XLOOKUP(F837,Products!$A$2:$A$51,Products!$D$2:$D$51,0)</f>
        <v>35.53</v>
      </c>
      <c r="M837">
        <f t="shared" si="13"/>
        <v>29.6</v>
      </c>
    </row>
    <row r="838" spans="1:13">
      <c r="A838" t="s">
        <v>1215</v>
      </c>
      <c r="B838" t="s">
        <v>84</v>
      </c>
      <c r="C838" t="str">
        <f>_xlfn.XLOOKUP(F838,Products!$A$2:$A$51,Products!$C$2:$C$51,0)</f>
        <v>Consumables</v>
      </c>
      <c r="D838" t="str">
        <f>_xlfn.XLOOKUP(F838,Products!$A$2:$A$51,Products!$B$2:$B$51,0)</f>
        <v>Decaf Blend (1kg)</v>
      </c>
      <c r="E838" t="str">
        <f>_xlfn.XLOOKUP(B838,customers!$A$2:$A$195,customers!$B$2:$B$195,,0)</f>
        <v>South</v>
      </c>
      <c r="F838">
        <v>1003</v>
      </c>
      <c r="G838" s="9">
        <f>_xlfn.XLOOKUP(B838,customers!$A$1:$A$195,customers!$C$1:$C$195)</f>
        <v>45174</v>
      </c>
      <c r="H838" s="13">
        <v>45939</v>
      </c>
      <c r="I838">
        <v>4</v>
      </c>
      <c r="J838">
        <v>161.4</v>
      </c>
      <c r="K838">
        <v>51.44</v>
      </c>
      <c r="L838">
        <f>_xlfn.XLOOKUP(F838,Products!$A$2:$A$51,Products!$D$2:$D$51,0)</f>
        <v>40.35</v>
      </c>
      <c r="M838">
        <f t="shared" si="13"/>
        <v>109.96</v>
      </c>
    </row>
    <row r="839" spans="1:13">
      <c r="A839" t="s">
        <v>1216</v>
      </c>
      <c r="B839" t="s">
        <v>89</v>
      </c>
      <c r="C839" t="str">
        <f>_xlfn.XLOOKUP(F839,Products!$A$2:$A$51,Products!$C$2:$C$51,0)</f>
        <v>Consumables</v>
      </c>
      <c r="D839" t="str">
        <f>_xlfn.XLOOKUP(F839,Products!$A$2:$A$51,Products!$B$2:$B$51,0)</f>
        <v>Espresso Bean Sampler Pack</v>
      </c>
      <c r="E839" t="str">
        <f>_xlfn.XLOOKUP(B839,customers!$A$2:$A$195,customers!$B$2:$B$195,,0)</f>
        <v>West</v>
      </c>
      <c r="F839">
        <v>1005</v>
      </c>
      <c r="G839" s="9">
        <f>_xlfn.XLOOKUP(B839,customers!$A$1:$A$195,customers!$C$1:$C$195)</f>
        <v>44947</v>
      </c>
      <c r="H839" s="13">
        <v>45939</v>
      </c>
      <c r="I839">
        <v>4</v>
      </c>
      <c r="J839">
        <v>76.24</v>
      </c>
      <c r="K839">
        <v>47.87</v>
      </c>
      <c r="L839">
        <f>_xlfn.XLOOKUP(F839,Products!$A$2:$A$51,Products!$D$2:$D$51,0)</f>
        <v>19.06</v>
      </c>
      <c r="M839">
        <f t="shared" si="13"/>
        <v>28.37</v>
      </c>
    </row>
    <row r="840" spans="1:13">
      <c r="A840" t="s">
        <v>1217</v>
      </c>
      <c r="B840" t="s">
        <v>95</v>
      </c>
      <c r="C840" t="str">
        <f>_xlfn.XLOOKUP(F840,Products!$A$2:$A$51,Products!$C$2:$C$51,0)</f>
        <v>Consumables</v>
      </c>
      <c r="D840" t="str">
        <f>_xlfn.XLOOKUP(F840,Products!$A$2:$A$51,Products!$B$2:$B$51,0)</f>
        <v>Espresso Bean Sampler Pack</v>
      </c>
      <c r="E840" t="str">
        <f>_xlfn.XLOOKUP(B840,customers!$A$2:$A$195,customers!$B$2:$B$195,,0)</f>
        <v>West</v>
      </c>
      <c r="F840">
        <v>1030</v>
      </c>
      <c r="G840" s="9">
        <f>_xlfn.XLOOKUP(B840,customers!$A$1:$A$195,customers!$C$1:$C$195)</f>
        <v>44941</v>
      </c>
      <c r="H840" s="13">
        <v>45939</v>
      </c>
      <c r="I840">
        <v>1</v>
      </c>
      <c r="J840">
        <v>19.06</v>
      </c>
      <c r="K840">
        <v>11.97</v>
      </c>
      <c r="L840">
        <f>_xlfn.XLOOKUP(F840,Products!$A$2:$A$51,Products!$D$2:$D$51,0)</f>
        <v>19.06</v>
      </c>
      <c r="M840">
        <f t="shared" si="13"/>
        <v>7.09</v>
      </c>
    </row>
    <row r="841" spans="1:13">
      <c r="A841" t="s">
        <v>1218</v>
      </c>
      <c r="B841" t="s">
        <v>135</v>
      </c>
      <c r="C841" t="str">
        <f>_xlfn.XLOOKUP(F841,Products!$A$2:$A$51,Products!$C$2:$C$51,0)</f>
        <v>Grinders &amp; Brewers</v>
      </c>
      <c r="D841" t="str">
        <f>_xlfn.XLOOKUP(F841,Products!$A$2:$A$51,Products!$B$2:$B$51,0)</f>
        <v>High-Capacity French Press</v>
      </c>
      <c r="E841" t="str">
        <f>_xlfn.XLOOKUP(B841,customers!$A$2:$A$195,customers!$B$2:$B$195,,0)</f>
        <v>East</v>
      </c>
      <c r="F841">
        <v>1034</v>
      </c>
      <c r="G841" s="9">
        <f>_xlfn.XLOOKUP(B841,customers!$A$1:$A$195,customers!$C$1:$C$195)</f>
        <v>45286</v>
      </c>
      <c r="H841" s="13">
        <v>45939</v>
      </c>
      <c r="I841">
        <v>2</v>
      </c>
      <c r="J841">
        <v>676.72</v>
      </c>
      <c r="K841">
        <v>296.34</v>
      </c>
      <c r="L841">
        <f>_xlfn.XLOOKUP(F841,Products!$A$2:$A$51,Products!$D$2:$D$51,0)</f>
        <v>338.36</v>
      </c>
      <c r="M841">
        <f t="shared" si="13"/>
        <v>380.38</v>
      </c>
    </row>
    <row r="842" spans="1:13">
      <c r="A842" t="s">
        <v>1219</v>
      </c>
      <c r="B842" t="s">
        <v>11</v>
      </c>
      <c r="C842" t="str">
        <f>_xlfn.XLOOKUP(F842,Products!$A$2:$A$51,Products!$C$2:$C$51,0)</f>
        <v>Grinders &amp; Brewers</v>
      </c>
      <c r="D842" t="str">
        <f>_xlfn.XLOOKUP(F842,Products!$A$2:$A$51,Products!$B$2:$B$51,0)</f>
        <v>High-Capacity French Press</v>
      </c>
      <c r="E842" t="str">
        <f>_xlfn.XLOOKUP(B842,customers!$A$2:$A$195,customers!$B$2:$B$195,,0)</f>
        <v>East</v>
      </c>
      <c r="F842">
        <v>1034</v>
      </c>
      <c r="G842" s="9">
        <f>_xlfn.XLOOKUP(B842,customers!$A$1:$A$195,customers!$C$1:$C$195)</f>
        <v>45072</v>
      </c>
      <c r="H842" s="13">
        <v>45970</v>
      </c>
      <c r="I842">
        <v>3</v>
      </c>
      <c r="J842">
        <v>1015.08</v>
      </c>
      <c r="K842">
        <v>444.51</v>
      </c>
      <c r="L842">
        <f>_xlfn.XLOOKUP(F842,Products!$A$2:$A$51,Products!$D$2:$D$51,0)</f>
        <v>338.36</v>
      </c>
      <c r="M842">
        <f t="shared" si="13"/>
        <v>570.57</v>
      </c>
    </row>
    <row r="843" spans="1:13">
      <c r="A843" t="s">
        <v>1220</v>
      </c>
      <c r="B843" t="s">
        <v>94</v>
      </c>
      <c r="C843" t="str">
        <f>_xlfn.XLOOKUP(F843,Products!$A$2:$A$51,Products!$C$2:$C$51,0)</f>
        <v>Accessories</v>
      </c>
      <c r="D843" t="str">
        <f>_xlfn.XLOOKUP(F843,Products!$A$2:$A$51,Products!$B$2:$B$51,0)</f>
        <v>Chemex Filters (100 pack)</v>
      </c>
      <c r="E843" t="str">
        <f>_xlfn.XLOOKUP(B843,customers!$A$2:$A$195,customers!$B$2:$B$195,,0)</f>
        <v>East</v>
      </c>
      <c r="F843">
        <v>1039</v>
      </c>
      <c r="G843" s="9">
        <f>_xlfn.XLOOKUP(B843,customers!$A$1:$A$195,customers!$C$1:$C$195)</f>
        <v>44956</v>
      </c>
      <c r="H843" s="13">
        <v>45970</v>
      </c>
      <c r="I843">
        <v>1</v>
      </c>
      <c r="J843">
        <v>24.1</v>
      </c>
      <c r="K843">
        <v>21.21</v>
      </c>
      <c r="L843">
        <f>_xlfn.XLOOKUP(F843,Products!$A$2:$A$51,Products!$D$2:$D$51,0)</f>
        <v>24.1</v>
      </c>
      <c r="M843">
        <f t="shared" si="13"/>
        <v>2.89</v>
      </c>
    </row>
    <row r="844" spans="1:13">
      <c r="A844" t="s">
        <v>1221</v>
      </c>
      <c r="B844" t="s">
        <v>153</v>
      </c>
      <c r="C844" t="str">
        <f>_xlfn.XLOOKUP(F844,Products!$A$2:$A$51,Products!$C$2:$C$51,0)</f>
        <v>Accessories</v>
      </c>
      <c r="D844" t="str">
        <f>_xlfn.XLOOKUP(F844,Products!$A$2:$A$51,Products!$B$2:$B$51,0)</f>
        <v>Airtight Storage Container</v>
      </c>
      <c r="E844" t="str">
        <f>_xlfn.XLOOKUP(B844,customers!$A$2:$A$195,customers!$B$2:$B$195,,0)</f>
        <v>East</v>
      </c>
      <c r="F844">
        <v>1038</v>
      </c>
      <c r="G844" s="9">
        <f>_xlfn.XLOOKUP(B844,customers!$A$1:$A$195,customers!$C$1:$C$195)</f>
        <v>44999</v>
      </c>
      <c r="H844" s="13">
        <v>45970</v>
      </c>
      <c r="I844">
        <v>1</v>
      </c>
      <c r="J844">
        <v>61.04</v>
      </c>
      <c r="K844">
        <v>25.71</v>
      </c>
      <c r="L844">
        <f>_xlfn.XLOOKUP(F844,Products!$A$2:$A$51,Products!$D$2:$D$51,0)</f>
        <v>61.04</v>
      </c>
      <c r="M844">
        <f t="shared" si="13"/>
        <v>35.33</v>
      </c>
    </row>
    <row r="845" spans="1:13">
      <c r="A845" t="s">
        <v>1222</v>
      </c>
      <c r="B845" t="s">
        <v>183</v>
      </c>
      <c r="C845" t="str">
        <f>_xlfn.XLOOKUP(F845,Products!$A$2:$A$51,Products!$C$2:$C$51,0)</f>
        <v>Merchandise</v>
      </c>
      <c r="D845" t="str">
        <f>_xlfn.XLOOKUP(F845,Products!$A$2:$A$51,Products!$B$2:$B$51,0)</f>
        <v>Logo Hoodie (Black)</v>
      </c>
      <c r="E845" t="str">
        <f>_xlfn.XLOOKUP(B845,customers!$A$2:$A$195,customers!$B$2:$B$195,,0)</f>
        <v>West</v>
      </c>
      <c r="F845">
        <v>1042</v>
      </c>
      <c r="G845" s="9">
        <f>_xlfn.XLOOKUP(B845,customers!$A$1:$A$195,customers!$C$1:$C$195)</f>
        <v>45237</v>
      </c>
      <c r="H845" s="13">
        <v>45970</v>
      </c>
      <c r="I845">
        <v>3</v>
      </c>
      <c r="J845">
        <v>45.69</v>
      </c>
      <c r="K845">
        <v>40.19</v>
      </c>
      <c r="L845">
        <f>_xlfn.XLOOKUP(F845,Products!$A$2:$A$51,Products!$D$2:$D$51,0)</f>
        <v>15.23</v>
      </c>
      <c r="M845">
        <f t="shared" si="13"/>
        <v>5.5</v>
      </c>
    </row>
    <row r="846" spans="1:13">
      <c r="A846" t="s">
        <v>1223</v>
      </c>
      <c r="B846" t="s">
        <v>196</v>
      </c>
      <c r="C846" t="str">
        <f>_xlfn.XLOOKUP(F846,Products!$A$2:$A$51,Products!$C$2:$C$51,0)</f>
        <v>Subscriptions</v>
      </c>
      <c r="D846" t="str">
        <f>_xlfn.XLOOKUP(F846,Products!$A$2:$A$51,Products!$B$2:$B$51,0)</f>
        <v>Monthly Dark Roast Subscription</v>
      </c>
      <c r="E846" t="str">
        <f>_xlfn.XLOOKUP(B846,customers!$A$2:$A$195,customers!$B$2:$B$195,,0)</f>
        <v>West</v>
      </c>
      <c r="F846">
        <v>1046</v>
      </c>
      <c r="G846" s="9">
        <f>_xlfn.XLOOKUP(B846,customers!$A$1:$A$195,customers!$C$1:$C$195)</f>
        <v>45186</v>
      </c>
      <c r="H846" s="13">
        <v>45970</v>
      </c>
      <c r="I846">
        <v>1</v>
      </c>
      <c r="J846">
        <v>61.26</v>
      </c>
      <c r="K846">
        <v>35.15</v>
      </c>
      <c r="L846">
        <f>_xlfn.XLOOKUP(F846,Products!$A$2:$A$51,Products!$D$2:$D$51,0)</f>
        <v>61.26</v>
      </c>
      <c r="M846">
        <f t="shared" si="13"/>
        <v>26.11</v>
      </c>
    </row>
    <row r="847" spans="1:13">
      <c r="A847" t="s">
        <v>1224</v>
      </c>
      <c r="B847" t="s">
        <v>18</v>
      </c>
      <c r="C847" t="str">
        <f>_xlfn.XLOOKUP(F847,Products!$A$2:$A$51,Products!$C$2:$C$51,0)</f>
        <v>Accessories</v>
      </c>
      <c r="D847" t="str">
        <f>_xlfn.XLOOKUP(F847,Products!$A$2:$A$51,Products!$B$2:$B$51,0)</f>
        <v>Refillable Coffee Pods</v>
      </c>
      <c r="E847" t="str">
        <f>_xlfn.XLOOKUP(B847,customers!$A$2:$A$195,customers!$B$2:$B$195,,0)</f>
        <v>East</v>
      </c>
      <c r="F847">
        <v>1015</v>
      </c>
      <c r="G847" s="9">
        <f>_xlfn.XLOOKUP(B847,customers!$A$1:$A$195,customers!$C$1:$C$195)</f>
        <v>45159</v>
      </c>
      <c r="H847" s="13">
        <v>46000</v>
      </c>
      <c r="I847">
        <v>1</v>
      </c>
      <c r="J847">
        <v>24.13</v>
      </c>
      <c r="K847">
        <v>9.3</v>
      </c>
      <c r="L847">
        <f>_xlfn.XLOOKUP(F847,Products!$A$2:$A$51,Products!$D$2:$D$51,0)</f>
        <v>24.13</v>
      </c>
      <c r="M847">
        <f t="shared" si="13"/>
        <v>14.83</v>
      </c>
    </row>
    <row r="848" spans="1:13">
      <c r="A848" t="s">
        <v>1225</v>
      </c>
      <c r="B848" t="s">
        <v>83</v>
      </c>
      <c r="C848" t="str">
        <f>_xlfn.XLOOKUP(F848,Products!$A$2:$A$51,Products!$C$2:$C$51,0)</f>
        <v>Accessories</v>
      </c>
      <c r="D848" t="str">
        <f>_xlfn.XLOOKUP(F848,Products!$A$2:$A$51,Products!$B$2:$B$51,0)</f>
        <v>Digital Coffee Scale</v>
      </c>
      <c r="E848" t="str">
        <f>_xlfn.XLOOKUP(B848,customers!$A$2:$A$195,customers!$B$2:$B$195,,0)</f>
        <v>West</v>
      </c>
      <c r="F848">
        <v>1036</v>
      </c>
      <c r="G848" s="9">
        <f>_xlfn.XLOOKUP(B848,customers!$A$1:$A$195,customers!$C$1:$C$195)</f>
        <v>45277</v>
      </c>
      <c r="H848" s="13">
        <v>46000</v>
      </c>
      <c r="I848">
        <v>3</v>
      </c>
      <c r="J848">
        <v>80.49</v>
      </c>
      <c r="K848">
        <v>43.96</v>
      </c>
      <c r="L848">
        <f>_xlfn.XLOOKUP(F848,Products!$A$2:$A$51,Products!$D$2:$D$51,0)</f>
        <v>26.83</v>
      </c>
      <c r="M848">
        <f t="shared" si="13"/>
        <v>36.53</v>
      </c>
    </row>
    <row r="849" spans="1:13">
      <c r="A849" t="s">
        <v>1226</v>
      </c>
      <c r="B849" t="s">
        <v>90</v>
      </c>
      <c r="C849" t="str">
        <f>_xlfn.XLOOKUP(F849,Products!$A$2:$A$51,Products!$C$2:$C$51,0)</f>
        <v>Subscriptions</v>
      </c>
      <c r="D849" t="str">
        <f>_xlfn.XLOOKUP(F849,Products!$A$2:$A$51,Products!$B$2:$B$51,0)</f>
        <v>Bi-Weekly Sampler Box</v>
      </c>
      <c r="E849" t="str">
        <f>_xlfn.XLOOKUP(B849,customers!$A$2:$A$195,customers!$B$2:$B$195,,0)</f>
        <v>East</v>
      </c>
      <c r="F849">
        <v>1047</v>
      </c>
      <c r="G849" s="9">
        <f>_xlfn.XLOOKUP(B849,customers!$A$1:$A$195,customers!$C$1:$C$195)</f>
        <v>45043</v>
      </c>
      <c r="H849" s="13">
        <v>46000</v>
      </c>
      <c r="I849">
        <v>1</v>
      </c>
      <c r="J849">
        <v>88.77</v>
      </c>
      <c r="K849">
        <v>23.86</v>
      </c>
      <c r="L849">
        <f>_xlfn.XLOOKUP(F849,Products!$A$2:$A$51,Products!$D$2:$D$51,0)</f>
        <v>88.77</v>
      </c>
      <c r="M849">
        <f t="shared" si="13"/>
        <v>64.91</v>
      </c>
    </row>
    <row r="850" spans="1:13">
      <c r="A850" t="s">
        <v>1227</v>
      </c>
      <c r="B850" t="s">
        <v>119</v>
      </c>
      <c r="C850" t="str">
        <f>_xlfn.XLOOKUP(F850,Products!$A$2:$A$51,Products!$C$2:$C$51,0)</f>
        <v>Grinders &amp; Brewers</v>
      </c>
      <c r="D850" t="str">
        <f>_xlfn.XLOOKUP(F850,Products!$A$2:$A$51,Products!$B$2:$B$51,0)</f>
        <v>High-Capacity French Press</v>
      </c>
      <c r="E850" t="str">
        <f>_xlfn.XLOOKUP(B850,customers!$A$2:$A$195,customers!$B$2:$B$195,,0)</f>
        <v>West</v>
      </c>
      <c r="F850">
        <v>1009</v>
      </c>
      <c r="G850" s="9">
        <f>_xlfn.XLOOKUP(B850,customers!$A$1:$A$195,customers!$C$1:$C$195)</f>
        <v>44960</v>
      </c>
      <c r="H850" s="13">
        <v>46000</v>
      </c>
      <c r="I850">
        <v>2</v>
      </c>
      <c r="J850">
        <v>676.72</v>
      </c>
      <c r="K850">
        <v>296.34</v>
      </c>
      <c r="L850">
        <f>_xlfn.XLOOKUP(F850,Products!$A$2:$A$51,Products!$D$2:$D$51,0)</f>
        <v>338.36</v>
      </c>
      <c r="M850">
        <f t="shared" si="13"/>
        <v>380.38</v>
      </c>
    </row>
    <row r="851" spans="1:13">
      <c r="A851" t="s">
        <v>1228</v>
      </c>
      <c r="B851" t="s">
        <v>161</v>
      </c>
      <c r="C851" t="str">
        <f>_xlfn.XLOOKUP(F851,Products!$A$2:$A$51,Products!$C$2:$C$51,0)</f>
        <v>Merchandise</v>
      </c>
      <c r="D851" t="str">
        <f>_xlfn.XLOOKUP(F851,Products!$A$2:$A$51,Products!$B$2:$B$51,0)</f>
        <v>Insulated Travel Tumbler</v>
      </c>
      <c r="E851" t="str">
        <f>_xlfn.XLOOKUP(B851,customers!$A$2:$A$195,customers!$B$2:$B$195,,0)</f>
        <v>South</v>
      </c>
      <c r="F851">
        <v>1043</v>
      </c>
      <c r="G851" s="9">
        <f>_xlfn.XLOOKUP(B851,customers!$A$1:$A$195,customers!$C$1:$C$195)</f>
        <v>45203</v>
      </c>
      <c r="H851" s="13">
        <v>46000</v>
      </c>
      <c r="I851">
        <v>2</v>
      </c>
      <c r="J851">
        <v>86.56</v>
      </c>
      <c r="K851">
        <v>41.65</v>
      </c>
      <c r="L851">
        <f>_xlfn.XLOOKUP(F851,Products!$A$2:$A$51,Products!$D$2:$D$51,0)</f>
        <v>43.28</v>
      </c>
      <c r="M851">
        <f t="shared" si="13"/>
        <v>44.91</v>
      </c>
    </row>
    <row r="852" spans="1:13">
      <c r="A852" t="s">
        <v>1229</v>
      </c>
      <c r="B852" t="s">
        <v>85</v>
      </c>
      <c r="C852" t="str">
        <f>_xlfn.XLOOKUP(F852,Products!$A$2:$A$51,Products!$C$2:$C$51,0)</f>
        <v>Grinders &amp; Brewers</v>
      </c>
      <c r="D852" t="str">
        <f>_xlfn.XLOOKUP(F852,Products!$A$2:$A$51,Products!$B$2:$B$51,0)</f>
        <v>Precision Electric Grinder</v>
      </c>
      <c r="E852" t="str">
        <f>_xlfn.XLOOKUP(B852,customers!$A$2:$A$195,customers!$B$2:$B$195,,0)</f>
        <v>North</v>
      </c>
      <c r="F852">
        <v>1031</v>
      </c>
      <c r="G852" s="9">
        <f>_xlfn.XLOOKUP(B852,customers!$A$1:$A$195,customers!$C$1:$C$195)</f>
        <v>45181</v>
      </c>
      <c r="H852" s="13" t="s">
        <v>1230</v>
      </c>
      <c r="I852">
        <v>4</v>
      </c>
      <c r="J852">
        <v>928.8</v>
      </c>
      <c r="K852">
        <v>313.54</v>
      </c>
      <c r="L852">
        <f>_xlfn.XLOOKUP(F852,Products!$A$2:$A$51,Products!$D$2:$D$51,0)</f>
        <v>232.2</v>
      </c>
      <c r="M852">
        <f t="shared" si="13"/>
        <v>615.26</v>
      </c>
    </row>
    <row r="853" spans="1:13">
      <c r="A853" t="s">
        <v>1231</v>
      </c>
      <c r="B853" t="s">
        <v>159</v>
      </c>
      <c r="C853" t="str">
        <f>_xlfn.XLOOKUP(F853,Products!$A$2:$A$51,Products!$C$2:$C$51,0)</f>
        <v>Merchandise</v>
      </c>
      <c r="D853" t="str">
        <f>_xlfn.XLOOKUP(F853,Products!$A$2:$A$51,Products!$B$2:$B$51,0)</f>
        <v>Minimalist Keychain</v>
      </c>
      <c r="E853" t="str">
        <f>_xlfn.XLOOKUP(B853,customers!$A$2:$A$195,customers!$B$2:$B$195,,0)</f>
        <v>West</v>
      </c>
      <c r="F853">
        <v>1045</v>
      </c>
      <c r="G853" s="9">
        <f>_xlfn.XLOOKUP(B853,customers!$A$1:$A$195,customers!$C$1:$C$195)</f>
        <v>45153</v>
      </c>
      <c r="H853" s="13" t="s">
        <v>1230</v>
      </c>
      <c r="I853">
        <v>3</v>
      </c>
      <c r="J853">
        <v>82.11</v>
      </c>
      <c r="K853">
        <v>72.27</v>
      </c>
      <c r="L853">
        <f>_xlfn.XLOOKUP(F853,Products!$A$2:$A$51,Products!$D$2:$D$51,0)</f>
        <v>27.37</v>
      </c>
      <c r="M853">
        <f t="shared" si="13"/>
        <v>9.84</v>
      </c>
    </row>
    <row r="854" spans="1:13">
      <c r="A854" t="s">
        <v>1232</v>
      </c>
      <c r="B854" t="s">
        <v>11</v>
      </c>
      <c r="C854" t="str">
        <f>_xlfn.XLOOKUP(F854,Products!$A$2:$A$51,Products!$C$2:$C$51,0)</f>
        <v>Consumables</v>
      </c>
      <c r="D854" t="str">
        <f>_xlfn.XLOOKUP(F854,Products!$A$2:$A$51,Products!$B$2:$B$51,0)</f>
        <v>Single-Origin Ethiopian (250g)</v>
      </c>
      <c r="E854" t="str">
        <f>_xlfn.XLOOKUP(B854,customers!$A$2:$A$195,customers!$B$2:$B$195,,0)</f>
        <v>East</v>
      </c>
      <c r="F854">
        <v>1001</v>
      </c>
      <c r="G854" s="9">
        <f>_xlfn.XLOOKUP(B854,customers!$A$1:$A$195,customers!$C$1:$C$195)</f>
        <v>45072</v>
      </c>
      <c r="H854" s="13" t="s">
        <v>1233</v>
      </c>
      <c r="I854">
        <v>1</v>
      </c>
      <c r="J854">
        <v>19.49</v>
      </c>
      <c r="K854">
        <v>12.71</v>
      </c>
      <c r="L854">
        <f>_xlfn.XLOOKUP(F854,Products!$A$2:$A$51,Products!$D$2:$D$51,0)</f>
        <v>19.49</v>
      </c>
      <c r="M854">
        <f t="shared" si="13"/>
        <v>6.78</v>
      </c>
    </row>
    <row r="855" spans="1:13">
      <c r="A855" t="s">
        <v>1234</v>
      </c>
      <c r="B855" t="s">
        <v>57</v>
      </c>
      <c r="C855" t="str">
        <f>_xlfn.XLOOKUP(F855,Products!$A$2:$A$51,Products!$C$2:$C$51,0)</f>
        <v>Merchandise</v>
      </c>
      <c r="D855" t="str">
        <f>_xlfn.XLOOKUP(F855,Products!$A$2:$A$51,Products!$B$2:$B$51,0)</f>
        <v>Insulated Travel Tumbler</v>
      </c>
      <c r="E855" t="str">
        <f>_xlfn.XLOOKUP(B855,customers!$A$2:$A$195,customers!$B$2:$B$195,,0)</f>
        <v>North</v>
      </c>
      <c r="F855">
        <v>1018</v>
      </c>
      <c r="G855" s="9">
        <f>_xlfn.XLOOKUP(B855,customers!$A$1:$A$195,customers!$C$1:$C$195)</f>
        <v>44933</v>
      </c>
      <c r="H855" s="13" t="s">
        <v>1233</v>
      </c>
      <c r="I855">
        <v>3</v>
      </c>
      <c r="J855">
        <v>129.84</v>
      </c>
      <c r="K855">
        <v>62.47</v>
      </c>
      <c r="L855">
        <f>_xlfn.XLOOKUP(F855,Products!$A$2:$A$51,Products!$D$2:$D$51,0)</f>
        <v>43.28</v>
      </c>
      <c r="M855">
        <f t="shared" si="13"/>
        <v>67.37</v>
      </c>
    </row>
    <row r="856" spans="1:13">
      <c r="A856" t="s">
        <v>1235</v>
      </c>
      <c r="B856" t="s">
        <v>86</v>
      </c>
      <c r="C856" t="str">
        <f>_xlfn.XLOOKUP(F856,Products!$A$2:$A$51,Products!$C$2:$C$51,0)</f>
        <v>Consumables</v>
      </c>
      <c r="D856" t="str">
        <f>_xlfn.XLOOKUP(F856,Products!$A$2:$A$51,Products!$B$2:$B$51,0)</f>
        <v>Cold Brew Concentrate</v>
      </c>
      <c r="E856" t="str">
        <f>_xlfn.XLOOKUP(B856,customers!$A$2:$A$195,customers!$B$2:$B$195,,0)</f>
        <v>North</v>
      </c>
      <c r="F856">
        <v>1004</v>
      </c>
      <c r="G856" s="9">
        <f>_xlfn.XLOOKUP(B856,customers!$A$1:$A$195,customers!$C$1:$C$195)</f>
        <v>45227</v>
      </c>
      <c r="H856" s="13" t="s">
        <v>1233</v>
      </c>
      <c r="I856">
        <v>2</v>
      </c>
      <c r="J856">
        <v>46.98</v>
      </c>
      <c r="K856">
        <v>20.17</v>
      </c>
      <c r="L856">
        <f>_xlfn.XLOOKUP(F856,Products!$A$2:$A$51,Products!$D$2:$D$51,0)</f>
        <v>23.49</v>
      </c>
      <c r="M856">
        <f t="shared" si="13"/>
        <v>26.81</v>
      </c>
    </row>
    <row r="857" spans="1:13">
      <c r="A857" t="s">
        <v>1236</v>
      </c>
      <c r="B857" t="s">
        <v>148</v>
      </c>
      <c r="C857" t="str">
        <f>_xlfn.XLOOKUP(F857,Products!$A$2:$A$51,Products!$C$2:$C$51,0)</f>
        <v>Merchandise</v>
      </c>
      <c r="D857" t="str">
        <f>_xlfn.XLOOKUP(F857,Products!$A$2:$A$51,Products!$B$2:$B$51,0)</f>
        <v>Insulated Travel Tumbler</v>
      </c>
      <c r="E857" t="str">
        <f>_xlfn.XLOOKUP(B857,customers!$A$2:$A$195,customers!$B$2:$B$195,,0)</f>
        <v>West</v>
      </c>
      <c r="F857">
        <v>1018</v>
      </c>
      <c r="G857" s="9">
        <f>_xlfn.XLOOKUP(B857,customers!$A$1:$A$195,customers!$C$1:$C$195)</f>
        <v>44955</v>
      </c>
      <c r="H857" s="13" t="s">
        <v>1233</v>
      </c>
      <c r="I857">
        <v>3</v>
      </c>
      <c r="J857">
        <v>129.84</v>
      </c>
      <c r="K857">
        <v>62.47</v>
      </c>
      <c r="L857">
        <f>_xlfn.XLOOKUP(F857,Products!$A$2:$A$51,Products!$D$2:$D$51,0)</f>
        <v>43.28</v>
      </c>
      <c r="M857">
        <f t="shared" si="13"/>
        <v>67.37</v>
      </c>
    </row>
    <row r="858" spans="1:13">
      <c r="A858" t="s">
        <v>1237</v>
      </c>
      <c r="B858" t="s">
        <v>170</v>
      </c>
      <c r="C858" t="str">
        <f>_xlfn.XLOOKUP(F858,Products!$A$2:$A$51,Products!$C$2:$C$51,0)</f>
        <v>Subscriptions</v>
      </c>
      <c r="D858" t="str">
        <f>_xlfn.XLOOKUP(F858,Products!$A$2:$A$51,Products!$B$2:$B$51,0)</f>
        <v>Bi-Weekly Sampler Box</v>
      </c>
      <c r="E858" t="str">
        <f>_xlfn.XLOOKUP(B858,customers!$A$2:$A$195,customers!$B$2:$B$195,,0)</f>
        <v>North</v>
      </c>
      <c r="F858">
        <v>1047</v>
      </c>
      <c r="G858" s="9">
        <f>_xlfn.XLOOKUP(B858,customers!$A$1:$A$195,customers!$C$1:$C$195)</f>
        <v>44969</v>
      </c>
      <c r="H858" s="13" t="s">
        <v>1233</v>
      </c>
      <c r="I858">
        <v>1</v>
      </c>
      <c r="J858">
        <v>88.77</v>
      </c>
      <c r="K858">
        <v>23.86</v>
      </c>
      <c r="L858">
        <f>_xlfn.XLOOKUP(F858,Products!$A$2:$A$51,Products!$D$2:$D$51,0)</f>
        <v>88.77</v>
      </c>
      <c r="M858">
        <f t="shared" si="13"/>
        <v>64.91</v>
      </c>
    </row>
    <row r="859" spans="1:13">
      <c r="A859" t="s">
        <v>1238</v>
      </c>
      <c r="B859" t="s">
        <v>87</v>
      </c>
      <c r="C859" t="str">
        <f>_xlfn.XLOOKUP(F859,Products!$A$2:$A$51,Products!$C$2:$C$51,0)</f>
        <v>Merchandise</v>
      </c>
      <c r="D859" t="str">
        <f>_xlfn.XLOOKUP(F859,Products!$A$2:$A$51,Products!$B$2:$B$51,0)</f>
        <v>Daily Grind T-Shirt</v>
      </c>
      <c r="E859" t="str">
        <f>_xlfn.XLOOKUP(B859,customers!$A$2:$A$195,customers!$B$2:$B$195,,0)</f>
        <v>South</v>
      </c>
      <c r="F859">
        <v>1019</v>
      </c>
      <c r="G859" s="9">
        <f>_xlfn.XLOOKUP(B859,customers!$A$1:$A$195,customers!$C$1:$C$195)</f>
        <v>45019</v>
      </c>
      <c r="H859" s="13" t="s">
        <v>1239</v>
      </c>
      <c r="I859">
        <v>1</v>
      </c>
      <c r="J859">
        <v>21.37</v>
      </c>
      <c r="K859">
        <v>8.26</v>
      </c>
      <c r="L859">
        <f>_xlfn.XLOOKUP(F859,Products!$A$2:$A$51,Products!$D$2:$D$51,0)</f>
        <v>21.37</v>
      </c>
      <c r="M859">
        <f t="shared" si="13"/>
        <v>13.11</v>
      </c>
    </row>
    <row r="860" spans="1:13">
      <c r="A860" t="s">
        <v>1240</v>
      </c>
      <c r="B860" t="s">
        <v>126</v>
      </c>
      <c r="C860" t="str">
        <f>_xlfn.XLOOKUP(F860,Products!$A$2:$A$51,Products!$C$2:$C$51,0)</f>
        <v>Grinders &amp; Brewers</v>
      </c>
      <c r="D860" t="str">
        <f>_xlfn.XLOOKUP(F860,Products!$A$2:$A$51,Products!$B$2:$B$51,0)</f>
        <v>Pour-Over Starter Kit</v>
      </c>
      <c r="E860" t="str">
        <f>_xlfn.XLOOKUP(B860,customers!$A$2:$A$195,customers!$B$2:$B$195,,0)</f>
        <v>North</v>
      </c>
      <c r="F860">
        <v>1035</v>
      </c>
      <c r="G860" s="9">
        <f>_xlfn.XLOOKUP(B860,customers!$A$1:$A$195,customers!$C$1:$C$195)</f>
        <v>45192</v>
      </c>
      <c r="H860" s="13" t="s">
        <v>1239</v>
      </c>
      <c r="I860">
        <v>1</v>
      </c>
      <c r="J860">
        <v>105.23</v>
      </c>
      <c r="K860">
        <v>74.74</v>
      </c>
      <c r="L860">
        <f>_xlfn.XLOOKUP(F860,Products!$A$2:$A$51,Products!$D$2:$D$51,0)</f>
        <v>105.23</v>
      </c>
      <c r="M860">
        <f t="shared" si="13"/>
        <v>30.49</v>
      </c>
    </row>
    <row r="861" spans="1:13">
      <c r="A861" t="s">
        <v>1241</v>
      </c>
      <c r="B861" t="s">
        <v>126</v>
      </c>
      <c r="C861" t="str">
        <f>_xlfn.XLOOKUP(F861,Products!$A$2:$A$51,Products!$C$2:$C$51,0)</f>
        <v>Accessories</v>
      </c>
      <c r="D861" t="str">
        <f>_xlfn.XLOOKUP(F861,Products!$A$2:$A$51,Products!$B$2:$B$51,0)</f>
        <v>Refillable Coffee Pods</v>
      </c>
      <c r="E861" t="str">
        <f>_xlfn.XLOOKUP(B861,customers!$A$2:$A$195,customers!$B$2:$B$195,,0)</f>
        <v>North</v>
      </c>
      <c r="F861">
        <v>1040</v>
      </c>
      <c r="G861" s="9">
        <f>_xlfn.XLOOKUP(B861,customers!$A$1:$A$195,customers!$C$1:$C$195)</f>
        <v>45192</v>
      </c>
      <c r="H861" s="13" t="s">
        <v>1239</v>
      </c>
      <c r="I861">
        <v>1</v>
      </c>
      <c r="J861">
        <v>24.13</v>
      </c>
      <c r="K861">
        <v>9.3</v>
      </c>
      <c r="L861">
        <f>_xlfn.XLOOKUP(F861,Products!$A$2:$A$51,Products!$D$2:$D$51,0)</f>
        <v>24.13</v>
      </c>
      <c r="M861">
        <f t="shared" si="13"/>
        <v>14.83</v>
      </c>
    </row>
    <row r="862" spans="1:13">
      <c r="A862" t="s">
        <v>1242</v>
      </c>
      <c r="B862" t="s">
        <v>146</v>
      </c>
      <c r="C862" t="str">
        <f>_xlfn.XLOOKUP(F862,Products!$A$2:$A$51,Products!$C$2:$C$51,0)</f>
        <v>Consumables</v>
      </c>
      <c r="D862" t="str">
        <f>_xlfn.XLOOKUP(F862,Products!$A$2:$A$51,Products!$B$2:$B$51,0)</f>
        <v>Cold Brew Concentrate</v>
      </c>
      <c r="E862" t="str">
        <f>_xlfn.XLOOKUP(B862,customers!$A$2:$A$195,customers!$B$2:$B$195,,0)</f>
        <v>East</v>
      </c>
      <c r="F862">
        <v>1004</v>
      </c>
      <c r="G862" s="9">
        <f>_xlfn.XLOOKUP(B862,customers!$A$1:$A$195,customers!$C$1:$C$195)</f>
        <v>44981</v>
      </c>
      <c r="H862" s="13" t="s">
        <v>1239</v>
      </c>
      <c r="I862">
        <v>4</v>
      </c>
      <c r="J862">
        <v>93.96</v>
      </c>
      <c r="K862">
        <v>40.35</v>
      </c>
      <c r="L862">
        <f>_xlfn.XLOOKUP(F862,Products!$A$2:$A$51,Products!$D$2:$D$51,0)</f>
        <v>23.49</v>
      </c>
      <c r="M862">
        <f t="shared" si="13"/>
        <v>53.61</v>
      </c>
    </row>
    <row r="863" spans="1:13">
      <c r="A863" t="s">
        <v>1243</v>
      </c>
      <c r="B863" t="s">
        <v>167</v>
      </c>
      <c r="C863" t="str">
        <f>_xlfn.XLOOKUP(F863,Products!$A$2:$A$51,Products!$C$2:$C$51,0)</f>
        <v>Accessories</v>
      </c>
      <c r="D863" t="str">
        <f>_xlfn.XLOOKUP(F863,Products!$A$2:$A$51,Products!$B$2:$B$51,0)</f>
        <v>Refillable Coffee Pods</v>
      </c>
      <c r="E863" t="str">
        <f>_xlfn.XLOOKUP(B863,customers!$A$2:$A$195,customers!$B$2:$B$195,,0)</f>
        <v>North</v>
      </c>
      <c r="F863">
        <v>1015</v>
      </c>
      <c r="G863" s="9">
        <f>_xlfn.XLOOKUP(B863,customers!$A$1:$A$195,customers!$C$1:$C$195)</f>
        <v>45168</v>
      </c>
      <c r="H863" s="13" t="s">
        <v>1239</v>
      </c>
      <c r="I863">
        <v>3</v>
      </c>
      <c r="J863">
        <v>72.39</v>
      </c>
      <c r="K863">
        <v>27.88</v>
      </c>
      <c r="L863">
        <f>_xlfn.XLOOKUP(F863,Products!$A$2:$A$51,Products!$D$2:$D$51,0)</f>
        <v>24.13</v>
      </c>
      <c r="M863">
        <f t="shared" si="13"/>
        <v>44.51</v>
      </c>
    </row>
    <row r="864" spans="1:13">
      <c r="A864" t="s">
        <v>1244</v>
      </c>
      <c r="B864" t="s">
        <v>176</v>
      </c>
      <c r="C864" t="str">
        <f>_xlfn.XLOOKUP(F864,Products!$A$2:$A$51,Products!$C$2:$C$51,0)</f>
        <v>Accessories</v>
      </c>
      <c r="D864" t="str">
        <f>_xlfn.XLOOKUP(F864,Products!$A$2:$A$51,Products!$B$2:$B$51,0)</f>
        <v>Airtight Storage Container</v>
      </c>
      <c r="E864" t="str">
        <f>_xlfn.XLOOKUP(B864,customers!$A$2:$A$195,customers!$B$2:$B$195,,0)</f>
        <v>West</v>
      </c>
      <c r="F864">
        <v>1038</v>
      </c>
      <c r="G864" s="9">
        <f>_xlfn.XLOOKUP(B864,customers!$A$1:$A$195,customers!$C$1:$C$195)</f>
        <v>45206</v>
      </c>
      <c r="H864" s="13" t="s">
        <v>1239</v>
      </c>
      <c r="I864">
        <v>3</v>
      </c>
      <c r="J864">
        <v>183.12</v>
      </c>
      <c r="K864">
        <v>77.12</v>
      </c>
      <c r="L864">
        <f>_xlfn.XLOOKUP(F864,Products!$A$2:$A$51,Products!$D$2:$D$51,0)</f>
        <v>61.04</v>
      </c>
      <c r="M864">
        <f t="shared" si="13"/>
        <v>106</v>
      </c>
    </row>
    <row r="865" spans="1:13">
      <c r="A865" t="s">
        <v>1245</v>
      </c>
      <c r="B865" t="s">
        <v>166</v>
      </c>
      <c r="C865" t="str">
        <f>_xlfn.XLOOKUP(F865,Products!$A$2:$A$51,Products!$C$2:$C$51,0)</f>
        <v>Subscriptions</v>
      </c>
      <c r="D865" t="str">
        <f>_xlfn.XLOOKUP(F865,Products!$A$2:$A$51,Products!$B$2:$B$51,0)</f>
        <v>Three-Month Gift Subscription</v>
      </c>
      <c r="E865" t="str">
        <f>_xlfn.XLOOKUP(B865,customers!$A$2:$A$195,customers!$B$2:$B$195,,0)</f>
        <v>North</v>
      </c>
      <c r="F865">
        <v>1048</v>
      </c>
      <c r="G865" s="9">
        <f>_xlfn.XLOOKUP(B865,customers!$A$1:$A$195,customers!$C$1:$C$195)</f>
        <v>45164</v>
      </c>
      <c r="H865" s="13" t="s">
        <v>1246</v>
      </c>
      <c r="I865">
        <v>4</v>
      </c>
      <c r="J865">
        <v>260.84</v>
      </c>
      <c r="K865">
        <v>110.44</v>
      </c>
      <c r="L865">
        <f>_xlfn.XLOOKUP(F865,Products!$A$2:$A$51,Products!$D$2:$D$51,0)</f>
        <v>65.21</v>
      </c>
      <c r="M865">
        <f t="shared" si="13"/>
        <v>150.4</v>
      </c>
    </row>
    <row r="866" spans="1:13">
      <c r="A866" t="s">
        <v>1247</v>
      </c>
      <c r="B866" t="s">
        <v>176</v>
      </c>
      <c r="C866" t="str">
        <f>_xlfn.XLOOKUP(F866,Products!$A$2:$A$51,Products!$C$2:$C$51,0)</f>
        <v>Merchandise</v>
      </c>
      <c r="D866" t="str">
        <f>_xlfn.XLOOKUP(F866,Products!$A$2:$A$51,Products!$B$2:$B$51,0)</f>
        <v>Minimalist Keychain</v>
      </c>
      <c r="E866" t="str">
        <f>_xlfn.XLOOKUP(B866,customers!$A$2:$A$195,customers!$B$2:$B$195,,0)</f>
        <v>West</v>
      </c>
      <c r="F866">
        <v>1020</v>
      </c>
      <c r="G866" s="9">
        <f>_xlfn.XLOOKUP(B866,customers!$A$1:$A$195,customers!$C$1:$C$195)</f>
        <v>45206</v>
      </c>
      <c r="H866" s="13" t="s">
        <v>1246</v>
      </c>
      <c r="I866">
        <v>2</v>
      </c>
      <c r="J866">
        <v>54.74</v>
      </c>
      <c r="K866">
        <v>48.18</v>
      </c>
      <c r="L866">
        <f>_xlfn.XLOOKUP(F866,Products!$A$2:$A$51,Products!$D$2:$D$51,0)</f>
        <v>27.37</v>
      </c>
      <c r="M866">
        <f t="shared" si="13"/>
        <v>6.56</v>
      </c>
    </row>
    <row r="867" spans="1:13">
      <c r="A867" t="s">
        <v>1248</v>
      </c>
      <c r="B867" t="s">
        <v>196</v>
      </c>
      <c r="C867" t="str">
        <f>_xlfn.XLOOKUP(F867,Products!$A$2:$A$51,Products!$C$2:$C$51,0)</f>
        <v>Accessories</v>
      </c>
      <c r="D867" t="str">
        <f>_xlfn.XLOOKUP(F867,Products!$A$2:$A$51,Products!$B$2:$B$51,0)</f>
        <v>Refillable Coffee Pods</v>
      </c>
      <c r="E867" t="str">
        <f>_xlfn.XLOOKUP(B867,customers!$A$2:$A$195,customers!$B$2:$B$195,,0)</f>
        <v>West</v>
      </c>
      <c r="F867">
        <v>1015</v>
      </c>
      <c r="G867" s="9">
        <f>_xlfn.XLOOKUP(B867,customers!$A$1:$A$195,customers!$C$1:$C$195)</f>
        <v>45186</v>
      </c>
      <c r="H867" s="13" t="s">
        <v>1246</v>
      </c>
      <c r="I867">
        <v>4</v>
      </c>
      <c r="J867">
        <v>96.52</v>
      </c>
      <c r="K867">
        <v>37.18</v>
      </c>
      <c r="L867">
        <f>_xlfn.XLOOKUP(F867,Products!$A$2:$A$51,Products!$D$2:$D$51,0)</f>
        <v>24.13</v>
      </c>
      <c r="M867">
        <f t="shared" si="13"/>
        <v>59.34</v>
      </c>
    </row>
    <row r="868" spans="1:13">
      <c r="A868" t="s">
        <v>1249</v>
      </c>
      <c r="B868" t="s">
        <v>28</v>
      </c>
      <c r="C868" t="str">
        <f>_xlfn.XLOOKUP(F868,Products!$A$2:$A$51,Products!$C$2:$C$51,0)</f>
        <v>Grinders &amp; Brewers</v>
      </c>
      <c r="D868" t="str">
        <f>_xlfn.XLOOKUP(F868,Products!$A$2:$A$51,Products!$B$2:$B$51,0)</f>
        <v>Pour-Over Starter Kit</v>
      </c>
      <c r="E868" t="str">
        <f>_xlfn.XLOOKUP(B868,customers!$A$2:$A$195,customers!$B$2:$B$195,,0)</f>
        <v>East</v>
      </c>
      <c r="F868">
        <v>1010</v>
      </c>
      <c r="G868" s="9">
        <f>_xlfn.XLOOKUP(B868,customers!$A$1:$A$195,customers!$C$1:$C$195)</f>
        <v>45273</v>
      </c>
      <c r="H868" s="13" t="s">
        <v>1250</v>
      </c>
      <c r="I868">
        <v>2</v>
      </c>
      <c r="J868">
        <v>210.46</v>
      </c>
      <c r="K868">
        <v>149.49</v>
      </c>
      <c r="L868">
        <f>_xlfn.XLOOKUP(F868,Products!$A$2:$A$51,Products!$D$2:$D$51,0)</f>
        <v>105.23</v>
      </c>
      <c r="M868">
        <f t="shared" si="13"/>
        <v>60.97</v>
      </c>
    </row>
    <row r="869" spans="1:13">
      <c r="A869" t="s">
        <v>1251</v>
      </c>
      <c r="B869" t="s">
        <v>39</v>
      </c>
      <c r="C869" t="str">
        <f>_xlfn.XLOOKUP(F869,Products!$A$2:$A$51,Products!$C$2:$C$51,0)</f>
        <v>Subscriptions</v>
      </c>
      <c r="D869" t="str">
        <f>_xlfn.XLOOKUP(F869,Products!$A$2:$A$51,Products!$B$2:$B$51,0)</f>
        <v>Espresso Lovers Quarterly Pack</v>
      </c>
      <c r="E869" t="str">
        <f>_xlfn.XLOOKUP(B869,customers!$A$2:$A$195,customers!$B$2:$B$195,,0)</f>
        <v>North</v>
      </c>
      <c r="F869">
        <v>1024</v>
      </c>
      <c r="G869" s="9">
        <f>_xlfn.XLOOKUP(B869,customers!$A$1:$A$195,customers!$C$1:$C$195)</f>
        <v>45037</v>
      </c>
      <c r="H869" s="13" t="s">
        <v>1250</v>
      </c>
      <c r="I869">
        <v>3</v>
      </c>
      <c r="J869">
        <v>224.61</v>
      </c>
      <c r="K869">
        <v>57.58</v>
      </c>
      <c r="L869">
        <f>_xlfn.XLOOKUP(F869,Products!$A$2:$A$51,Products!$D$2:$D$51,0)</f>
        <v>74.87</v>
      </c>
      <c r="M869">
        <f t="shared" si="13"/>
        <v>167.03</v>
      </c>
    </row>
    <row r="870" spans="1:13">
      <c r="A870" t="s">
        <v>1252</v>
      </c>
      <c r="B870" t="s">
        <v>41</v>
      </c>
      <c r="C870" t="str">
        <f>_xlfn.XLOOKUP(F870,Products!$A$2:$A$51,Products!$C$2:$C$51,0)</f>
        <v>Consumables</v>
      </c>
      <c r="D870" t="str">
        <f>_xlfn.XLOOKUP(F870,Products!$A$2:$A$51,Products!$B$2:$B$51,0)</f>
        <v>Decaf Blend (1kg)</v>
      </c>
      <c r="E870" t="str">
        <f>_xlfn.XLOOKUP(B870,customers!$A$2:$A$195,customers!$B$2:$B$195,,0)</f>
        <v>West</v>
      </c>
      <c r="F870">
        <v>1028</v>
      </c>
      <c r="G870" s="9">
        <f>_xlfn.XLOOKUP(B870,customers!$A$1:$A$195,customers!$C$1:$C$195)</f>
        <v>44960</v>
      </c>
      <c r="H870" s="13" t="s">
        <v>1250</v>
      </c>
      <c r="I870">
        <v>2</v>
      </c>
      <c r="J870">
        <v>80.7</v>
      </c>
      <c r="K870">
        <v>25.72</v>
      </c>
      <c r="L870">
        <f>_xlfn.XLOOKUP(F870,Products!$A$2:$A$51,Products!$D$2:$D$51,0)</f>
        <v>40.35</v>
      </c>
      <c r="M870">
        <f t="shared" si="13"/>
        <v>54.98</v>
      </c>
    </row>
    <row r="871" spans="1:13">
      <c r="A871" t="s">
        <v>1253</v>
      </c>
      <c r="B871" t="s">
        <v>55</v>
      </c>
      <c r="C871" t="str">
        <f>_xlfn.XLOOKUP(F871,Products!$A$2:$A$51,Products!$C$2:$C$51,0)</f>
        <v>Merchandise</v>
      </c>
      <c r="D871" t="str">
        <f>_xlfn.XLOOKUP(F871,Products!$A$2:$A$51,Products!$B$2:$B$51,0)</f>
        <v>Minimalist Keychain</v>
      </c>
      <c r="E871" t="str">
        <f>_xlfn.XLOOKUP(B871,customers!$A$2:$A$195,customers!$B$2:$B$195,,0)</f>
        <v>South</v>
      </c>
      <c r="F871">
        <v>1045</v>
      </c>
      <c r="G871" s="9">
        <f>_xlfn.XLOOKUP(B871,customers!$A$1:$A$195,customers!$C$1:$C$195)</f>
        <v>45223</v>
      </c>
      <c r="H871" s="13" t="s">
        <v>1250</v>
      </c>
      <c r="I871">
        <v>3</v>
      </c>
      <c r="J871">
        <v>82.11</v>
      </c>
      <c r="K871">
        <v>72.27</v>
      </c>
      <c r="L871">
        <f>_xlfn.XLOOKUP(F871,Products!$A$2:$A$51,Products!$D$2:$D$51,0)</f>
        <v>27.37</v>
      </c>
      <c r="M871">
        <f t="shared" si="13"/>
        <v>9.84</v>
      </c>
    </row>
    <row r="872" spans="1:13">
      <c r="A872" t="s">
        <v>1254</v>
      </c>
      <c r="B872" t="s">
        <v>102</v>
      </c>
      <c r="C872" t="str">
        <f>_xlfn.XLOOKUP(F872,Products!$A$2:$A$51,Products!$C$2:$C$51,0)</f>
        <v>Grinders &amp; Brewers</v>
      </c>
      <c r="D872" t="str">
        <f>_xlfn.XLOOKUP(F872,Products!$A$2:$A$51,Products!$B$2:$B$51,0)</f>
        <v>Precision Electric Grinder</v>
      </c>
      <c r="E872" t="str">
        <f>_xlfn.XLOOKUP(B872,customers!$A$2:$A$195,customers!$B$2:$B$195,,0)</f>
        <v>East</v>
      </c>
      <c r="F872">
        <v>1031</v>
      </c>
      <c r="G872" s="9">
        <f>_xlfn.XLOOKUP(B872,customers!$A$1:$A$195,customers!$C$1:$C$195)</f>
        <v>45149</v>
      </c>
      <c r="H872" s="13" t="s">
        <v>1250</v>
      </c>
      <c r="I872">
        <v>4</v>
      </c>
      <c r="J872">
        <v>928.8</v>
      </c>
      <c r="K872">
        <v>313.54</v>
      </c>
      <c r="L872">
        <f>_xlfn.XLOOKUP(F872,Products!$A$2:$A$51,Products!$D$2:$D$51,0)</f>
        <v>232.2</v>
      </c>
      <c r="M872">
        <f t="shared" si="13"/>
        <v>615.26</v>
      </c>
    </row>
    <row r="873" spans="1:13">
      <c r="A873" t="s">
        <v>1255</v>
      </c>
      <c r="B873" t="s">
        <v>39</v>
      </c>
      <c r="C873" t="str">
        <f>_xlfn.XLOOKUP(F873,Products!$A$2:$A$51,Products!$C$2:$C$51,0)</f>
        <v>Merchandise</v>
      </c>
      <c r="D873" t="str">
        <f>_xlfn.XLOOKUP(F873,Products!$A$2:$A$51,Products!$B$2:$B$51,0)</f>
        <v>Logo Hoodie (Black)</v>
      </c>
      <c r="E873" t="str">
        <f>_xlfn.XLOOKUP(B873,customers!$A$2:$A$195,customers!$B$2:$B$195,,0)</f>
        <v>North</v>
      </c>
      <c r="F873">
        <v>1042</v>
      </c>
      <c r="G873" s="9">
        <f>_xlfn.XLOOKUP(B873,customers!$A$1:$A$195,customers!$C$1:$C$195)</f>
        <v>45037</v>
      </c>
      <c r="H873" s="13" t="s">
        <v>1256</v>
      </c>
      <c r="I873">
        <v>3</v>
      </c>
      <c r="J873">
        <v>45.69</v>
      </c>
      <c r="K873">
        <v>40.19</v>
      </c>
      <c r="L873">
        <f>_xlfn.XLOOKUP(F873,Products!$A$2:$A$51,Products!$D$2:$D$51,0)</f>
        <v>15.23</v>
      </c>
      <c r="M873">
        <f t="shared" si="13"/>
        <v>5.5</v>
      </c>
    </row>
    <row r="874" spans="1:13">
      <c r="A874" t="s">
        <v>1257</v>
      </c>
      <c r="B874" t="s">
        <v>54</v>
      </c>
      <c r="C874" t="str">
        <f>_xlfn.XLOOKUP(F874,Products!$A$2:$A$51,Products!$C$2:$C$51,0)</f>
        <v>Grinders &amp; Brewers</v>
      </c>
      <c r="D874" t="str">
        <f>_xlfn.XLOOKUP(F874,Products!$A$2:$A$51,Products!$B$2:$B$51,0)</f>
        <v>Hand Grinder (Travel Size)</v>
      </c>
      <c r="E874" t="str">
        <f>_xlfn.XLOOKUP(B874,customers!$A$2:$A$195,customers!$B$2:$B$195,,0)</f>
        <v>West</v>
      </c>
      <c r="F874">
        <v>1032</v>
      </c>
      <c r="G874" s="9">
        <f>_xlfn.XLOOKUP(B874,customers!$A$1:$A$195,customers!$C$1:$C$195)</f>
        <v>45201</v>
      </c>
      <c r="H874" s="13" t="s">
        <v>1256</v>
      </c>
      <c r="I874">
        <v>4</v>
      </c>
      <c r="J874">
        <v>1018.88</v>
      </c>
      <c r="K874">
        <v>521.14</v>
      </c>
      <c r="L874">
        <f>_xlfn.XLOOKUP(F874,Products!$A$2:$A$51,Products!$D$2:$D$51,0)</f>
        <v>254.72</v>
      </c>
      <c r="M874">
        <f t="shared" si="13"/>
        <v>497.74</v>
      </c>
    </row>
    <row r="875" spans="1:13">
      <c r="A875" t="s">
        <v>1258</v>
      </c>
      <c r="B875" t="s">
        <v>81</v>
      </c>
      <c r="C875" t="str">
        <f>_xlfn.XLOOKUP(F875,Products!$A$2:$A$51,Products!$C$2:$C$51,0)</f>
        <v>Consumables</v>
      </c>
      <c r="D875" t="str">
        <f>_xlfn.XLOOKUP(F875,Products!$A$2:$A$51,Products!$B$2:$B$51,0)</f>
        <v>Espresso Bean Sampler Pack</v>
      </c>
      <c r="E875" t="str">
        <f>_xlfn.XLOOKUP(B875,customers!$A$2:$A$195,customers!$B$2:$B$195,,0)</f>
        <v>West</v>
      </c>
      <c r="F875">
        <v>1005</v>
      </c>
      <c r="G875" s="9">
        <f>_xlfn.XLOOKUP(B875,customers!$A$1:$A$195,customers!$C$1:$C$195)</f>
        <v>45041</v>
      </c>
      <c r="H875" s="13" t="s">
        <v>1256</v>
      </c>
      <c r="I875">
        <v>2</v>
      </c>
      <c r="J875">
        <v>38.12</v>
      </c>
      <c r="K875">
        <v>23.94</v>
      </c>
      <c r="L875">
        <f>_xlfn.XLOOKUP(F875,Products!$A$2:$A$51,Products!$D$2:$D$51,0)</f>
        <v>19.06</v>
      </c>
      <c r="M875">
        <f t="shared" si="13"/>
        <v>14.18</v>
      </c>
    </row>
    <row r="876" spans="1:13">
      <c r="A876" t="s">
        <v>1259</v>
      </c>
      <c r="B876" t="s">
        <v>108</v>
      </c>
      <c r="C876" t="str">
        <f>_xlfn.XLOOKUP(F876,Products!$A$2:$A$51,Products!$C$2:$C$51,0)</f>
        <v>Accessories</v>
      </c>
      <c r="D876" t="str">
        <f>_xlfn.XLOOKUP(F876,Products!$A$2:$A$51,Products!$B$2:$B$51,0)</f>
        <v>Airtight Storage Container</v>
      </c>
      <c r="E876" t="str">
        <f>_xlfn.XLOOKUP(B876,customers!$A$2:$A$195,customers!$B$2:$B$195,,0)</f>
        <v>East</v>
      </c>
      <c r="F876">
        <v>1038</v>
      </c>
      <c r="G876" s="9">
        <f>_xlfn.XLOOKUP(B876,customers!$A$1:$A$195,customers!$C$1:$C$195)</f>
        <v>45194</v>
      </c>
      <c r="H876" s="13" t="s">
        <v>1256</v>
      </c>
      <c r="I876">
        <v>2</v>
      </c>
      <c r="J876">
        <v>122.08</v>
      </c>
      <c r="K876">
        <v>51.41</v>
      </c>
      <c r="L876">
        <f>_xlfn.XLOOKUP(F876,Products!$A$2:$A$51,Products!$D$2:$D$51,0)</f>
        <v>61.04</v>
      </c>
      <c r="M876">
        <f t="shared" si="13"/>
        <v>70.67</v>
      </c>
    </row>
    <row r="877" spans="1:13">
      <c r="A877" t="s">
        <v>1260</v>
      </c>
      <c r="B877" t="s">
        <v>120</v>
      </c>
      <c r="C877" t="str">
        <f>_xlfn.XLOOKUP(F877,Products!$A$2:$A$51,Products!$C$2:$C$51,0)</f>
        <v>Accessories</v>
      </c>
      <c r="D877" t="str">
        <f>_xlfn.XLOOKUP(F877,Products!$A$2:$A$51,Products!$B$2:$B$51,0)</f>
        <v>Airtight Storage Container</v>
      </c>
      <c r="E877" t="str">
        <f>_xlfn.XLOOKUP(B877,customers!$A$2:$A$195,customers!$B$2:$B$195,,0)</f>
        <v>South</v>
      </c>
      <c r="F877">
        <v>1038</v>
      </c>
      <c r="G877" s="9">
        <f>_xlfn.XLOOKUP(B877,customers!$A$1:$A$195,customers!$C$1:$C$195)</f>
        <v>45204</v>
      </c>
      <c r="H877" s="13" t="s">
        <v>1256</v>
      </c>
      <c r="I877">
        <v>1</v>
      </c>
      <c r="J877">
        <v>61.04</v>
      </c>
      <c r="K877">
        <v>25.71</v>
      </c>
      <c r="L877">
        <f>_xlfn.XLOOKUP(F877,Products!$A$2:$A$51,Products!$D$2:$D$51,0)</f>
        <v>61.04</v>
      </c>
      <c r="M877">
        <f t="shared" si="13"/>
        <v>35.33</v>
      </c>
    </row>
    <row r="878" spans="1:13">
      <c r="A878" t="s">
        <v>1261</v>
      </c>
      <c r="B878" t="s">
        <v>51</v>
      </c>
      <c r="C878" t="str">
        <f>_xlfn.XLOOKUP(F878,Products!$A$2:$A$51,Products!$C$2:$C$51,0)</f>
        <v>Merchandise</v>
      </c>
      <c r="D878" t="str">
        <f>_xlfn.XLOOKUP(F878,Products!$A$2:$A$51,Products!$B$2:$B$51,0)</f>
        <v>Insulated Travel Tumbler</v>
      </c>
      <c r="E878" t="str">
        <f>_xlfn.XLOOKUP(B878,customers!$A$2:$A$195,customers!$B$2:$B$195,,0)</f>
        <v>South</v>
      </c>
      <c r="F878">
        <v>1043</v>
      </c>
      <c r="G878" s="9">
        <f>_xlfn.XLOOKUP(B878,customers!$A$1:$A$195,customers!$C$1:$C$195)</f>
        <v>45096</v>
      </c>
      <c r="H878" s="13" t="s">
        <v>1262</v>
      </c>
      <c r="I878">
        <v>3</v>
      </c>
      <c r="J878">
        <v>129.84</v>
      </c>
      <c r="K878">
        <v>62.47</v>
      </c>
      <c r="L878">
        <f>_xlfn.XLOOKUP(F878,Products!$A$2:$A$51,Products!$D$2:$D$51,0)</f>
        <v>43.28</v>
      </c>
      <c r="M878">
        <f t="shared" si="13"/>
        <v>67.37</v>
      </c>
    </row>
    <row r="879" spans="1:13">
      <c r="A879" t="s">
        <v>1263</v>
      </c>
      <c r="B879" t="s">
        <v>28</v>
      </c>
      <c r="C879" t="str">
        <f>_xlfn.XLOOKUP(F879,Products!$A$2:$A$51,Products!$C$2:$C$51,0)</f>
        <v>Grinders &amp; Brewers</v>
      </c>
      <c r="D879" t="str">
        <f>_xlfn.XLOOKUP(F879,Products!$A$2:$A$51,Products!$B$2:$B$51,0)</f>
        <v>Pour-Over Starter Kit</v>
      </c>
      <c r="E879" t="str">
        <f>_xlfn.XLOOKUP(B879,customers!$A$2:$A$195,customers!$B$2:$B$195,,0)</f>
        <v>East</v>
      </c>
      <c r="F879">
        <v>1035</v>
      </c>
      <c r="G879" s="9">
        <f>_xlfn.XLOOKUP(B879,customers!$A$1:$A$195,customers!$C$1:$C$195)</f>
        <v>45273</v>
      </c>
      <c r="H879" s="13" t="s">
        <v>1264</v>
      </c>
      <c r="I879">
        <v>4</v>
      </c>
      <c r="J879">
        <v>420.92</v>
      </c>
      <c r="K879">
        <v>298.98</v>
      </c>
      <c r="L879">
        <f>_xlfn.XLOOKUP(F879,Products!$A$2:$A$51,Products!$D$2:$D$51,0)</f>
        <v>105.23</v>
      </c>
      <c r="M879">
        <f t="shared" si="13"/>
        <v>121.94</v>
      </c>
    </row>
    <row r="880" spans="1:13">
      <c r="A880" t="s">
        <v>1265</v>
      </c>
      <c r="B880" t="s">
        <v>119</v>
      </c>
      <c r="C880" t="str">
        <f>_xlfn.XLOOKUP(F880,Products!$A$2:$A$51,Products!$C$2:$C$51,0)</f>
        <v>Subscriptions</v>
      </c>
      <c r="D880" t="str">
        <f>_xlfn.XLOOKUP(F880,Products!$A$2:$A$51,Products!$B$2:$B$51,0)</f>
        <v>Bi-Weekly Sampler Box</v>
      </c>
      <c r="E880" t="str">
        <f>_xlfn.XLOOKUP(B880,customers!$A$2:$A$195,customers!$B$2:$B$195,,0)</f>
        <v>West</v>
      </c>
      <c r="F880">
        <v>1022</v>
      </c>
      <c r="G880" s="9">
        <f>_xlfn.XLOOKUP(B880,customers!$A$1:$A$195,customers!$C$1:$C$195)</f>
        <v>44960</v>
      </c>
      <c r="H880" s="13" t="s">
        <v>1264</v>
      </c>
      <c r="I880">
        <v>3</v>
      </c>
      <c r="J880">
        <v>266.31</v>
      </c>
      <c r="K880">
        <v>71.58</v>
      </c>
      <c r="L880">
        <f>_xlfn.XLOOKUP(F880,Products!$A$2:$A$51,Products!$D$2:$D$51,0)</f>
        <v>88.77</v>
      </c>
      <c r="M880">
        <f t="shared" si="13"/>
        <v>194.73</v>
      </c>
    </row>
    <row r="881" spans="1:13">
      <c r="A881" t="s">
        <v>1266</v>
      </c>
      <c r="B881" t="s">
        <v>169</v>
      </c>
      <c r="C881" t="str">
        <f>_xlfn.XLOOKUP(F881,Products!$A$2:$A$51,Products!$C$2:$C$51,0)</f>
        <v>Subscriptions</v>
      </c>
      <c r="D881" t="str">
        <f>_xlfn.XLOOKUP(F881,Products!$A$2:$A$51,Products!$B$2:$B$51,0)</f>
        <v>Monthly Dark Roast Subscription</v>
      </c>
      <c r="E881" t="str">
        <f>_xlfn.XLOOKUP(B881,customers!$A$2:$A$195,customers!$B$2:$B$195,,0)</f>
        <v>West</v>
      </c>
      <c r="F881">
        <v>1046</v>
      </c>
      <c r="G881" s="9">
        <f>_xlfn.XLOOKUP(B881,customers!$A$1:$A$195,customers!$C$1:$C$195)</f>
        <v>44979</v>
      </c>
      <c r="H881" s="13" t="s">
        <v>1264</v>
      </c>
      <c r="I881">
        <v>3</v>
      </c>
      <c r="J881">
        <v>183.78</v>
      </c>
      <c r="K881">
        <v>105.44</v>
      </c>
      <c r="L881">
        <f>_xlfn.XLOOKUP(F881,Products!$A$2:$A$51,Products!$D$2:$D$51,0)</f>
        <v>61.26</v>
      </c>
      <c r="M881">
        <f t="shared" si="13"/>
        <v>78.34</v>
      </c>
    </row>
    <row r="882" spans="1:13">
      <c r="A882" t="s">
        <v>1267</v>
      </c>
      <c r="B882" t="s">
        <v>80</v>
      </c>
      <c r="C882" t="str">
        <f>_xlfn.XLOOKUP(F882,Products!$A$2:$A$51,Products!$C$2:$C$51,0)</f>
        <v>Accessories</v>
      </c>
      <c r="D882" t="str">
        <f>_xlfn.XLOOKUP(F882,Products!$A$2:$A$51,Products!$B$2:$B$51,0)</f>
        <v>Gooseneck Electric Kettle</v>
      </c>
      <c r="E882" t="str">
        <f>_xlfn.XLOOKUP(B882,customers!$A$2:$A$195,customers!$B$2:$B$195,,0)</f>
        <v>West</v>
      </c>
      <c r="F882">
        <v>1037</v>
      </c>
      <c r="G882" s="9">
        <f>_xlfn.XLOOKUP(B882,customers!$A$1:$A$195,customers!$C$1:$C$195)</f>
        <v>45200</v>
      </c>
      <c r="H882" s="13" t="s">
        <v>1268</v>
      </c>
      <c r="I882">
        <v>1</v>
      </c>
      <c r="J882">
        <v>34.87</v>
      </c>
      <c r="K882">
        <v>25.97</v>
      </c>
      <c r="L882">
        <f>_xlfn.XLOOKUP(F882,Products!$A$2:$A$51,Products!$D$2:$D$51,0)</f>
        <v>34.87</v>
      </c>
      <c r="M882">
        <f t="shared" si="13"/>
        <v>8.9</v>
      </c>
    </row>
    <row r="883" spans="1:13">
      <c r="A883" t="s">
        <v>1269</v>
      </c>
      <c r="B883" t="s">
        <v>108</v>
      </c>
      <c r="C883" t="str">
        <f>_xlfn.XLOOKUP(F883,Products!$A$2:$A$51,Products!$C$2:$C$51,0)</f>
        <v>Accessories</v>
      </c>
      <c r="D883" t="str">
        <f>_xlfn.XLOOKUP(F883,Products!$A$2:$A$51,Products!$B$2:$B$51,0)</f>
        <v>Digital Coffee Scale</v>
      </c>
      <c r="E883" t="str">
        <f>_xlfn.XLOOKUP(B883,customers!$A$2:$A$195,customers!$B$2:$B$195,,0)</f>
        <v>East</v>
      </c>
      <c r="F883">
        <v>1011</v>
      </c>
      <c r="G883" s="9">
        <f>_xlfn.XLOOKUP(B883,customers!$A$1:$A$195,customers!$C$1:$C$195)</f>
        <v>45194</v>
      </c>
      <c r="H883" s="13" t="s">
        <v>1268</v>
      </c>
      <c r="I883">
        <v>3</v>
      </c>
      <c r="J883">
        <v>80.49</v>
      </c>
      <c r="K883">
        <v>43.96</v>
      </c>
      <c r="L883">
        <f>_xlfn.XLOOKUP(F883,Products!$A$2:$A$51,Products!$D$2:$D$51,0)</f>
        <v>26.83</v>
      </c>
      <c r="M883">
        <f t="shared" si="13"/>
        <v>36.53</v>
      </c>
    </row>
    <row r="884" spans="1:13">
      <c r="A884" t="s">
        <v>1270</v>
      </c>
      <c r="B884" t="s">
        <v>167</v>
      </c>
      <c r="C884" t="str">
        <f>_xlfn.XLOOKUP(F884,Products!$A$2:$A$51,Products!$C$2:$C$51,0)</f>
        <v>Grinders &amp; Brewers</v>
      </c>
      <c r="D884" t="str">
        <f>_xlfn.XLOOKUP(F884,Products!$A$2:$A$51,Products!$B$2:$B$51,0)</f>
        <v>Automated Drip Brewer</v>
      </c>
      <c r="E884" t="str">
        <f>_xlfn.XLOOKUP(B884,customers!$A$2:$A$195,customers!$B$2:$B$195,,0)</f>
        <v>North</v>
      </c>
      <c r="F884">
        <v>1008</v>
      </c>
      <c r="G884" s="9">
        <f>_xlfn.XLOOKUP(B884,customers!$A$1:$A$195,customers!$C$1:$C$195)</f>
        <v>45168</v>
      </c>
      <c r="H884" s="13" t="s">
        <v>1268</v>
      </c>
      <c r="I884">
        <v>4</v>
      </c>
      <c r="J884">
        <v>943.04</v>
      </c>
      <c r="K884">
        <v>529.94</v>
      </c>
      <c r="L884">
        <f>_xlfn.XLOOKUP(F884,Products!$A$2:$A$51,Products!$D$2:$D$51,0)</f>
        <v>235.76</v>
      </c>
      <c r="M884">
        <f t="shared" si="13"/>
        <v>413.1</v>
      </c>
    </row>
    <row r="885" spans="1:13">
      <c r="A885" t="s">
        <v>1271</v>
      </c>
      <c r="B885" t="s">
        <v>194</v>
      </c>
      <c r="C885" t="str">
        <f>_xlfn.XLOOKUP(F885,Products!$A$2:$A$51,Products!$C$2:$C$51,0)</f>
        <v>Consumables</v>
      </c>
      <c r="D885" t="str">
        <f>_xlfn.XLOOKUP(F885,Products!$A$2:$A$51,Products!$B$2:$B$51,0)</f>
        <v>Seasonal Blend Light Roast</v>
      </c>
      <c r="E885" t="str">
        <f>_xlfn.XLOOKUP(B885,customers!$A$2:$A$195,customers!$B$2:$B$195,,0)</f>
        <v>North</v>
      </c>
      <c r="F885">
        <v>1002</v>
      </c>
      <c r="G885" s="9">
        <f>_xlfn.XLOOKUP(B885,customers!$A$1:$A$195,customers!$C$1:$C$195)</f>
        <v>45096</v>
      </c>
      <c r="H885" s="13" t="s">
        <v>1268</v>
      </c>
      <c r="I885">
        <v>1</v>
      </c>
      <c r="J885">
        <v>35.53</v>
      </c>
      <c r="K885">
        <v>5.93</v>
      </c>
      <c r="L885">
        <f>_xlfn.XLOOKUP(F885,Products!$A$2:$A$51,Products!$D$2:$D$51,0)</f>
        <v>35.53</v>
      </c>
      <c r="M885">
        <f t="shared" si="13"/>
        <v>29.6</v>
      </c>
    </row>
    <row r="886" spans="1:13">
      <c r="A886" t="s">
        <v>1272</v>
      </c>
      <c r="B886" t="s">
        <v>78</v>
      </c>
      <c r="C886" t="str">
        <f>_xlfn.XLOOKUP(F886,Products!$A$2:$A$51,Products!$C$2:$C$51,0)</f>
        <v>Consumables</v>
      </c>
      <c r="D886" t="str">
        <f>_xlfn.XLOOKUP(F886,Products!$A$2:$A$51,Products!$B$2:$B$51,0)</f>
        <v>Espresso Bean Sampler Pack</v>
      </c>
      <c r="E886" t="str">
        <f>_xlfn.XLOOKUP(B886,customers!$A$2:$A$195,customers!$B$2:$B$195,,0)</f>
        <v>North</v>
      </c>
      <c r="F886">
        <v>1030</v>
      </c>
      <c r="G886" s="9">
        <f>_xlfn.XLOOKUP(B886,customers!$A$1:$A$195,customers!$C$1:$C$195)</f>
        <v>44961</v>
      </c>
      <c r="H886" s="13" t="s">
        <v>1273</v>
      </c>
      <c r="I886">
        <v>1</v>
      </c>
      <c r="J886">
        <v>19.06</v>
      </c>
      <c r="K886">
        <v>11.97</v>
      </c>
      <c r="L886">
        <f>_xlfn.XLOOKUP(F886,Products!$A$2:$A$51,Products!$D$2:$D$51,0)</f>
        <v>19.06</v>
      </c>
      <c r="M886">
        <f t="shared" si="13"/>
        <v>7.09</v>
      </c>
    </row>
    <row r="887" spans="1:13">
      <c r="A887" t="s">
        <v>1274</v>
      </c>
      <c r="B887" t="s">
        <v>106</v>
      </c>
      <c r="C887" t="str">
        <f>_xlfn.XLOOKUP(F887,Products!$A$2:$A$51,Products!$C$2:$C$51,0)</f>
        <v>Grinders &amp; Brewers</v>
      </c>
      <c r="D887" t="str">
        <f>_xlfn.XLOOKUP(F887,Products!$A$2:$A$51,Products!$B$2:$B$51,0)</f>
        <v>Pour-Over Starter Kit</v>
      </c>
      <c r="E887" t="str">
        <f>_xlfn.XLOOKUP(B887,customers!$A$2:$A$195,customers!$B$2:$B$195,,0)</f>
        <v>East</v>
      </c>
      <c r="F887">
        <v>1035</v>
      </c>
      <c r="G887" s="9">
        <f>_xlfn.XLOOKUP(B887,customers!$A$1:$A$195,customers!$C$1:$C$195)</f>
        <v>45055</v>
      </c>
      <c r="H887" s="13" t="s">
        <v>1273</v>
      </c>
      <c r="I887">
        <v>2</v>
      </c>
      <c r="J887">
        <v>210.46</v>
      </c>
      <c r="K887">
        <v>149.49</v>
      </c>
      <c r="L887">
        <f>_xlfn.XLOOKUP(F887,Products!$A$2:$A$51,Products!$D$2:$D$51,0)</f>
        <v>105.23</v>
      </c>
      <c r="M887">
        <f t="shared" si="13"/>
        <v>60.97</v>
      </c>
    </row>
    <row r="888" spans="1:13">
      <c r="A888" t="s">
        <v>1275</v>
      </c>
      <c r="B888" t="s">
        <v>62</v>
      </c>
      <c r="C888" t="str">
        <f>_xlfn.XLOOKUP(F888,Products!$A$2:$A$51,Products!$C$2:$C$51,0)</f>
        <v>Accessories</v>
      </c>
      <c r="D888" t="str">
        <f>_xlfn.XLOOKUP(F888,Products!$A$2:$A$51,Products!$B$2:$B$51,0)</f>
        <v>Chemex Filters (100 pack)</v>
      </c>
      <c r="E888" t="str">
        <f>_xlfn.XLOOKUP(B888,customers!$A$2:$A$195,customers!$B$2:$B$195,,0)</f>
        <v>West</v>
      </c>
      <c r="F888">
        <v>1039</v>
      </c>
      <c r="G888" s="9">
        <f>_xlfn.XLOOKUP(B888,customers!$A$1:$A$195,customers!$C$1:$C$195)</f>
        <v>45178</v>
      </c>
      <c r="H888" s="13" t="s">
        <v>1276</v>
      </c>
      <c r="I888">
        <v>1</v>
      </c>
      <c r="J888">
        <v>24.1</v>
      </c>
      <c r="K888">
        <v>21.21</v>
      </c>
      <c r="L888">
        <f>_xlfn.XLOOKUP(F888,Products!$A$2:$A$51,Products!$D$2:$D$51,0)</f>
        <v>24.1</v>
      </c>
      <c r="M888">
        <f t="shared" si="13"/>
        <v>2.89</v>
      </c>
    </row>
    <row r="889" spans="1:13">
      <c r="A889" t="s">
        <v>1277</v>
      </c>
      <c r="B889" t="s">
        <v>93</v>
      </c>
      <c r="C889" t="str">
        <f>_xlfn.XLOOKUP(F889,Products!$A$2:$A$51,Products!$C$2:$C$51,0)</f>
        <v>Subscriptions</v>
      </c>
      <c r="D889" t="str">
        <f>_xlfn.XLOOKUP(F889,Products!$A$2:$A$51,Products!$B$2:$B$51,0)</f>
        <v>Bi-Weekly Sampler Box</v>
      </c>
      <c r="E889" t="str">
        <f>_xlfn.XLOOKUP(B889,customers!$A$2:$A$195,customers!$B$2:$B$195,,0)</f>
        <v>West</v>
      </c>
      <c r="F889">
        <v>1047</v>
      </c>
      <c r="G889" s="9">
        <f>_xlfn.XLOOKUP(B889,customers!$A$1:$A$195,customers!$C$1:$C$195)</f>
        <v>45244</v>
      </c>
      <c r="H889" s="13" t="s">
        <v>1276</v>
      </c>
      <c r="I889">
        <v>3</v>
      </c>
      <c r="J889">
        <v>266.31</v>
      </c>
      <c r="K889">
        <v>71.58</v>
      </c>
      <c r="L889">
        <f>_xlfn.XLOOKUP(F889,Products!$A$2:$A$51,Products!$D$2:$D$51,0)</f>
        <v>88.77</v>
      </c>
      <c r="M889">
        <f t="shared" si="13"/>
        <v>194.73</v>
      </c>
    </row>
    <row r="890" spans="1:13">
      <c r="A890" t="s">
        <v>1278</v>
      </c>
      <c r="B890" t="s">
        <v>130</v>
      </c>
      <c r="C890" t="str">
        <f>_xlfn.XLOOKUP(F890,Products!$A$2:$A$51,Products!$C$2:$C$51,0)</f>
        <v>Merchandise</v>
      </c>
      <c r="D890" t="str">
        <f>_xlfn.XLOOKUP(F890,Products!$A$2:$A$51,Products!$B$2:$B$51,0)</f>
        <v>Insulated Travel Tumbler</v>
      </c>
      <c r="E890" t="str">
        <f>_xlfn.XLOOKUP(B890,customers!$A$2:$A$195,customers!$B$2:$B$195,,0)</f>
        <v>East</v>
      </c>
      <c r="F890">
        <v>1043</v>
      </c>
      <c r="G890" s="9">
        <f>_xlfn.XLOOKUP(B890,customers!$A$1:$A$195,customers!$C$1:$C$195)</f>
        <v>45241</v>
      </c>
      <c r="H890" s="13" t="s">
        <v>1276</v>
      </c>
      <c r="I890">
        <v>4</v>
      </c>
      <c r="J890">
        <v>173.12</v>
      </c>
      <c r="K890">
        <v>83.29</v>
      </c>
      <c r="L890">
        <f>_xlfn.XLOOKUP(F890,Products!$A$2:$A$51,Products!$D$2:$D$51,0)</f>
        <v>43.28</v>
      </c>
      <c r="M890">
        <f t="shared" si="13"/>
        <v>89.83</v>
      </c>
    </row>
    <row r="891" spans="1:13">
      <c r="A891" t="s">
        <v>1279</v>
      </c>
      <c r="B891" t="s">
        <v>140</v>
      </c>
      <c r="C891" t="str">
        <f>_xlfn.XLOOKUP(F891,Products!$A$2:$A$51,Products!$C$2:$C$51,0)</f>
        <v>Merchandise</v>
      </c>
      <c r="D891" t="str">
        <f>_xlfn.XLOOKUP(F891,Products!$A$2:$A$51,Products!$B$2:$B$51,0)</f>
        <v>Minimalist Keychain</v>
      </c>
      <c r="E891" t="str">
        <f>_xlfn.XLOOKUP(B891,customers!$A$2:$A$195,customers!$B$2:$B$195,,0)</f>
        <v>East</v>
      </c>
      <c r="F891">
        <v>1020</v>
      </c>
      <c r="G891" s="9">
        <f>_xlfn.XLOOKUP(B891,customers!$A$1:$A$195,customers!$C$1:$C$195)</f>
        <v>45136</v>
      </c>
      <c r="H891" s="13" t="s">
        <v>1276</v>
      </c>
      <c r="I891">
        <v>2</v>
      </c>
      <c r="J891">
        <v>54.74</v>
      </c>
      <c r="K891">
        <v>48.18</v>
      </c>
      <c r="L891">
        <f>_xlfn.XLOOKUP(F891,Products!$A$2:$A$51,Products!$D$2:$D$51,0)</f>
        <v>27.37</v>
      </c>
      <c r="M891">
        <f t="shared" si="13"/>
        <v>6.56</v>
      </c>
    </row>
    <row r="892" spans="1:13">
      <c r="A892" t="s">
        <v>1280</v>
      </c>
      <c r="B892" t="s">
        <v>165</v>
      </c>
      <c r="C892" t="str">
        <f>_xlfn.XLOOKUP(F892,Products!$A$2:$A$51,Products!$C$2:$C$51,0)</f>
        <v>Merchandise</v>
      </c>
      <c r="D892" t="str">
        <f>_xlfn.XLOOKUP(F892,Products!$A$2:$A$51,Products!$B$2:$B$51,0)</f>
        <v>Insulated Travel Tumbler</v>
      </c>
      <c r="E892" t="str">
        <f>_xlfn.XLOOKUP(B892,customers!$A$2:$A$195,customers!$B$2:$B$195,,0)</f>
        <v>West</v>
      </c>
      <c r="F892">
        <v>1018</v>
      </c>
      <c r="G892" s="9">
        <f>_xlfn.XLOOKUP(B892,customers!$A$1:$A$195,customers!$C$1:$C$195)</f>
        <v>45132</v>
      </c>
      <c r="H892" s="13" t="s">
        <v>1276</v>
      </c>
      <c r="I892">
        <v>2</v>
      </c>
      <c r="J892">
        <v>86.56</v>
      </c>
      <c r="K892">
        <v>41.65</v>
      </c>
      <c r="L892">
        <f>_xlfn.XLOOKUP(F892,Products!$A$2:$A$51,Products!$D$2:$D$51,0)</f>
        <v>43.28</v>
      </c>
      <c r="M892">
        <f t="shared" si="13"/>
        <v>44.91</v>
      </c>
    </row>
    <row r="893" spans="1:13">
      <c r="A893" t="s">
        <v>1281</v>
      </c>
      <c r="B893" t="s">
        <v>168</v>
      </c>
      <c r="C893" t="str">
        <f>_xlfn.XLOOKUP(F893,Products!$A$2:$A$51,Products!$C$2:$C$51,0)</f>
        <v>Merchandise</v>
      </c>
      <c r="D893" t="str">
        <f>_xlfn.XLOOKUP(F893,Products!$A$2:$A$51,Products!$B$2:$B$51,0)</f>
        <v>Logo Hoodie (Black)</v>
      </c>
      <c r="E893" t="str">
        <f>_xlfn.XLOOKUP(B893,customers!$A$2:$A$195,customers!$B$2:$B$195,,0)</f>
        <v>West</v>
      </c>
      <c r="F893">
        <v>1042</v>
      </c>
      <c r="G893" s="9">
        <f>_xlfn.XLOOKUP(B893,customers!$A$1:$A$195,customers!$C$1:$C$195)</f>
        <v>45128</v>
      </c>
      <c r="H893" s="13" t="s">
        <v>1276</v>
      </c>
      <c r="I893">
        <v>4</v>
      </c>
      <c r="J893">
        <v>60.92</v>
      </c>
      <c r="K893">
        <v>53.59</v>
      </c>
      <c r="L893">
        <f>_xlfn.XLOOKUP(F893,Products!$A$2:$A$51,Products!$D$2:$D$51,0)</f>
        <v>15.23</v>
      </c>
      <c r="M893">
        <f t="shared" si="13"/>
        <v>7.33</v>
      </c>
    </row>
    <row r="894" spans="1:13">
      <c r="A894" t="s">
        <v>1282</v>
      </c>
      <c r="B894" t="s">
        <v>31</v>
      </c>
      <c r="C894" t="str">
        <f>_xlfn.XLOOKUP(F894,Products!$A$2:$A$51,Products!$C$2:$C$51,0)</f>
        <v>Subscriptions</v>
      </c>
      <c r="D894" t="str">
        <f>_xlfn.XLOOKUP(F894,Products!$A$2:$A$51,Products!$B$2:$B$51,0)</f>
        <v>Bi-Weekly Sampler Box</v>
      </c>
      <c r="E894" t="str">
        <f>_xlfn.XLOOKUP(B894,customers!$A$2:$A$195,customers!$B$2:$B$195,,0)</f>
        <v>West</v>
      </c>
      <c r="F894">
        <v>1022</v>
      </c>
      <c r="G894" s="9">
        <f>_xlfn.XLOOKUP(B894,customers!$A$1:$A$195,customers!$C$1:$C$195)</f>
        <v>44959</v>
      </c>
      <c r="H894" s="13" t="s">
        <v>1283</v>
      </c>
      <c r="I894">
        <v>2</v>
      </c>
      <c r="J894">
        <v>177.54</v>
      </c>
      <c r="K894">
        <v>47.72</v>
      </c>
      <c r="L894">
        <f>_xlfn.XLOOKUP(F894,Products!$A$2:$A$51,Products!$D$2:$D$51,0)</f>
        <v>88.77</v>
      </c>
      <c r="M894">
        <f t="shared" si="13"/>
        <v>129.82</v>
      </c>
    </row>
    <row r="895" spans="1:13">
      <c r="A895" t="s">
        <v>1284</v>
      </c>
      <c r="B895" t="s">
        <v>128</v>
      </c>
      <c r="C895" t="str">
        <f>_xlfn.XLOOKUP(F895,Products!$A$2:$A$51,Products!$C$2:$C$51,0)</f>
        <v>Grinders &amp; Brewers</v>
      </c>
      <c r="D895" t="str">
        <f>_xlfn.XLOOKUP(F895,Products!$A$2:$A$51,Products!$B$2:$B$51,0)</f>
        <v>Hand Grinder (Travel Size)</v>
      </c>
      <c r="E895" t="str">
        <f>_xlfn.XLOOKUP(B895,customers!$A$2:$A$195,customers!$B$2:$B$195,,0)</f>
        <v>West</v>
      </c>
      <c r="F895">
        <v>1007</v>
      </c>
      <c r="G895" s="9">
        <f>_xlfn.XLOOKUP(B895,customers!$A$1:$A$195,customers!$C$1:$C$195)</f>
        <v>45161</v>
      </c>
      <c r="H895" s="13" t="s">
        <v>1283</v>
      </c>
      <c r="I895">
        <v>3</v>
      </c>
      <c r="J895">
        <v>764.16</v>
      </c>
      <c r="K895">
        <v>390.85</v>
      </c>
      <c r="L895">
        <f>_xlfn.XLOOKUP(F895,Products!$A$2:$A$51,Products!$D$2:$D$51,0)</f>
        <v>254.72</v>
      </c>
      <c r="M895">
        <f t="shared" si="13"/>
        <v>373.31</v>
      </c>
    </row>
    <row r="896" spans="1:13">
      <c r="A896" t="s">
        <v>1285</v>
      </c>
      <c r="B896" t="s">
        <v>176</v>
      </c>
      <c r="C896" t="str">
        <f>_xlfn.XLOOKUP(F896,Products!$A$2:$A$51,Products!$C$2:$C$51,0)</f>
        <v>Accessories</v>
      </c>
      <c r="D896" t="str">
        <f>_xlfn.XLOOKUP(F896,Products!$A$2:$A$51,Products!$B$2:$B$51,0)</f>
        <v>Gooseneck Electric Kettle</v>
      </c>
      <c r="E896" t="str">
        <f>_xlfn.XLOOKUP(B896,customers!$A$2:$A$195,customers!$B$2:$B$195,,0)</f>
        <v>West</v>
      </c>
      <c r="F896">
        <v>1012</v>
      </c>
      <c r="G896" s="9">
        <f>_xlfn.XLOOKUP(B896,customers!$A$1:$A$195,customers!$C$1:$C$195)</f>
        <v>45206</v>
      </c>
      <c r="H896" s="13" t="s">
        <v>1283</v>
      </c>
      <c r="I896">
        <v>2</v>
      </c>
      <c r="J896">
        <v>69.74</v>
      </c>
      <c r="K896">
        <v>51.94</v>
      </c>
      <c r="L896">
        <f>_xlfn.XLOOKUP(F896,Products!$A$2:$A$51,Products!$D$2:$D$51,0)</f>
        <v>34.87</v>
      </c>
      <c r="M896">
        <f t="shared" si="13"/>
        <v>17.8</v>
      </c>
    </row>
    <row r="897" spans="1:13">
      <c r="A897" t="s">
        <v>1286</v>
      </c>
      <c r="B897" t="s">
        <v>16</v>
      </c>
      <c r="C897" t="str">
        <f>_xlfn.XLOOKUP(F897,Products!$A$2:$A$51,Products!$C$2:$C$51,0)</f>
        <v>Consumables</v>
      </c>
      <c r="D897" t="str">
        <f>_xlfn.XLOOKUP(F897,Products!$A$2:$A$51,Products!$B$2:$B$51,0)</f>
        <v>Decaf Blend (1kg)</v>
      </c>
      <c r="E897" t="str">
        <f>_xlfn.XLOOKUP(B897,customers!$A$2:$A$195,customers!$B$2:$B$195,,0)</f>
        <v>East</v>
      </c>
      <c r="F897">
        <v>1028</v>
      </c>
      <c r="G897" s="9">
        <f>_xlfn.XLOOKUP(B897,customers!$A$1:$A$195,customers!$C$1:$C$195)</f>
        <v>45182</v>
      </c>
      <c r="H897" s="13" t="s">
        <v>1287</v>
      </c>
      <c r="I897">
        <v>4</v>
      </c>
      <c r="J897">
        <v>161.4</v>
      </c>
      <c r="K897">
        <v>51.44</v>
      </c>
      <c r="L897">
        <f>_xlfn.XLOOKUP(F897,Products!$A$2:$A$51,Products!$D$2:$D$51,0)</f>
        <v>40.35</v>
      </c>
      <c r="M897">
        <f t="shared" si="13"/>
        <v>109.96</v>
      </c>
    </row>
    <row r="898" spans="1:13">
      <c r="A898" t="s">
        <v>1288</v>
      </c>
      <c r="B898" t="s">
        <v>16</v>
      </c>
      <c r="C898" t="str">
        <f>_xlfn.XLOOKUP(F898,Products!$A$2:$A$51,Products!$C$2:$C$51,0)</f>
        <v>Merchandise</v>
      </c>
      <c r="D898" t="str">
        <f>_xlfn.XLOOKUP(F898,Products!$A$2:$A$51,Products!$B$2:$B$51,0)</f>
        <v>Logo Hoodie (Black)</v>
      </c>
      <c r="E898" t="str">
        <f>_xlfn.XLOOKUP(B898,customers!$A$2:$A$195,customers!$B$2:$B$195,,0)</f>
        <v>East</v>
      </c>
      <c r="F898">
        <v>1017</v>
      </c>
      <c r="G898" s="9">
        <f>_xlfn.XLOOKUP(B898,customers!$A$1:$A$195,customers!$C$1:$C$195)</f>
        <v>45182</v>
      </c>
      <c r="H898" s="13" t="s">
        <v>1287</v>
      </c>
      <c r="I898">
        <v>2</v>
      </c>
      <c r="J898">
        <v>30.46</v>
      </c>
      <c r="K898">
        <v>26.8</v>
      </c>
      <c r="L898">
        <f>_xlfn.XLOOKUP(F898,Products!$A$2:$A$51,Products!$D$2:$D$51,0)</f>
        <v>15.23</v>
      </c>
      <c r="M898">
        <f t="shared" si="13"/>
        <v>3.66</v>
      </c>
    </row>
    <row r="899" spans="1:13">
      <c r="A899" t="s">
        <v>1289</v>
      </c>
      <c r="B899" t="s">
        <v>18</v>
      </c>
      <c r="C899" t="str">
        <f>_xlfn.XLOOKUP(F899,Products!$A$2:$A$51,Products!$C$2:$C$51,0)</f>
        <v>Accessories</v>
      </c>
      <c r="D899" t="str">
        <f>_xlfn.XLOOKUP(F899,Products!$A$2:$A$51,Products!$B$2:$B$51,0)</f>
        <v>Refillable Coffee Pods</v>
      </c>
      <c r="E899" t="str">
        <f>_xlfn.XLOOKUP(B899,customers!$A$2:$A$195,customers!$B$2:$B$195,,0)</f>
        <v>East</v>
      </c>
      <c r="F899">
        <v>1040</v>
      </c>
      <c r="G899" s="9">
        <f>_xlfn.XLOOKUP(B899,customers!$A$1:$A$195,customers!$C$1:$C$195)</f>
        <v>45159</v>
      </c>
      <c r="H899" s="13" t="s">
        <v>1287</v>
      </c>
      <c r="I899">
        <v>2</v>
      </c>
      <c r="J899">
        <v>48.26</v>
      </c>
      <c r="K899">
        <v>18.59</v>
      </c>
      <c r="L899">
        <f>_xlfn.XLOOKUP(F899,Products!$A$2:$A$51,Products!$D$2:$D$51,0)</f>
        <v>24.13</v>
      </c>
      <c r="M899">
        <f t="shared" ref="M899:M962" si="14">J899-K899</f>
        <v>29.67</v>
      </c>
    </row>
    <row r="900" spans="1:13">
      <c r="A900" t="s">
        <v>1290</v>
      </c>
      <c r="B900" t="s">
        <v>106</v>
      </c>
      <c r="C900" t="str">
        <f>_xlfn.XLOOKUP(F900,Products!$A$2:$A$51,Products!$C$2:$C$51,0)</f>
        <v>Consumables</v>
      </c>
      <c r="D900" t="str">
        <f>_xlfn.XLOOKUP(F900,Products!$A$2:$A$51,Products!$B$2:$B$51,0)</f>
        <v>Espresso Bean Sampler Pack</v>
      </c>
      <c r="E900" t="str">
        <f>_xlfn.XLOOKUP(B900,customers!$A$2:$A$195,customers!$B$2:$B$195,,0)</f>
        <v>East</v>
      </c>
      <c r="F900">
        <v>1005</v>
      </c>
      <c r="G900" s="9">
        <f>_xlfn.XLOOKUP(B900,customers!$A$1:$A$195,customers!$C$1:$C$195)</f>
        <v>45055</v>
      </c>
      <c r="H900" s="13" t="s">
        <v>1287</v>
      </c>
      <c r="I900">
        <v>1</v>
      </c>
      <c r="J900">
        <v>19.06</v>
      </c>
      <c r="K900">
        <v>11.97</v>
      </c>
      <c r="L900">
        <f>_xlfn.XLOOKUP(F900,Products!$A$2:$A$51,Products!$D$2:$D$51,0)</f>
        <v>19.06</v>
      </c>
      <c r="M900">
        <f t="shared" si="14"/>
        <v>7.09</v>
      </c>
    </row>
    <row r="901" spans="1:13">
      <c r="A901" t="s">
        <v>1291</v>
      </c>
      <c r="B901" t="s">
        <v>196</v>
      </c>
      <c r="C901" t="str">
        <f>_xlfn.XLOOKUP(F901,Products!$A$2:$A$51,Products!$C$2:$C$51,0)</f>
        <v>Merchandise</v>
      </c>
      <c r="D901" t="str">
        <f>_xlfn.XLOOKUP(F901,Products!$A$2:$A$51,Products!$B$2:$B$51,0)</f>
        <v>Branded Ceramic Mug (Large)</v>
      </c>
      <c r="E901" t="str">
        <f>_xlfn.XLOOKUP(B901,customers!$A$2:$A$195,customers!$B$2:$B$195,,0)</f>
        <v>West</v>
      </c>
      <c r="F901">
        <v>1016</v>
      </c>
      <c r="G901" s="9">
        <f>_xlfn.XLOOKUP(B901,customers!$A$1:$A$195,customers!$C$1:$C$195)</f>
        <v>45186</v>
      </c>
      <c r="H901" s="13" t="s">
        <v>1287</v>
      </c>
      <c r="I901">
        <v>2</v>
      </c>
      <c r="J901">
        <v>86.4</v>
      </c>
      <c r="K901">
        <v>62.22</v>
      </c>
      <c r="L901">
        <f>_xlfn.XLOOKUP(F901,Products!$A$2:$A$51,Products!$D$2:$D$51,0)</f>
        <v>43.2</v>
      </c>
      <c r="M901">
        <f t="shared" si="14"/>
        <v>24.18</v>
      </c>
    </row>
    <row r="902" spans="1:13">
      <c r="A902" t="s">
        <v>1292</v>
      </c>
      <c r="B902" t="s">
        <v>7</v>
      </c>
      <c r="C902" t="str">
        <f>_xlfn.XLOOKUP(F902,Products!$A$2:$A$51,Products!$C$2:$C$51,0)</f>
        <v>Grinders &amp; Brewers</v>
      </c>
      <c r="D902" t="str">
        <f>_xlfn.XLOOKUP(F902,Products!$A$2:$A$51,Products!$B$2:$B$51,0)</f>
        <v>Hand Grinder (Travel Size)</v>
      </c>
      <c r="E902" t="str">
        <f>_xlfn.XLOOKUP(B902,customers!$A$2:$A$195,customers!$B$2:$B$195,,0)</f>
        <v>West</v>
      </c>
      <c r="F902">
        <v>1007</v>
      </c>
      <c r="G902" s="9">
        <f>_xlfn.XLOOKUP(B902,customers!$A$1:$A$195,customers!$C$1:$C$195)</f>
        <v>45177</v>
      </c>
      <c r="H902" s="13" t="s">
        <v>1293</v>
      </c>
      <c r="I902">
        <v>4</v>
      </c>
      <c r="J902">
        <v>1018.88</v>
      </c>
      <c r="K902">
        <v>521.14</v>
      </c>
      <c r="L902">
        <f>_xlfn.XLOOKUP(F902,Products!$A$2:$A$51,Products!$D$2:$D$51,0)</f>
        <v>254.72</v>
      </c>
      <c r="M902">
        <f t="shared" si="14"/>
        <v>497.74</v>
      </c>
    </row>
    <row r="903" spans="1:13">
      <c r="A903" t="s">
        <v>1294</v>
      </c>
      <c r="B903" t="s">
        <v>27</v>
      </c>
      <c r="C903" t="str">
        <f>_xlfn.XLOOKUP(F903,Products!$A$2:$A$51,Products!$C$2:$C$51,0)</f>
        <v>Subscriptions</v>
      </c>
      <c r="D903" t="str">
        <f>_xlfn.XLOOKUP(F903,Products!$A$2:$A$51,Products!$B$2:$B$51,0)</f>
        <v>Espresso Lovers Quarterly Pack</v>
      </c>
      <c r="E903" t="str">
        <f>_xlfn.XLOOKUP(B903,customers!$A$2:$A$195,customers!$B$2:$B$195,,0)</f>
        <v>West</v>
      </c>
      <c r="F903">
        <v>1049</v>
      </c>
      <c r="G903" s="9">
        <f>_xlfn.XLOOKUP(B903,customers!$A$1:$A$195,customers!$C$1:$C$195)</f>
        <v>45093</v>
      </c>
      <c r="H903" s="13" t="s">
        <v>1293</v>
      </c>
      <c r="I903">
        <v>2</v>
      </c>
      <c r="J903">
        <v>149.74</v>
      </c>
      <c r="K903">
        <v>38.39</v>
      </c>
      <c r="L903">
        <f>_xlfn.XLOOKUP(F903,Products!$A$2:$A$51,Products!$D$2:$D$51,0)</f>
        <v>74.87</v>
      </c>
      <c r="M903">
        <f t="shared" si="14"/>
        <v>111.35</v>
      </c>
    </row>
    <row r="904" spans="1:13">
      <c r="A904" t="s">
        <v>1295</v>
      </c>
      <c r="B904" t="s">
        <v>83</v>
      </c>
      <c r="C904" t="str">
        <f>_xlfn.XLOOKUP(F904,Products!$A$2:$A$51,Products!$C$2:$C$51,0)</f>
        <v>Consumables</v>
      </c>
      <c r="D904" t="str">
        <f>_xlfn.XLOOKUP(F904,Products!$A$2:$A$51,Products!$B$2:$B$51,0)</f>
        <v>Espresso Bean Sampler Pack</v>
      </c>
      <c r="E904" t="str">
        <f>_xlfn.XLOOKUP(B904,customers!$A$2:$A$195,customers!$B$2:$B$195,,0)</f>
        <v>West</v>
      </c>
      <c r="F904">
        <v>1030</v>
      </c>
      <c r="G904" s="9">
        <f>_xlfn.XLOOKUP(B904,customers!$A$1:$A$195,customers!$C$1:$C$195)</f>
        <v>45277</v>
      </c>
      <c r="H904" s="13" t="s">
        <v>1293</v>
      </c>
      <c r="I904">
        <v>4</v>
      </c>
      <c r="J904">
        <v>76.24</v>
      </c>
      <c r="K904">
        <v>47.87</v>
      </c>
      <c r="L904">
        <f>_xlfn.XLOOKUP(F904,Products!$A$2:$A$51,Products!$D$2:$D$51,0)</f>
        <v>19.06</v>
      </c>
      <c r="M904">
        <f t="shared" si="14"/>
        <v>28.37</v>
      </c>
    </row>
    <row r="905" spans="1:13">
      <c r="A905" t="s">
        <v>1296</v>
      </c>
      <c r="B905" t="s">
        <v>148</v>
      </c>
      <c r="C905" t="str">
        <f>_xlfn.XLOOKUP(F905,Products!$A$2:$A$51,Products!$C$2:$C$51,0)</f>
        <v>Subscriptions</v>
      </c>
      <c r="D905" t="str">
        <f>_xlfn.XLOOKUP(F905,Products!$A$2:$A$51,Products!$B$2:$B$51,0)</f>
        <v>Subscription Renewal Service</v>
      </c>
      <c r="E905" t="str">
        <f>_xlfn.XLOOKUP(B905,customers!$A$2:$A$195,customers!$B$2:$B$195,,0)</f>
        <v>West</v>
      </c>
      <c r="F905">
        <v>1050</v>
      </c>
      <c r="G905" s="9">
        <f>_xlfn.XLOOKUP(B905,customers!$A$1:$A$195,customers!$C$1:$C$195)</f>
        <v>44955</v>
      </c>
      <c r="H905" s="13" t="s">
        <v>1293</v>
      </c>
      <c r="I905">
        <v>4</v>
      </c>
      <c r="J905">
        <v>293.64</v>
      </c>
      <c r="K905">
        <v>109.16</v>
      </c>
      <c r="L905">
        <f>_xlfn.XLOOKUP(F905,Products!$A$2:$A$51,Products!$D$2:$D$51,0)</f>
        <v>73.41</v>
      </c>
      <c r="M905">
        <f t="shared" si="14"/>
        <v>184.48</v>
      </c>
    </row>
    <row r="906" spans="1:13">
      <c r="A906" t="s">
        <v>1297</v>
      </c>
      <c r="B906" t="s">
        <v>95</v>
      </c>
      <c r="C906" t="str">
        <f>_xlfn.XLOOKUP(F906,Products!$A$2:$A$51,Products!$C$2:$C$51,0)</f>
        <v>Consumables</v>
      </c>
      <c r="D906" t="str">
        <f>_xlfn.XLOOKUP(F906,Products!$A$2:$A$51,Products!$B$2:$B$51,0)</f>
        <v>Seasonal Blend Light Roast</v>
      </c>
      <c r="E906" t="str">
        <f>_xlfn.XLOOKUP(B906,customers!$A$2:$A$195,customers!$B$2:$B$195,,0)</f>
        <v>West</v>
      </c>
      <c r="F906">
        <v>1002</v>
      </c>
      <c r="G906" s="9">
        <f>_xlfn.XLOOKUP(B906,customers!$A$1:$A$195,customers!$C$1:$C$195)</f>
        <v>44941</v>
      </c>
      <c r="H906" s="13">
        <v>45667</v>
      </c>
      <c r="I906">
        <v>2</v>
      </c>
      <c r="J906">
        <v>71.06</v>
      </c>
      <c r="K906">
        <v>11.86</v>
      </c>
      <c r="L906">
        <f>_xlfn.XLOOKUP(F906,Products!$A$2:$A$51,Products!$D$2:$D$51,0)</f>
        <v>35.53</v>
      </c>
      <c r="M906">
        <f t="shared" si="14"/>
        <v>59.2</v>
      </c>
    </row>
    <row r="907" spans="1:13">
      <c r="A907" t="s">
        <v>1298</v>
      </c>
      <c r="B907" t="s">
        <v>136</v>
      </c>
      <c r="C907" t="str">
        <f>_xlfn.XLOOKUP(F907,Products!$A$2:$A$51,Products!$C$2:$C$51,0)</f>
        <v>Grinders &amp; Brewers</v>
      </c>
      <c r="D907" t="str">
        <f>_xlfn.XLOOKUP(F907,Products!$A$2:$A$51,Products!$B$2:$B$51,0)</f>
        <v>Hand Grinder (Travel Size)</v>
      </c>
      <c r="E907" t="str">
        <f>_xlfn.XLOOKUP(B907,customers!$A$2:$A$195,customers!$B$2:$B$195,,0)</f>
        <v>South</v>
      </c>
      <c r="F907">
        <v>1032</v>
      </c>
      <c r="G907" s="9">
        <f>_xlfn.XLOOKUP(B907,customers!$A$1:$A$195,customers!$C$1:$C$195)</f>
        <v>45181</v>
      </c>
      <c r="H907" s="13">
        <v>45667</v>
      </c>
      <c r="I907">
        <v>1</v>
      </c>
      <c r="J907">
        <v>254.72</v>
      </c>
      <c r="K907">
        <v>130.28</v>
      </c>
      <c r="L907">
        <f>_xlfn.XLOOKUP(F907,Products!$A$2:$A$51,Products!$D$2:$D$51,0)</f>
        <v>254.72</v>
      </c>
      <c r="M907">
        <f t="shared" si="14"/>
        <v>124.44</v>
      </c>
    </row>
    <row r="908" spans="1:13">
      <c r="A908" t="s">
        <v>1299</v>
      </c>
      <c r="B908" t="s">
        <v>194</v>
      </c>
      <c r="C908" t="str">
        <f>_xlfn.XLOOKUP(F908,Products!$A$2:$A$51,Products!$C$2:$C$51,0)</f>
        <v>Grinders &amp; Brewers</v>
      </c>
      <c r="D908" t="str">
        <f>_xlfn.XLOOKUP(F908,Products!$A$2:$A$51,Products!$B$2:$B$51,0)</f>
        <v>Hand Grinder (Travel Size)</v>
      </c>
      <c r="E908" t="str">
        <f>_xlfn.XLOOKUP(B908,customers!$A$2:$A$195,customers!$B$2:$B$195,,0)</f>
        <v>North</v>
      </c>
      <c r="F908">
        <v>1007</v>
      </c>
      <c r="G908" s="9">
        <f>_xlfn.XLOOKUP(B908,customers!$A$1:$A$195,customers!$C$1:$C$195)</f>
        <v>45096</v>
      </c>
      <c r="H908" s="13">
        <v>45667</v>
      </c>
      <c r="I908">
        <v>4</v>
      </c>
      <c r="J908">
        <v>1018.88</v>
      </c>
      <c r="K908">
        <v>521.14</v>
      </c>
      <c r="L908">
        <f>_xlfn.XLOOKUP(F908,Products!$A$2:$A$51,Products!$D$2:$D$51,0)</f>
        <v>254.72</v>
      </c>
      <c r="M908">
        <f t="shared" si="14"/>
        <v>497.74</v>
      </c>
    </row>
    <row r="909" spans="1:13">
      <c r="A909" t="s">
        <v>1300</v>
      </c>
      <c r="B909" t="s">
        <v>199</v>
      </c>
      <c r="C909" t="str">
        <f>_xlfn.XLOOKUP(F909,Products!$A$2:$A$51,Products!$C$2:$C$51,0)</f>
        <v>Consumables</v>
      </c>
      <c r="D909" t="str">
        <f>_xlfn.XLOOKUP(F909,Products!$A$2:$A$51,Products!$B$2:$B$51,0)</f>
        <v>Decaf Blend (1kg)</v>
      </c>
      <c r="E909" t="str">
        <f>_xlfn.XLOOKUP(B909,customers!$A$2:$A$195,customers!$B$2:$B$195,,0)</f>
        <v>South</v>
      </c>
      <c r="F909">
        <v>1003</v>
      </c>
      <c r="G909" s="9">
        <f>_xlfn.XLOOKUP(B909,customers!$A$1:$A$195,customers!$C$1:$C$195)</f>
        <v>45252</v>
      </c>
      <c r="H909" s="13">
        <v>45667</v>
      </c>
      <c r="I909">
        <v>4</v>
      </c>
      <c r="J909">
        <v>161.4</v>
      </c>
      <c r="K909">
        <v>51.44</v>
      </c>
      <c r="L909">
        <f>_xlfn.XLOOKUP(F909,Products!$A$2:$A$51,Products!$D$2:$D$51,0)</f>
        <v>40.35</v>
      </c>
      <c r="M909">
        <f t="shared" si="14"/>
        <v>109.96</v>
      </c>
    </row>
    <row r="910" spans="1:13">
      <c r="A910" t="s">
        <v>1301</v>
      </c>
      <c r="B910" t="s">
        <v>121</v>
      </c>
      <c r="C910" t="str">
        <f>_xlfn.XLOOKUP(F910,Products!$A$2:$A$51,Products!$C$2:$C$51,0)</f>
        <v>Consumables</v>
      </c>
      <c r="D910" t="str">
        <f>_xlfn.XLOOKUP(F910,Products!$A$2:$A$51,Products!$B$2:$B$51,0)</f>
        <v>Single-Origin Ethiopian (250g)</v>
      </c>
      <c r="E910" t="str">
        <f>_xlfn.XLOOKUP(B910,customers!$A$2:$A$195,customers!$B$2:$B$195,,0)</f>
        <v>West</v>
      </c>
      <c r="F910">
        <v>1001</v>
      </c>
      <c r="G910" s="9">
        <f>_xlfn.XLOOKUP(B910,customers!$A$1:$A$195,customers!$C$1:$C$195)</f>
        <v>45164</v>
      </c>
      <c r="H910" s="13">
        <v>45698</v>
      </c>
      <c r="I910">
        <v>2</v>
      </c>
      <c r="J910">
        <v>38.98</v>
      </c>
      <c r="K910">
        <v>25.41</v>
      </c>
      <c r="L910">
        <f>_xlfn.XLOOKUP(F910,Products!$A$2:$A$51,Products!$D$2:$D$51,0)</f>
        <v>19.49</v>
      </c>
      <c r="M910">
        <f t="shared" si="14"/>
        <v>13.57</v>
      </c>
    </row>
    <row r="911" spans="1:13">
      <c r="A911" t="s">
        <v>1302</v>
      </c>
      <c r="B911" t="s">
        <v>147</v>
      </c>
      <c r="C911" t="str">
        <f>_xlfn.XLOOKUP(F911,Products!$A$2:$A$51,Products!$C$2:$C$51,0)</f>
        <v>Grinders &amp; Brewers</v>
      </c>
      <c r="D911" t="str">
        <f>_xlfn.XLOOKUP(F911,Products!$A$2:$A$51,Products!$B$2:$B$51,0)</f>
        <v>Hand Grinder (Travel Size)</v>
      </c>
      <c r="E911" t="str">
        <f>_xlfn.XLOOKUP(B911,customers!$A$2:$A$195,customers!$B$2:$B$195,,0)</f>
        <v>West</v>
      </c>
      <c r="F911">
        <v>1032</v>
      </c>
      <c r="G911" s="9">
        <f>_xlfn.XLOOKUP(B911,customers!$A$1:$A$195,customers!$C$1:$C$195)</f>
        <v>45228</v>
      </c>
      <c r="H911" s="13">
        <v>45698</v>
      </c>
      <c r="I911">
        <v>2</v>
      </c>
      <c r="J911">
        <v>509.44</v>
      </c>
      <c r="K911">
        <v>260.57</v>
      </c>
      <c r="L911">
        <f>_xlfn.XLOOKUP(F911,Products!$A$2:$A$51,Products!$D$2:$D$51,0)</f>
        <v>254.72</v>
      </c>
      <c r="M911">
        <f t="shared" si="14"/>
        <v>248.87</v>
      </c>
    </row>
    <row r="912" spans="1:13">
      <c r="A912" t="s">
        <v>1303</v>
      </c>
      <c r="B912" t="s">
        <v>23</v>
      </c>
      <c r="C912" t="str">
        <f>_xlfn.XLOOKUP(F912,Products!$A$2:$A$51,Products!$C$2:$C$51,0)</f>
        <v>Consumables</v>
      </c>
      <c r="D912" t="str">
        <f>_xlfn.XLOOKUP(F912,Products!$A$2:$A$51,Products!$B$2:$B$51,0)</f>
        <v>Decaf Blend (1kg)</v>
      </c>
      <c r="E912" t="str">
        <f>_xlfn.XLOOKUP(B912,customers!$A$2:$A$195,customers!$B$2:$B$195,,0)</f>
        <v>West</v>
      </c>
      <c r="F912">
        <v>1003</v>
      </c>
      <c r="G912" s="9">
        <f>_xlfn.XLOOKUP(B912,customers!$A$1:$A$195,customers!$C$1:$C$195)</f>
        <v>45222</v>
      </c>
      <c r="H912" s="13">
        <v>45726</v>
      </c>
      <c r="I912">
        <v>2</v>
      </c>
      <c r="J912">
        <v>80.7</v>
      </c>
      <c r="K912">
        <v>25.72</v>
      </c>
      <c r="L912">
        <f>_xlfn.XLOOKUP(F912,Products!$A$2:$A$51,Products!$D$2:$D$51,0)</f>
        <v>40.35</v>
      </c>
      <c r="M912">
        <f t="shared" si="14"/>
        <v>54.98</v>
      </c>
    </row>
    <row r="913" spans="1:13">
      <c r="A913" t="s">
        <v>1304</v>
      </c>
      <c r="B913" t="s">
        <v>74</v>
      </c>
      <c r="C913" t="str">
        <f>_xlfn.XLOOKUP(F913,Products!$A$2:$A$51,Products!$C$2:$C$51,0)</f>
        <v>Grinders &amp; Brewers</v>
      </c>
      <c r="D913" t="str">
        <f>_xlfn.XLOOKUP(F913,Products!$A$2:$A$51,Products!$B$2:$B$51,0)</f>
        <v>Hand Grinder (Travel Size)</v>
      </c>
      <c r="E913" t="str">
        <f>_xlfn.XLOOKUP(B913,customers!$A$2:$A$195,customers!$B$2:$B$195,,0)</f>
        <v>East</v>
      </c>
      <c r="F913">
        <v>1007</v>
      </c>
      <c r="G913" s="9">
        <f>_xlfn.XLOOKUP(B913,customers!$A$1:$A$195,customers!$C$1:$C$195)</f>
        <v>45103</v>
      </c>
      <c r="H913" s="13">
        <v>45726</v>
      </c>
      <c r="I913">
        <v>1</v>
      </c>
      <c r="J913">
        <v>254.72</v>
      </c>
      <c r="K913">
        <v>130.28</v>
      </c>
      <c r="L913">
        <f>_xlfn.XLOOKUP(F913,Products!$A$2:$A$51,Products!$D$2:$D$51,0)</f>
        <v>254.72</v>
      </c>
      <c r="M913">
        <f t="shared" si="14"/>
        <v>124.44</v>
      </c>
    </row>
    <row r="914" spans="1:13">
      <c r="A914" t="s">
        <v>1305</v>
      </c>
      <c r="B914" t="s">
        <v>81</v>
      </c>
      <c r="C914" t="str">
        <f>_xlfn.XLOOKUP(F914,Products!$A$2:$A$51,Products!$C$2:$C$51,0)</f>
        <v>Accessories</v>
      </c>
      <c r="D914" t="str">
        <f>_xlfn.XLOOKUP(F914,Products!$A$2:$A$51,Products!$B$2:$B$51,0)</f>
        <v>Digital Coffee Scale</v>
      </c>
      <c r="E914" t="str">
        <f>_xlfn.XLOOKUP(B914,customers!$A$2:$A$195,customers!$B$2:$B$195,,0)</f>
        <v>West</v>
      </c>
      <c r="F914">
        <v>1011</v>
      </c>
      <c r="G914" s="9">
        <f>_xlfn.XLOOKUP(B914,customers!$A$1:$A$195,customers!$C$1:$C$195)</f>
        <v>45041</v>
      </c>
      <c r="H914" s="13">
        <v>45726</v>
      </c>
      <c r="I914">
        <v>2</v>
      </c>
      <c r="J914">
        <v>53.66</v>
      </c>
      <c r="K914">
        <v>29.3</v>
      </c>
      <c r="L914">
        <f>_xlfn.XLOOKUP(F914,Products!$A$2:$A$51,Products!$D$2:$D$51,0)</f>
        <v>26.83</v>
      </c>
      <c r="M914">
        <f t="shared" si="14"/>
        <v>24.36</v>
      </c>
    </row>
    <row r="915" spans="1:13">
      <c r="A915" t="s">
        <v>1306</v>
      </c>
      <c r="B915" t="s">
        <v>123</v>
      </c>
      <c r="C915" t="str">
        <f>_xlfn.XLOOKUP(F915,Products!$A$2:$A$51,Products!$C$2:$C$51,0)</f>
        <v>Subscriptions</v>
      </c>
      <c r="D915" t="str">
        <f>_xlfn.XLOOKUP(F915,Products!$A$2:$A$51,Products!$B$2:$B$51,0)</f>
        <v>Monthly Dark Roast Subscription</v>
      </c>
      <c r="E915" t="str">
        <f>_xlfn.XLOOKUP(B915,customers!$A$2:$A$195,customers!$B$2:$B$195,,0)</f>
        <v>East</v>
      </c>
      <c r="F915">
        <v>1021</v>
      </c>
      <c r="G915" s="9">
        <f>_xlfn.XLOOKUP(B915,customers!$A$1:$A$195,customers!$C$1:$C$195)</f>
        <v>45264</v>
      </c>
      <c r="H915" s="13">
        <v>45726</v>
      </c>
      <c r="I915">
        <v>3</v>
      </c>
      <c r="J915">
        <v>183.78</v>
      </c>
      <c r="K915">
        <v>105.44</v>
      </c>
      <c r="L915">
        <f>_xlfn.XLOOKUP(F915,Products!$A$2:$A$51,Products!$D$2:$D$51,0)</f>
        <v>61.26</v>
      </c>
      <c r="M915">
        <f t="shared" si="14"/>
        <v>78.34</v>
      </c>
    </row>
    <row r="916" spans="1:13">
      <c r="A916" t="s">
        <v>1307</v>
      </c>
      <c r="B916" t="s">
        <v>149</v>
      </c>
      <c r="C916" t="str">
        <f>_xlfn.XLOOKUP(F916,Products!$A$2:$A$51,Products!$C$2:$C$51,0)</f>
        <v>Accessories</v>
      </c>
      <c r="D916" t="str">
        <f>_xlfn.XLOOKUP(F916,Products!$A$2:$A$51,Products!$B$2:$B$51,0)</f>
        <v>Airtight Storage Container</v>
      </c>
      <c r="E916" t="str">
        <f>_xlfn.XLOOKUP(B916,customers!$A$2:$A$195,customers!$B$2:$B$195,,0)</f>
        <v>South</v>
      </c>
      <c r="F916">
        <v>1013</v>
      </c>
      <c r="G916" s="9">
        <f>_xlfn.XLOOKUP(B916,customers!$A$1:$A$195,customers!$C$1:$C$195)</f>
        <v>45054</v>
      </c>
      <c r="H916" s="13">
        <v>45726</v>
      </c>
      <c r="I916">
        <v>3</v>
      </c>
      <c r="J916">
        <v>183.12</v>
      </c>
      <c r="K916">
        <v>77.12</v>
      </c>
      <c r="L916">
        <f>_xlfn.XLOOKUP(F916,Products!$A$2:$A$51,Products!$D$2:$D$51,0)</f>
        <v>61.04</v>
      </c>
      <c r="M916">
        <f t="shared" si="14"/>
        <v>106</v>
      </c>
    </row>
    <row r="917" spans="1:13">
      <c r="A917" t="s">
        <v>1308</v>
      </c>
      <c r="B917" t="s">
        <v>177</v>
      </c>
      <c r="C917" t="str">
        <f>_xlfn.XLOOKUP(F917,Products!$A$2:$A$51,Products!$C$2:$C$51,0)</f>
        <v>Grinders &amp; Brewers</v>
      </c>
      <c r="D917" t="str">
        <f>_xlfn.XLOOKUP(F917,Products!$A$2:$A$51,Products!$B$2:$B$51,0)</f>
        <v>Hand Grinder (Travel Size)</v>
      </c>
      <c r="E917" t="str">
        <f>_xlfn.XLOOKUP(B917,customers!$A$2:$A$195,customers!$B$2:$B$195,,0)</f>
        <v>East</v>
      </c>
      <c r="F917">
        <v>1032</v>
      </c>
      <c r="G917" s="9">
        <f>_xlfn.XLOOKUP(B917,customers!$A$1:$A$195,customers!$C$1:$C$195)</f>
        <v>44986</v>
      </c>
      <c r="H917" s="13">
        <v>45726</v>
      </c>
      <c r="I917">
        <v>3</v>
      </c>
      <c r="J917">
        <v>764.16</v>
      </c>
      <c r="K917">
        <v>390.85</v>
      </c>
      <c r="L917">
        <f>_xlfn.XLOOKUP(F917,Products!$A$2:$A$51,Products!$D$2:$D$51,0)</f>
        <v>254.72</v>
      </c>
      <c r="M917">
        <f t="shared" si="14"/>
        <v>373.31</v>
      </c>
    </row>
    <row r="918" spans="1:13">
      <c r="A918" t="s">
        <v>1309</v>
      </c>
      <c r="B918" t="s">
        <v>181</v>
      </c>
      <c r="C918" t="str">
        <f>_xlfn.XLOOKUP(F918,Products!$A$2:$A$51,Products!$C$2:$C$51,0)</f>
        <v>Accessories</v>
      </c>
      <c r="D918" t="str">
        <f>_xlfn.XLOOKUP(F918,Products!$A$2:$A$51,Products!$B$2:$B$51,0)</f>
        <v>Airtight Storage Container</v>
      </c>
      <c r="E918" t="str">
        <f>_xlfn.XLOOKUP(B918,customers!$A$2:$A$195,customers!$B$2:$B$195,,0)</f>
        <v>East</v>
      </c>
      <c r="F918">
        <v>1038</v>
      </c>
      <c r="G918" s="9">
        <f>_xlfn.XLOOKUP(B918,customers!$A$1:$A$195,customers!$C$1:$C$195)</f>
        <v>45125</v>
      </c>
      <c r="H918" s="13">
        <v>45726</v>
      </c>
      <c r="I918">
        <v>3</v>
      </c>
      <c r="J918">
        <v>183.12</v>
      </c>
      <c r="K918">
        <v>77.12</v>
      </c>
      <c r="L918">
        <f>_xlfn.XLOOKUP(F918,Products!$A$2:$A$51,Products!$D$2:$D$51,0)</f>
        <v>61.04</v>
      </c>
      <c r="M918">
        <f t="shared" si="14"/>
        <v>106</v>
      </c>
    </row>
    <row r="919" spans="1:13">
      <c r="A919" t="s">
        <v>1310</v>
      </c>
      <c r="B919" t="s">
        <v>60</v>
      </c>
      <c r="C919" t="str">
        <f>_xlfn.XLOOKUP(F919,Products!$A$2:$A$51,Products!$C$2:$C$51,0)</f>
        <v>Consumables</v>
      </c>
      <c r="D919" t="str">
        <f>_xlfn.XLOOKUP(F919,Products!$A$2:$A$51,Products!$B$2:$B$51,0)</f>
        <v>Single-Origin Ethiopian (250g)</v>
      </c>
      <c r="E919" t="str">
        <f>_xlfn.XLOOKUP(B919,customers!$A$2:$A$195,customers!$B$2:$B$195,,0)</f>
        <v>West</v>
      </c>
      <c r="F919">
        <v>1001</v>
      </c>
      <c r="G919" s="9">
        <f>_xlfn.XLOOKUP(B919,customers!$A$1:$A$195,customers!$C$1:$C$195)</f>
        <v>44943</v>
      </c>
      <c r="H919" s="13">
        <v>45757</v>
      </c>
      <c r="I919">
        <v>4</v>
      </c>
      <c r="J919">
        <v>77.96</v>
      </c>
      <c r="K919">
        <v>50.82</v>
      </c>
      <c r="L919">
        <f>_xlfn.XLOOKUP(F919,Products!$A$2:$A$51,Products!$D$2:$D$51,0)</f>
        <v>19.49</v>
      </c>
      <c r="M919">
        <f t="shared" si="14"/>
        <v>27.14</v>
      </c>
    </row>
    <row r="920" spans="1:13">
      <c r="A920" t="s">
        <v>1311</v>
      </c>
      <c r="B920" t="s">
        <v>81</v>
      </c>
      <c r="C920" t="str">
        <f>_xlfn.XLOOKUP(F920,Products!$A$2:$A$51,Products!$C$2:$C$51,0)</f>
        <v>Merchandise</v>
      </c>
      <c r="D920" t="str">
        <f>_xlfn.XLOOKUP(F920,Products!$A$2:$A$51,Products!$B$2:$B$51,0)</f>
        <v>Branded Ceramic Mug (Large)</v>
      </c>
      <c r="E920" t="str">
        <f>_xlfn.XLOOKUP(B920,customers!$A$2:$A$195,customers!$B$2:$B$195,,0)</f>
        <v>West</v>
      </c>
      <c r="F920">
        <v>1016</v>
      </c>
      <c r="G920" s="9">
        <f>_xlfn.XLOOKUP(B920,customers!$A$1:$A$195,customers!$C$1:$C$195)</f>
        <v>45041</v>
      </c>
      <c r="H920" s="13">
        <v>45787</v>
      </c>
      <c r="I920">
        <v>4</v>
      </c>
      <c r="J920">
        <v>172.8</v>
      </c>
      <c r="K920">
        <v>124.43</v>
      </c>
      <c r="L920">
        <f>_xlfn.XLOOKUP(F920,Products!$A$2:$A$51,Products!$D$2:$D$51,0)</f>
        <v>43.2</v>
      </c>
      <c r="M920">
        <f t="shared" si="14"/>
        <v>48.37</v>
      </c>
    </row>
    <row r="921" spans="1:13">
      <c r="A921" t="s">
        <v>1312</v>
      </c>
      <c r="B921" t="s">
        <v>11</v>
      </c>
      <c r="C921" t="str">
        <f>_xlfn.XLOOKUP(F921,Products!$A$2:$A$51,Products!$C$2:$C$51,0)</f>
        <v>Consumables</v>
      </c>
      <c r="D921" t="str">
        <f>_xlfn.XLOOKUP(F921,Products!$A$2:$A$51,Products!$B$2:$B$51,0)</f>
        <v>Cold Brew Concentrate</v>
      </c>
      <c r="E921" t="str">
        <f>_xlfn.XLOOKUP(B921,customers!$A$2:$A$195,customers!$B$2:$B$195,,0)</f>
        <v>East</v>
      </c>
      <c r="F921">
        <v>1004</v>
      </c>
      <c r="G921" s="9">
        <f>_xlfn.XLOOKUP(B921,customers!$A$1:$A$195,customers!$C$1:$C$195)</f>
        <v>45072</v>
      </c>
      <c r="H921" s="13">
        <v>45818</v>
      </c>
      <c r="I921">
        <v>1</v>
      </c>
      <c r="J921">
        <v>23.49</v>
      </c>
      <c r="K921">
        <v>10.09</v>
      </c>
      <c r="L921">
        <f>_xlfn.XLOOKUP(F921,Products!$A$2:$A$51,Products!$D$2:$D$51,0)</f>
        <v>23.49</v>
      </c>
      <c r="M921">
        <f t="shared" si="14"/>
        <v>13.4</v>
      </c>
    </row>
    <row r="922" spans="1:13">
      <c r="A922" t="s">
        <v>1313</v>
      </c>
      <c r="B922" t="s">
        <v>17</v>
      </c>
      <c r="C922" t="str">
        <f>_xlfn.XLOOKUP(F922,Products!$A$2:$A$51,Products!$C$2:$C$51,0)</f>
        <v>Accessories</v>
      </c>
      <c r="D922" t="str">
        <f>_xlfn.XLOOKUP(F922,Products!$A$2:$A$51,Products!$B$2:$B$51,0)</f>
        <v>Refillable Coffee Pods</v>
      </c>
      <c r="E922" t="str">
        <f>_xlfn.XLOOKUP(B922,customers!$A$2:$A$195,customers!$B$2:$B$195,,0)</f>
        <v>West</v>
      </c>
      <c r="F922">
        <v>1040</v>
      </c>
      <c r="G922" s="9">
        <f>_xlfn.XLOOKUP(B922,customers!$A$1:$A$195,customers!$C$1:$C$195)</f>
        <v>45041</v>
      </c>
      <c r="H922" s="13">
        <v>45818</v>
      </c>
      <c r="I922">
        <v>1</v>
      </c>
      <c r="J922">
        <v>24.13</v>
      </c>
      <c r="K922">
        <v>9.3</v>
      </c>
      <c r="L922">
        <f>_xlfn.XLOOKUP(F922,Products!$A$2:$A$51,Products!$D$2:$D$51,0)</f>
        <v>24.13</v>
      </c>
      <c r="M922">
        <f t="shared" si="14"/>
        <v>14.83</v>
      </c>
    </row>
    <row r="923" spans="1:13">
      <c r="A923" t="s">
        <v>1314</v>
      </c>
      <c r="B923" t="s">
        <v>60</v>
      </c>
      <c r="C923" t="str">
        <f>_xlfn.XLOOKUP(F923,Products!$A$2:$A$51,Products!$C$2:$C$51,0)</f>
        <v>Merchandise</v>
      </c>
      <c r="D923" t="str">
        <f>_xlfn.XLOOKUP(F923,Products!$A$2:$A$51,Products!$B$2:$B$51,0)</f>
        <v>Minimalist Keychain</v>
      </c>
      <c r="E923" t="str">
        <f>_xlfn.XLOOKUP(B923,customers!$A$2:$A$195,customers!$B$2:$B$195,,0)</f>
        <v>West</v>
      </c>
      <c r="F923">
        <v>1020</v>
      </c>
      <c r="G923" s="9">
        <f>_xlfn.XLOOKUP(B923,customers!$A$1:$A$195,customers!$C$1:$C$195)</f>
        <v>44943</v>
      </c>
      <c r="H923" s="13">
        <v>45818</v>
      </c>
      <c r="I923">
        <v>4</v>
      </c>
      <c r="J923">
        <v>109.48</v>
      </c>
      <c r="K923">
        <v>96.36</v>
      </c>
      <c r="L923">
        <f>_xlfn.XLOOKUP(F923,Products!$A$2:$A$51,Products!$D$2:$D$51,0)</f>
        <v>27.37</v>
      </c>
      <c r="M923">
        <f t="shared" si="14"/>
        <v>13.12</v>
      </c>
    </row>
    <row r="924" spans="1:13">
      <c r="A924" t="s">
        <v>1315</v>
      </c>
      <c r="B924" t="s">
        <v>65</v>
      </c>
      <c r="C924" t="str">
        <f>_xlfn.XLOOKUP(F924,Products!$A$2:$A$51,Products!$C$2:$C$51,0)</f>
        <v>Consumables</v>
      </c>
      <c r="D924" t="str">
        <f>_xlfn.XLOOKUP(F924,Products!$A$2:$A$51,Products!$B$2:$B$51,0)</f>
        <v>Single-Origin Ethiopian (250g)</v>
      </c>
      <c r="E924" t="str">
        <f>_xlfn.XLOOKUP(B924,customers!$A$2:$A$195,customers!$B$2:$B$195,,0)</f>
        <v>West</v>
      </c>
      <c r="F924">
        <v>1026</v>
      </c>
      <c r="G924" s="9">
        <f>_xlfn.XLOOKUP(B924,customers!$A$1:$A$195,customers!$C$1:$C$195)</f>
        <v>44939</v>
      </c>
      <c r="H924" s="13">
        <v>45818</v>
      </c>
      <c r="I924">
        <v>1</v>
      </c>
      <c r="J924">
        <v>19.49</v>
      </c>
      <c r="K924">
        <v>12.71</v>
      </c>
      <c r="L924">
        <f>_xlfn.XLOOKUP(F924,Products!$A$2:$A$51,Products!$D$2:$D$51,0)</f>
        <v>19.49</v>
      </c>
      <c r="M924">
        <f t="shared" si="14"/>
        <v>6.78</v>
      </c>
    </row>
    <row r="925" spans="1:13">
      <c r="A925" t="s">
        <v>1316</v>
      </c>
      <c r="B925" t="s">
        <v>96</v>
      </c>
      <c r="C925" t="str">
        <f>_xlfn.XLOOKUP(F925,Products!$A$2:$A$51,Products!$C$2:$C$51,0)</f>
        <v>Merchandise</v>
      </c>
      <c r="D925" t="str">
        <f>_xlfn.XLOOKUP(F925,Products!$A$2:$A$51,Products!$B$2:$B$51,0)</f>
        <v>Branded Ceramic Mug (Large)</v>
      </c>
      <c r="E925" t="str">
        <f>_xlfn.XLOOKUP(B925,customers!$A$2:$A$195,customers!$B$2:$B$195,,0)</f>
        <v>East</v>
      </c>
      <c r="F925">
        <v>1016</v>
      </c>
      <c r="G925" s="9">
        <f>_xlfn.XLOOKUP(B925,customers!$A$1:$A$195,customers!$C$1:$C$195)</f>
        <v>45143</v>
      </c>
      <c r="H925" s="13">
        <v>45818</v>
      </c>
      <c r="I925">
        <v>2</v>
      </c>
      <c r="J925">
        <v>86.4</v>
      </c>
      <c r="K925">
        <v>62.22</v>
      </c>
      <c r="L925">
        <f>_xlfn.XLOOKUP(F925,Products!$A$2:$A$51,Products!$D$2:$D$51,0)</f>
        <v>43.2</v>
      </c>
      <c r="M925">
        <f t="shared" si="14"/>
        <v>24.18</v>
      </c>
    </row>
    <row r="926" spans="1:13">
      <c r="A926" t="s">
        <v>1317</v>
      </c>
      <c r="B926" t="s">
        <v>41</v>
      </c>
      <c r="C926" t="str">
        <f>_xlfn.XLOOKUP(F926,Products!$A$2:$A$51,Products!$C$2:$C$51,0)</f>
        <v>Consumables</v>
      </c>
      <c r="D926" t="str">
        <f>_xlfn.XLOOKUP(F926,Products!$A$2:$A$51,Products!$B$2:$B$51,0)</f>
        <v>Espresso Bean Sampler Pack</v>
      </c>
      <c r="E926" t="str">
        <f>_xlfn.XLOOKUP(B926,customers!$A$2:$A$195,customers!$B$2:$B$195,,0)</f>
        <v>West</v>
      </c>
      <c r="F926">
        <v>1005</v>
      </c>
      <c r="G926" s="9">
        <f>_xlfn.XLOOKUP(B926,customers!$A$1:$A$195,customers!$C$1:$C$195)</f>
        <v>44960</v>
      </c>
      <c r="H926" s="13">
        <v>45848</v>
      </c>
      <c r="I926">
        <v>2</v>
      </c>
      <c r="J926">
        <v>38.12</v>
      </c>
      <c r="K926">
        <v>23.94</v>
      </c>
      <c r="L926">
        <f>_xlfn.XLOOKUP(F926,Products!$A$2:$A$51,Products!$D$2:$D$51,0)</f>
        <v>19.06</v>
      </c>
      <c r="M926">
        <f t="shared" si="14"/>
        <v>14.18</v>
      </c>
    </row>
    <row r="927" spans="1:13">
      <c r="A927" t="s">
        <v>1318</v>
      </c>
      <c r="B927" t="s">
        <v>76</v>
      </c>
      <c r="C927" t="str">
        <f>_xlfn.XLOOKUP(F927,Products!$A$2:$A$51,Products!$C$2:$C$51,0)</f>
        <v>Consumables</v>
      </c>
      <c r="D927" t="str">
        <f>_xlfn.XLOOKUP(F927,Products!$A$2:$A$51,Products!$B$2:$B$51,0)</f>
        <v>Seasonal Blend Light Roast</v>
      </c>
      <c r="E927" t="str">
        <f>_xlfn.XLOOKUP(B927,customers!$A$2:$A$195,customers!$B$2:$B$195,,0)</f>
        <v>East</v>
      </c>
      <c r="F927">
        <v>1027</v>
      </c>
      <c r="G927" s="9">
        <f>_xlfn.XLOOKUP(B927,customers!$A$1:$A$195,customers!$C$1:$C$195)</f>
        <v>45072</v>
      </c>
      <c r="H927" s="13">
        <v>45848</v>
      </c>
      <c r="I927">
        <v>3</v>
      </c>
      <c r="J927">
        <v>106.59</v>
      </c>
      <c r="K927">
        <v>17.79</v>
      </c>
      <c r="L927">
        <f>_xlfn.XLOOKUP(F927,Products!$A$2:$A$51,Products!$D$2:$D$51,0)</f>
        <v>35.53</v>
      </c>
      <c r="M927">
        <f t="shared" si="14"/>
        <v>88.8</v>
      </c>
    </row>
    <row r="928" spans="1:13">
      <c r="A928" t="s">
        <v>1319</v>
      </c>
      <c r="B928" t="s">
        <v>78</v>
      </c>
      <c r="C928" t="str">
        <f>_xlfn.XLOOKUP(F928,Products!$A$2:$A$51,Products!$C$2:$C$51,0)</f>
        <v>Consumables</v>
      </c>
      <c r="D928" t="str">
        <f>_xlfn.XLOOKUP(F928,Products!$A$2:$A$51,Products!$B$2:$B$51,0)</f>
        <v>Espresso Bean Sampler Pack</v>
      </c>
      <c r="E928" t="str">
        <f>_xlfn.XLOOKUP(B928,customers!$A$2:$A$195,customers!$B$2:$B$195,,0)</f>
        <v>North</v>
      </c>
      <c r="F928">
        <v>1005</v>
      </c>
      <c r="G928" s="9">
        <f>_xlfn.XLOOKUP(B928,customers!$A$1:$A$195,customers!$C$1:$C$195)</f>
        <v>44961</v>
      </c>
      <c r="H928" s="13">
        <v>45848</v>
      </c>
      <c r="I928">
        <v>1</v>
      </c>
      <c r="J928">
        <v>19.06</v>
      </c>
      <c r="K928">
        <v>11.97</v>
      </c>
      <c r="L928">
        <f>_xlfn.XLOOKUP(F928,Products!$A$2:$A$51,Products!$D$2:$D$51,0)</f>
        <v>19.06</v>
      </c>
      <c r="M928">
        <f t="shared" si="14"/>
        <v>7.09</v>
      </c>
    </row>
    <row r="929" spans="1:13">
      <c r="A929" t="s">
        <v>1320</v>
      </c>
      <c r="B929" t="s">
        <v>185</v>
      </c>
      <c r="C929" t="str">
        <f>_xlfn.XLOOKUP(F929,Products!$A$2:$A$51,Products!$C$2:$C$51,0)</f>
        <v>Consumables</v>
      </c>
      <c r="D929" t="str">
        <f>_xlfn.XLOOKUP(F929,Products!$A$2:$A$51,Products!$B$2:$B$51,0)</f>
        <v>Cold Brew Concentrate</v>
      </c>
      <c r="E929" t="str">
        <f>_xlfn.XLOOKUP(B929,customers!$A$2:$A$195,customers!$B$2:$B$195,,0)</f>
        <v>South</v>
      </c>
      <c r="F929">
        <v>1004</v>
      </c>
      <c r="G929" s="9">
        <f>_xlfn.XLOOKUP(B929,customers!$A$1:$A$195,customers!$C$1:$C$195)</f>
        <v>45288</v>
      </c>
      <c r="H929" s="13">
        <v>45848</v>
      </c>
      <c r="I929">
        <v>3</v>
      </c>
      <c r="J929">
        <v>70.47</v>
      </c>
      <c r="K929">
        <v>30.26</v>
      </c>
      <c r="L929">
        <f>_xlfn.XLOOKUP(F929,Products!$A$2:$A$51,Products!$D$2:$D$51,0)</f>
        <v>23.49</v>
      </c>
      <c r="M929">
        <f t="shared" si="14"/>
        <v>40.21</v>
      </c>
    </row>
    <row r="930" spans="1:13">
      <c r="A930" t="s">
        <v>1321</v>
      </c>
      <c r="B930" t="s">
        <v>46</v>
      </c>
      <c r="C930" t="str">
        <f>_xlfn.XLOOKUP(F930,Products!$A$2:$A$51,Products!$C$2:$C$51,0)</f>
        <v>Subscriptions</v>
      </c>
      <c r="D930" t="str">
        <f>_xlfn.XLOOKUP(F930,Products!$A$2:$A$51,Products!$B$2:$B$51,0)</f>
        <v>Three-Month Gift Subscription</v>
      </c>
      <c r="E930" t="str">
        <f>_xlfn.XLOOKUP(B930,customers!$A$2:$A$195,customers!$B$2:$B$195,,0)</f>
        <v>West</v>
      </c>
      <c r="F930">
        <v>1048</v>
      </c>
      <c r="G930" s="9">
        <f>_xlfn.XLOOKUP(B930,customers!$A$1:$A$195,customers!$C$1:$C$195)</f>
        <v>45069</v>
      </c>
      <c r="H930" s="13">
        <v>45879</v>
      </c>
      <c r="I930">
        <v>2</v>
      </c>
      <c r="J930">
        <v>130.42</v>
      </c>
      <c r="K930">
        <v>55.22</v>
      </c>
      <c r="L930">
        <f>_xlfn.XLOOKUP(F930,Products!$A$2:$A$51,Products!$D$2:$D$51,0)</f>
        <v>65.21</v>
      </c>
      <c r="M930">
        <f t="shared" si="14"/>
        <v>75.2</v>
      </c>
    </row>
    <row r="931" spans="1:13">
      <c r="A931" t="s">
        <v>1322</v>
      </c>
      <c r="B931" t="s">
        <v>145</v>
      </c>
      <c r="C931" t="str">
        <f>_xlfn.XLOOKUP(F931,Products!$A$2:$A$51,Products!$C$2:$C$51,0)</f>
        <v>Consumables</v>
      </c>
      <c r="D931" t="str">
        <f>_xlfn.XLOOKUP(F931,Products!$A$2:$A$51,Products!$B$2:$B$51,0)</f>
        <v>Espresso Bean Sampler Pack</v>
      </c>
      <c r="E931" t="str">
        <f>_xlfn.XLOOKUP(B931,customers!$A$2:$A$195,customers!$B$2:$B$195,,0)</f>
        <v>West</v>
      </c>
      <c r="F931">
        <v>1005</v>
      </c>
      <c r="G931" s="9">
        <f>_xlfn.XLOOKUP(B931,customers!$A$1:$A$195,customers!$C$1:$C$195)</f>
        <v>44982</v>
      </c>
      <c r="H931" s="13">
        <v>45879</v>
      </c>
      <c r="I931">
        <v>1</v>
      </c>
      <c r="J931">
        <v>19.06</v>
      </c>
      <c r="K931">
        <v>11.97</v>
      </c>
      <c r="L931">
        <f>_xlfn.XLOOKUP(F931,Products!$A$2:$A$51,Products!$D$2:$D$51,0)</f>
        <v>19.06</v>
      </c>
      <c r="M931">
        <f t="shared" si="14"/>
        <v>7.09</v>
      </c>
    </row>
    <row r="932" spans="1:13">
      <c r="A932" t="s">
        <v>1323</v>
      </c>
      <c r="B932" t="s">
        <v>167</v>
      </c>
      <c r="C932" t="str">
        <f>_xlfn.XLOOKUP(F932,Products!$A$2:$A$51,Products!$C$2:$C$51,0)</f>
        <v>Consumables</v>
      </c>
      <c r="D932" t="str">
        <f>_xlfn.XLOOKUP(F932,Products!$A$2:$A$51,Products!$B$2:$B$51,0)</f>
        <v>Seasonal Blend Light Roast</v>
      </c>
      <c r="E932" t="str">
        <f>_xlfn.XLOOKUP(B932,customers!$A$2:$A$195,customers!$B$2:$B$195,,0)</f>
        <v>North</v>
      </c>
      <c r="F932">
        <v>1027</v>
      </c>
      <c r="G932" s="9">
        <f>_xlfn.XLOOKUP(B932,customers!$A$1:$A$195,customers!$C$1:$C$195)</f>
        <v>45168</v>
      </c>
      <c r="H932" s="13">
        <v>45879</v>
      </c>
      <c r="I932">
        <v>3</v>
      </c>
      <c r="J932">
        <v>106.59</v>
      </c>
      <c r="K932">
        <v>17.79</v>
      </c>
      <c r="L932">
        <f>_xlfn.XLOOKUP(F932,Products!$A$2:$A$51,Products!$D$2:$D$51,0)</f>
        <v>35.53</v>
      </c>
      <c r="M932">
        <f t="shared" si="14"/>
        <v>88.8</v>
      </c>
    </row>
    <row r="933" spans="1:13">
      <c r="A933" t="s">
        <v>1324</v>
      </c>
      <c r="B933" t="s">
        <v>192</v>
      </c>
      <c r="C933" t="str">
        <f>_xlfn.XLOOKUP(F933,Products!$A$2:$A$51,Products!$C$2:$C$51,0)</f>
        <v>Consumables</v>
      </c>
      <c r="D933" t="str">
        <f>_xlfn.XLOOKUP(F933,Products!$A$2:$A$51,Products!$B$2:$B$51,0)</f>
        <v>Cold Brew Concentrate</v>
      </c>
      <c r="E933" t="str">
        <f>_xlfn.XLOOKUP(B933,customers!$A$2:$A$195,customers!$B$2:$B$195,,0)</f>
        <v>North</v>
      </c>
      <c r="F933">
        <v>1004</v>
      </c>
      <c r="G933" s="9">
        <f>_xlfn.XLOOKUP(B933,customers!$A$1:$A$195,customers!$C$1:$C$195)</f>
        <v>45234</v>
      </c>
      <c r="H933" s="13">
        <v>45879</v>
      </c>
      <c r="I933">
        <v>1</v>
      </c>
      <c r="J933">
        <v>23.49</v>
      </c>
      <c r="K933">
        <v>10.09</v>
      </c>
      <c r="L933">
        <f>_xlfn.XLOOKUP(F933,Products!$A$2:$A$51,Products!$D$2:$D$51,0)</f>
        <v>23.49</v>
      </c>
      <c r="M933">
        <f t="shared" si="14"/>
        <v>13.4</v>
      </c>
    </row>
    <row r="934" spans="1:13">
      <c r="A934" t="s">
        <v>1325</v>
      </c>
      <c r="B934" t="s">
        <v>48</v>
      </c>
      <c r="C934" t="str">
        <f>_xlfn.XLOOKUP(F934,Products!$A$2:$A$51,Products!$C$2:$C$51,0)</f>
        <v>Subscriptions</v>
      </c>
      <c r="D934" t="str">
        <f>_xlfn.XLOOKUP(F934,Products!$A$2:$A$51,Products!$B$2:$B$51,0)</f>
        <v>Three-Month Gift Subscription</v>
      </c>
      <c r="E934" t="str">
        <f>_xlfn.XLOOKUP(B934,customers!$A$2:$A$195,customers!$B$2:$B$195,,0)</f>
        <v>West</v>
      </c>
      <c r="F934">
        <v>1048</v>
      </c>
      <c r="G934" s="9">
        <f>_xlfn.XLOOKUP(B934,customers!$A$1:$A$195,customers!$C$1:$C$195)</f>
        <v>45161</v>
      </c>
      <c r="H934" s="13">
        <v>45910</v>
      </c>
      <c r="I934">
        <v>2</v>
      </c>
      <c r="J934">
        <v>130.42</v>
      </c>
      <c r="K934">
        <v>55.22</v>
      </c>
      <c r="L934">
        <f>_xlfn.XLOOKUP(F934,Products!$A$2:$A$51,Products!$D$2:$D$51,0)</f>
        <v>65.21</v>
      </c>
      <c r="M934">
        <f t="shared" si="14"/>
        <v>75.2</v>
      </c>
    </row>
    <row r="935" spans="1:13">
      <c r="A935" t="s">
        <v>1326</v>
      </c>
      <c r="B935" t="s">
        <v>102</v>
      </c>
      <c r="C935" t="str">
        <f>_xlfn.XLOOKUP(F935,Products!$A$2:$A$51,Products!$C$2:$C$51,0)</f>
        <v>Grinders &amp; Brewers</v>
      </c>
      <c r="D935" t="str">
        <f>_xlfn.XLOOKUP(F935,Products!$A$2:$A$51,Products!$B$2:$B$51,0)</f>
        <v>High-Capacity French Press</v>
      </c>
      <c r="E935" t="str">
        <f>_xlfn.XLOOKUP(B935,customers!$A$2:$A$195,customers!$B$2:$B$195,,0)</f>
        <v>East</v>
      </c>
      <c r="F935">
        <v>1009</v>
      </c>
      <c r="G935" s="9">
        <f>_xlfn.XLOOKUP(B935,customers!$A$1:$A$195,customers!$C$1:$C$195)</f>
        <v>45149</v>
      </c>
      <c r="H935" s="13">
        <v>45910</v>
      </c>
      <c r="I935">
        <v>1</v>
      </c>
      <c r="J935">
        <v>338.36</v>
      </c>
      <c r="K935">
        <v>148.17</v>
      </c>
      <c r="L935">
        <f>_xlfn.XLOOKUP(F935,Products!$A$2:$A$51,Products!$D$2:$D$51,0)</f>
        <v>338.36</v>
      </c>
      <c r="M935">
        <f t="shared" si="14"/>
        <v>190.19</v>
      </c>
    </row>
    <row r="936" spans="1:13">
      <c r="A936" t="s">
        <v>1327</v>
      </c>
      <c r="B936" t="s">
        <v>120</v>
      </c>
      <c r="C936" t="str">
        <f>_xlfn.XLOOKUP(F936,Products!$A$2:$A$51,Products!$C$2:$C$51,0)</f>
        <v>Accessories</v>
      </c>
      <c r="D936" t="str">
        <f>_xlfn.XLOOKUP(F936,Products!$A$2:$A$51,Products!$B$2:$B$51,0)</f>
        <v>Refillable Coffee Pods</v>
      </c>
      <c r="E936" t="str">
        <f>_xlfn.XLOOKUP(B936,customers!$A$2:$A$195,customers!$B$2:$B$195,,0)</f>
        <v>South</v>
      </c>
      <c r="F936">
        <v>1015</v>
      </c>
      <c r="G936" s="9">
        <f>_xlfn.XLOOKUP(B936,customers!$A$1:$A$195,customers!$C$1:$C$195)</f>
        <v>45204</v>
      </c>
      <c r="H936" s="13">
        <v>45910</v>
      </c>
      <c r="I936">
        <v>4</v>
      </c>
      <c r="J936">
        <v>96.52</v>
      </c>
      <c r="K936">
        <v>37.18</v>
      </c>
      <c r="L936">
        <f>_xlfn.XLOOKUP(F936,Products!$A$2:$A$51,Products!$D$2:$D$51,0)</f>
        <v>24.13</v>
      </c>
      <c r="M936">
        <f t="shared" si="14"/>
        <v>59.34</v>
      </c>
    </row>
    <row r="937" spans="1:13">
      <c r="A937" t="s">
        <v>1328</v>
      </c>
      <c r="B937" t="s">
        <v>147</v>
      </c>
      <c r="C937" t="str">
        <f>_xlfn.XLOOKUP(F937,Products!$A$2:$A$51,Products!$C$2:$C$51,0)</f>
        <v>Merchandise</v>
      </c>
      <c r="D937" t="str">
        <f>_xlfn.XLOOKUP(F937,Products!$A$2:$A$51,Products!$B$2:$B$51,0)</f>
        <v>Branded Ceramic Mug (Large)</v>
      </c>
      <c r="E937" t="str">
        <f>_xlfn.XLOOKUP(B937,customers!$A$2:$A$195,customers!$B$2:$B$195,,0)</f>
        <v>West</v>
      </c>
      <c r="F937">
        <v>1041</v>
      </c>
      <c r="G937" s="9">
        <f>_xlfn.XLOOKUP(B937,customers!$A$1:$A$195,customers!$C$1:$C$195)</f>
        <v>45228</v>
      </c>
      <c r="H937" s="13">
        <v>45910</v>
      </c>
      <c r="I937">
        <v>3</v>
      </c>
      <c r="J937">
        <v>129.6</v>
      </c>
      <c r="K937">
        <v>93.32</v>
      </c>
      <c r="L937">
        <f>_xlfn.XLOOKUP(F937,Products!$A$2:$A$51,Products!$D$2:$D$51,0)</f>
        <v>43.2</v>
      </c>
      <c r="M937">
        <f t="shared" si="14"/>
        <v>36.28</v>
      </c>
    </row>
    <row r="938" spans="1:13">
      <c r="A938" t="s">
        <v>1329</v>
      </c>
      <c r="B938" t="s">
        <v>149</v>
      </c>
      <c r="C938" t="str">
        <f>_xlfn.XLOOKUP(F938,Products!$A$2:$A$51,Products!$C$2:$C$51,0)</f>
        <v>Subscriptions</v>
      </c>
      <c r="D938" t="str">
        <f>_xlfn.XLOOKUP(F938,Products!$A$2:$A$51,Products!$B$2:$B$51,0)</f>
        <v>Bi-Weekly Sampler Box</v>
      </c>
      <c r="E938" t="str">
        <f>_xlfn.XLOOKUP(B938,customers!$A$2:$A$195,customers!$B$2:$B$195,,0)</f>
        <v>South</v>
      </c>
      <c r="F938">
        <v>1022</v>
      </c>
      <c r="G938" s="9">
        <f>_xlfn.XLOOKUP(B938,customers!$A$1:$A$195,customers!$C$1:$C$195)</f>
        <v>45054</v>
      </c>
      <c r="H938" s="13">
        <v>45910</v>
      </c>
      <c r="I938">
        <v>4</v>
      </c>
      <c r="J938">
        <v>355.08</v>
      </c>
      <c r="K938">
        <v>95.44</v>
      </c>
      <c r="L938">
        <f>_xlfn.XLOOKUP(F938,Products!$A$2:$A$51,Products!$D$2:$D$51,0)</f>
        <v>88.77</v>
      </c>
      <c r="M938">
        <f t="shared" si="14"/>
        <v>259.64</v>
      </c>
    </row>
    <row r="939" spans="1:13">
      <c r="A939" t="s">
        <v>1330</v>
      </c>
      <c r="B939" t="s">
        <v>67</v>
      </c>
      <c r="C939" t="str">
        <f>_xlfn.XLOOKUP(F939,Products!$A$2:$A$51,Products!$C$2:$C$51,0)</f>
        <v>Consumables</v>
      </c>
      <c r="D939" t="str">
        <f>_xlfn.XLOOKUP(F939,Products!$A$2:$A$51,Products!$B$2:$B$51,0)</f>
        <v>Espresso Bean Sampler Pack</v>
      </c>
      <c r="E939" t="str">
        <f>_xlfn.XLOOKUP(B939,customers!$A$2:$A$195,customers!$B$2:$B$195,,0)</f>
        <v>East</v>
      </c>
      <c r="F939">
        <v>1030</v>
      </c>
      <c r="G939" s="9">
        <f>_xlfn.XLOOKUP(B939,customers!$A$1:$A$195,customers!$C$1:$C$195)</f>
        <v>45272</v>
      </c>
      <c r="H939" s="13">
        <v>45940</v>
      </c>
      <c r="I939">
        <v>3</v>
      </c>
      <c r="J939">
        <v>57.18</v>
      </c>
      <c r="K939">
        <v>35.9</v>
      </c>
      <c r="L939">
        <f>_xlfn.XLOOKUP(F939,Products!$A$2:$A$51,Products!$D$2:$D$51,0)</f>
        <v>19.06</v>
      </c>
      <c r="M939">
        <f t="shared" si="14"/>
        <v>21.28</v>
      </c>
    </row>
    <row r="940" spans="1:13">
      <c r="A940" t="s">
        <v>1331</v>
      </c>
      <c r="B940" t="s">
        <v>102</v>
      </c>
      <c r="C940" t="str">
        <f>_xlfn.XLOOKUP(F940,Products!$A$2:$A$51,Products!$C$2:$C$51,0)</f>
        <v>Subscriptions</v>
      </c>
      <c r="D940" t="str">
        <f>_xlfn.XLOOKUP(F940,Products!$A$2:$A$51,Products!$B$2:$B$51,0)</f>
        <v>Monthly Dark Roast Subscription</v>
      </c>
      <c r="E940" t="str">
        <f>_xlfn.XLOOKUP(B940,customers!$A$2:$A$195,customers!$B$2:$B$195,,0)</f>
        <v>East</v>
      </c>
      <c r="F940">
        <v>1046</v>
      </c>
      <c r="G940" s="9">
        <f>_xlfn.XLOOKUP(B940,customers!$A$1:$A$195,customers!$C$1:$C$195)</f>
        <v>45149</v>
      </c>
      <c r="H940" s="13">
        <v>45940</v>
      </c>
      <c r="I940">
        <v>2</v>
      </c>
      <c r="J940">
        <v>122.52</v>
      </c>
      <c r="K940">
        <v>70.29</v>
      </c>
      <c r="L940">
        <f>_xlfn.XLOOKUP(F940,Products!$A$2:$A$51,Products!$D$2:$D$51,0)</f>
        <v>61.26</v>
      </c>
      <c r="M940">
        <f t="shared" si="14"/>
        <v>52.23</v>
      </c>
    </row>
    <row r="941" spans="1:13">
      <c r="A941" t="s">
        <v>1332</v>
      </c>
      <c r="B941" t="s">
        <v>140</v>
      </c>
      <c r="C941" t="str">
        <f>_xlfn.XLOOKUP(F941,Products!$A$2:$A$51,Products!$C$2:$C$51,0)</f>
        <v>Accessories</v>
      </c>
      <c r="D941" t="str">
        <f>_xlfn.XLOOKUP(F941,Products!$A$2:$A$51,Products!$B$2:$B$51,0)</f>
        <v>Gooseneck Electric Kettle</v>
      </c>
      <c r="E941" t="str">
        <f>_xlfn.XLOOKUP(B941,customers!$A$2:$A$195,customers!$B$2:$B$195,,0)</f>
        <v>East</v>
      </c>
      <c r="F941">
        <v>1037</v>
      </c>
      <c r="G941" s="9">
        <f>_xlfn.XLOOKUP(B941,customers!$A$1:$A$195,customers!$C$1:$C$195)</f>
        <v>45136</v>
      </c>
      <c r="H941" s="13">
        <v>45940</v>
      </c>
      <c r="I941">
        <v>1</v>
      </c>
      <c r="J941">
        <v>34.87</v>
      </c>
      <c r="K941">
        <v>25.97</v>
      </c>
      <c r="L941">
        <f>_xlfn.XLOOKUP(F941,Products!$A$2:$A$51,Products!$D$2:$D$51,0)</f>
        <v>34.87</v>
      </c>
      <c r="M941">
        <f t="shared" si="14"/>
        <v>8.9</v>
      </c>
    </row>
    <row r="942" spans="1:13">
      <c r="A942" t="s">
        <v>1333</v>
      </c>
      <c r="B942" t="s">
        <v>171</v>
      </c>
      <c r="C942" t="str">
        <f>_xlfn.XLOOKUP(F942,Products!$A$2:$A$51,Products!$C$2:$C$51,0)</f>
        <v>Grinders &amp; Brewers</v>
      </c>
      <c r="D942" t="str">
        <f>_xlfn.XLOOKUP(F942,Products!$A$2:$A$51,Products!$B$2:$B$51,0)</f>
        <v>Hand Grinder (Travel Size)</v>
      </c>
      <c r="E942" t="str">
        <f>_xlfn.XLOOKUP(B942,customers!$A$2:$A$195,customers!$B$2:$B$195,,0)</f>
        <v>West</v>
      </c>
      <c r="F942">
        <v>1032</v>
      </c>
      <c r="G942" s="9">
        <f>_xlfn.XLOOKUP(B942,customers!$A$1:$A$195,customers!$C$1:$C$195)</f>
        <v>45246</v>
      </c>
      <c r="H942" s="13">
        <v>45940</v>
      </c>
      <c r="I942">
        <v>2</v>
      </c>
      <c r="J942">
        <v>509.44</v>
      </c>
      <c r="K942">
        <v>260.57</v>
      </c>
      <c r="L942">
        <f>_xlfn.XLOOKUP(F942,Products!$A$2:$A$51,Products!$D$2:$D$51,0)</f>
        <v>254.72</v>
      </c>
      <c r="M942">
        <f t="shared" si="14"/>
        <v>248.87</v>
      </c>
    </row>
    <row r="943" spans="1:13">
      <c r="A943" t="s">
        <v>1334</v>
      </c>
      <c r="B943" t="s">
        <v>189</v>
      </c>
      <c r="C943" t="str">
        <f>_xlfn.XLOOKUP(F943,Products!$A$2:$A$51,Products!$C$2:$C$51,0)</f>
        <v>Merchandise</v>
      </c>
      <c r="D943" t="str">
        <f>_xlfn.XLOOKUP(F943,Products!$A$2:$A$51,Products!$B$2:$B$51,0)</f>
        <v>Minimalist Keychain</v>
      </c>
      <c r="E943" t="str">
        <f>_xlfn.XLOOKUP(B943,customers!$A$2:$A$195,customers!$B$2:$B$195,,0)</f>
        <v>East</v>
      </c>
      <c r="F943">
        <v>1045</v>
      </c>
      <c r="G943" s="9">
        <f>_xlfn.XLOOKUP(B943,customers!$A$1:$A$195,customers!$C$1:$C$195)</f>
        <v>45015</v>
      </c>
      <c r="H943" s="13">
        <v>45940</v>
      </c>
      <c r="I943">
        <v>1</v>
      </c>
      <c r="J943">
        <v>27.37</v>
      </c>
      <c r="K943">
        <v>24.09</v>
      </c>
      <c r="L943">
        <f>_xlfn.XLOOKUP(F943,Products!$A$2:$A$51,Products!$D$2:$D$51,0)</f>
        <v>27.37</v>
      </c>
      <c r="M943">
        <f t="shared" si="14"/>
        <v>3.28</v>
      </c>
    </row>
    <row r="944" spans="1:13">
      <c r="A944" t="s">
        <v>1335</v>
      </c>
      <c r="B944" t="s">
        <v>20</v>
      </c>
      <c r="C944" t="str">
        <f>_xlfn.XLOOKUP(F944,Products!$A$2:$A$51,Products!$C$2:$C$51,0)</f>
        <v>Grinders &amp; Brewers</v>
      </c>
      <c r="D944" t="str">
        <f>_xlfn.XLOOKUP(F944,Products!$A$2:$A$51,Products!$B$2:$B$51,0)</f>
        <v>Precision Electric Grinder</v>
      </c>
      <c r="E944" t="str">
        <f>_xlfn.XLOOKUP(B944,customers!$A$2:$A$195,customers!$B$2:$B$195,,0)</f>
        <v>West</v>
      </c>
      <c r="F944">
        <v>1006</v>
      </c>
      <c r="G944" s="9">
        <f>_xlfn.XLOOKUP(B944,customers!$A$1:$A$195,customers!$C$1:$C$195)</f>
        <v>44982</v>
      </c>
      <c r="H944" s="13">
        <v>46001</v>
      </c>
      <c r="I944">
        <v>4</v>
      </c>
      <c r="J944">
        <v>928.8</v>
      </c>
      <c r="K944">
        <v>313.54</v>
      </c>
      <c r="L944">
        <f>_xlfn.XLOOKUP(F944,Products!$A$2:$A$51,Products!$D$2:$D$51,0)</f>
        <v>232.2</v>
      </c>
      <c r="M944">
        <f t="shared" si="14"/>
        <v>615.26</v>
      </c>
    </row>
    <row r="945" spans="1:13">
      <c r="A945" t="s">
        <v>1336</v>
      </c>
      <c r="B945" t="s">
        <v>52</v>
      </c>
      <c r="C945" t="str">
        <f>_xlfn.XLOOKUP(F945,Products!$A$2:$A$51,Products!$C$2:$C$51,0)</f>
        <v>Merchandise</v>
      </c>
      <c r="D945" t="str">
        <f>_xlfn.XLOOKUP(F945,Products!$A$2:$A$51,Products!$B$2:$B$51,0)</f>
        <v>Minimalist Keychain</v>
      </c>
      <c r="E945" t="str">
        <f>_xlfn.XLOOKUP(B945,customers!$A$2:$A$195,customers!$B$2:$B$195,,0)</f>
        <v>East</v>
      </c>
      <c r="F945">
        <v>1020</v>
      </c>
      <c r="G945" s="9">
        <f>_xlfn.XLOOKUP(B945,customers!$A$1:$A$195,customers!$C$1:$C$195)</f>
        <v>45129</v>
      </c>
      <c r="H945" s="13">
        <v>46001</v>
      </c>
      <c r="I945">
        <v>4</v>
      </c>
      <c r="J945">
        <v>109.48</v>
      </c>
      <c r="K945">
        <v>96.36</v>
      </c>
      <c r="L945">
        <f>_xlfn.XLOOKUP(F945,Products!$A$2:$A$51,Products!$D$2:$D$51,0)</f>
        <v>27.37</v>
      </c>
      <c r="M945">
        <f t="shared" si="14"/>
        <v>13.12</v>
      </c>
    </row>
    <row r="946" spans="1:13">
      <c r="A946" t="s">
        <v>1337</v>
      </c>
      <c r="B946" t="s">
        <v>57</v>
      </c>
      <c r="C946" t="str">
        <f>_xlfn.XLOOKUP(F946,Products!$A$2:$A$51,Products!$C$2:$C$51,0)</f>
        <v>Subscriptions</v>
      </c>
      <c r="D946" t="str">
        <f>_xlfn.XLOOKUP(F946,Products!$A$2:$A$51,Products!$B$2:$B$51,0)</f>
        <v>Subscription Renewal Service</v>
      </c>
      <c r="E946" t="str">
        <f>_xlfn.XLOOKUP(B946,customers!$A$2:$A$195,customers!$B$2:$B$195,,0)</f>
        <v>North</v>
      </c>
      <c r="F946">
        <v>1050</v>
      </c>
      <c r="G946" s="9">
        <f>_xlfn.XLOOKUP(B946,customers!$A$1:$A$195,customers!$C$1:$C$195)</f>
        <v>44933</v>
      </c>
      <c r="H946" s="13">
        <v>46001</v>
      </c>
      <c r="I946">
        <v>3</v>
      </c>
      <c r="J946">
        <v>220.23</v>
      </c>
      <c r="K946">
        <v>81.87</v>
      </c>
      <c r="L946">
        <f>_xlfn.XLOOKUP(F946,Products!$A$2:$A$51,Products!$D$2:$D$51,0)</f>
        <v>73.41</v>
      </c>
      <c r="M946">
        <f t="shared" si="14"/>
        <v>138.36</v>
      </c>
    </row>
    <row r="947" spans="1:13">
      <c r="A947" t="s">
        <v>1338</v>
      </c>
      <c r="B947" t="s">
        <v>3</v>
      </c>
      <c r="C947" t="str">
        <f>_xlfn.XLOOKUP(F947,Products!$A$2:$A$51,Products!$C$2:$C$51,0)</f>
        <v>Consumables</v>
      </c>
      <c r="D947" t="str">
        <f>_xlfn.XLOOKUP(F947,Products!$A$2:$A$51,Products!$B$2:$B$51,0)</f>
        <v>Cold Brew Concentrate</v>
      </c>
      <c r="E947" t="str">
        <f>_xlfn.XLOOKUP(B947,customers!$A$2:$A$195,customers!$B$2:$B$195,,0)</f>
        <v>East</v>
      </c>
      <c r="F947">
        <v>1004</v>
      </c>
      <c r="G947" s="9">
        <f>_xlfn.XLOOKUP(B947,customers!$A$1:$A$195,customers!$C$1:$C$195)</f>
        <v>45141</v>
      </c>
      <c r="H947" s="13" t="s">
        <v>1339</v>
      </c>
      <c r="I947">
        <v>2</v>
      </c>
      <c r="J947">
        <v>46.98</v>
      </c>
      <c r="K947">
        <v>20.17</v>
      </c>
      <c r="L947">
        <f>_xlfn.XLOOKUP(F947,Products!$A$2:$A$51,Products!$D$2:$D$51,0)</f>
        <v>23.49</v>
      </c>
      <c r="M947">
        <f t="shared" si="14"/>
        <v>26.81</v>
      </c>
    </row>
    <row r="948" spans="1:13">
      <c r="A948" t="s">
        <v>1340</v>
      </c>
      <c r="B948" t="s">
        <v>71</v>
      </c>
      <c r="C948" t="str">
        <f>_xlfn.XLOOKUP(F948,Products!$A$2:$A$51,Products!$C$2:$C$51,0)</f>
        <v>Subscriptions</v>
      </c>
      <c r="D948" t="str">
        <f>_xlfn.XLOOKUP(F948,Products!$A$2:$A$51,Products!$B$2:$B$51,0)</f>
        <v>Monthly Dark Roast Subscription</v>
      </c>
      <c r="E948" t="str">
        <f>_xlfn.XLOOKUP(B948,customers!$A$2:$A$195,customers!$B$2:$B$195,,0)</f>
        <v>South</v>
      </c>
      <c r="F948">
        <v>1021</v>
      </c>
      <c r="G948" s="9">
        <f>_xlfn.XLOOKUP(B948,customers!$A$1:$A$195,customers!$C$1:$C$195)</f>
        <v>44993</v>
      </c>
      <c r="H948" s="13" t="s">
        <v>1339</v>
      </c>
      <c r="I948">
        <v>3</v>
      </c>
      <c r="J948">
        <v>183.78</v>
      </c>
      <c r="K948">
        <v>105.44</v>
      </c>
      <c r="L948">
        <f>_xlfn.XLOOKUP(F948,Products!$A$2:$A$51,Products!$D$2:$D$51,0)</f>
        <v>61.26</v>
      </c>
      <c r="M948">
        <f t="shared" si="14"/>
        <v>78.34</v>
      </c>
    </row>
    <row r="949" spans="1:13">
      <c r="A949" t="s">
        <v>1341</v>
      </c>
      <c r="B949" t="s">
        <v>96</v>
      </c>
      <c r="C949" t="str">
        <f>_xlfn.XLOOKUP(F949,Products!$A$2:$A$51,Products!$C$2:$C$51,0)</f>
        <v>Grinders &amp; Brewers</v>
      </c>
      <c r="D949" t="str">
        <f>_xlfn.XLOOKUP(F949,Products!$A$2:$A$51,Products!$B$2:$B$51,0)</f>
        <v>Pour-Over Starter Kit</v>
      </c>
      <c r="E949" t="str">
        <f>_xlfn.XLOOKUP(B949,customers!$A$2:$A$195,customers!$B$2:$B$195,,0)</f>
        <v>East</v>
      </c>
      <c r="F949">
        <v>1035</v>
      </c>
      <c r="G949" s="9">
        <f>_xlfn.XLOOKUP(B949,customers!$A$1:$A$195,customers!$C$1:$C$195)</f>
        <v>45143</v>
      </c>
      <c r="H949" s="13" t="s">
        <v>1339</v>
      </c>
      <c r="I949">
        <v>4</v>
      </c>
      <c r="J949">
        <v>420.92</v>
      </c>
      <c r="K949">
        <v>298.98</v>
      </c>
      <c r="L949">
        <f>_xlfn.XLOOKUP(F949,Products!$A$2:$A$51,Products!$D$2:$D$51,0)</f>
        <v>105.23</v>
      </c>
      <c r="M949">
        <f t="shared" si="14"/>
        <v>121.94</v>
      </c>
    </row>
    <row r="950" spans="1:13">
      <c r="A950" t="s">
        <v>1342</v>
      </c>
      <c r="B950" t="s">
        <v>135</v>
      </c>
      <c r="C950" t="str">
        <f>_xlfn.XLOOKUP(F950,Products!$A$2:$A$51,Products!$C$2:$C$51,0)</f>
        <v>Accessories</v>
      </c>
      <c r="D950" t="str">
        <f>_xlfn.XLOOKUP(F950,Products!$A$2:$A$51,Products!$B$2:$B$51,0)</f>
        <v>Digital Coffee Scale</v>
      </c>
      <c r="E950" t="str">
        <f>_xlfn.XLOOKUP(B950,customers!$A$2:$A$195,customers!$B$2:$B$195,,0)</f>
        <v>East</v>
      </c>
      <c r="F950">
        <v>1011</v>
      </c>
      <c r="G950" s="9">
        <f>_xlfn.XLOOKUP(B950,customers!$A$1:$A$195,customers!$C$1:$C$195)</f>
        <v>45286</v>
      </c>
      <c r="H950" s="13" t="s">
        <v>1339</v>
      </c>
      <c r="I950">
        <v>3</v>
      </c>
      <c r="J950">
        <v>80.49</v>
      </c>
      <c r="K950">
        <v>43.96</v>
      </c>
      <c r="L950">
        <f>_xlfn.XLOOKUP(F950,Products!$A$2:$A$51,Products!$D$2:$D$51,0)</f>
        <v>26.83</v>
      </c>
      <c r="M950">
        <f t="shared" si="14"/>
        <v>36.53</v>
      </c>
    </row>
    <row r="951" spans="1:13">
      <c r="A951" t="s">
        <v>1343</v>
      </c>
      <c r="B951" t="s">
        <v>187</v>
      </c>
      <c r="C951" t="str">
        <f>_xlfn.XLOOKUP(F951,Products!$A$2:$A$51,Products!$C$2:$C$51,0)</f>
        <v>Merchandise</v>
      </c>
      <c r="D951" t="str">
        <f>_xlfn.XLOOKUP(F951,Products!$A$2:$A$51,Products!$B$2:$B$51,0)</f>
        <v>Branded Ceramic Mug (Large)</v>
      </c>
      <c r="E951" t="str">
        <f>_xlfn.XLOOKUP(B951,customers!$A$2:$A$195,customers!$B$2:$B$195,,0)</f>
        <v>West</v>
      </c>
      <c r="F951">
        <v>1016</v>
      </c>
      <c r="G951" s="9">
        <f>_xlfn.XLOOKUP(B951,customers!$A$1:$A$195,customers!$C$1:$C$195)</f>
        <v>45282</v>
      </c>
      <c r="H951" s="13" t="s">
        <v>1339</v>
      </c>
      <c r="I951">
        <v>2</v>
      </c>
      <c r="J951">
        <v>86.4</v>
      </c>
      <c r="K951">
        <v>62.22</v>
      </c>
      <c r="L951">
        <f>_xlfn.XLOOKUP(F951,Products!$A$2:$A$51,Products!$D$2:$D$51,0)</f>
        <v>43.2</v>
      </c>
      <c r="M951">
        <f t="shared" si="14"/>
        <v>24.18</v>
      </c>
    </row>
    <row r="952" spans="1:13">
      <c r="A952" t="s">
        <v>1344</v>
      </c>
      <c r="B952" t="s">
        <v>58</v>
      </c>
      <c r="C952" t="str">
        <f>_xlfn.XLOOKUP(F952,Products!$A$2:$A$51,Products!$C$2:$C$51,0)</f>
        <v>Subscriptions</v>
      </c>
      <c r="D952" t="str">
        <f>_xlfn.XLOOKUP(F952,Products!$A$2:$A$51,Products!$B$2:$B$51,0)</f>
        <v>Monthly Dark Roast Subscription</v>
      </c>
      <c r="E952" t="str">
        <f>_xlfn.XLOOKUP(B952,customers!$A$2:$A$195,customers!$B$2:$B$195,,0)</f>
        <v>East</v>
      </c>
      <c r="F952">
        <v>1021</v>
      </c>
      <c r="G952" s="9">
        <f>_xlfn.XLOOKUP(B952,customers!$A$1:$A$195,customers!$C$1:$C$195)</f>
        <v>45287</v>
      </c>
      <c r="H952" s="13" t="s">
        <v>1345</v>
      </c>
      <c r="I952">
        <v>2</v>
      </c>
      <c r="J952">
        <v>122.52</v>
      </c>
      <c r="K952">
        <v>70.29</v>
      </c>
      <c r="L952">
        <f>_xlfn.XLOOKUP(F952,Products!$A$2:$A$51,Products!$D$2:$D$51,0)</f>
        <v>61.26</v>
      </c>
      <c r="M952">
        <f t="shared" si="14"/>
        <v>52.23</v>
      </c>
    </row>
    <row r="953" spans="1:13">
      <c r="A953" t="s">
        <v>1346</v>
      </c>
      <c r="B953" t="s">
        <v>64</v>
      </c>
      <c r="C953" t="str">
        <f>_xlfn.XLOOKUP(F953,Products!$A$2:$A$51,Products!$C$2:$C$51,0)</f>
        <v>Subscriptions</v>
      </c>
      <c r="D953" t="str">
        <f>_xlfn.XLOOKUP(F953,Products!$A$2:$A$51,Products!$B$2:$B$51,0)</f>
        <v>Bi-Weekly Sampler Box</v>
      </c>
      <c r="E953" t="str">
        <f>_xlfn.XLOOKUP(B953,customers!$A$2:$A$195,customers!$B$2:$B$195,,0)</f>
        <v>East</v>
      </c>
      <c r="F953">
        <v>1022</v>
      </c>
      <c r="G953" s="9">
        <f>_xlfn.XLOOKUP(B953,customers!$A$1:$A$195,customers!$C$1:$C$195)</f>
        <v>44933</v>
      </c>
      <c r="H953" s="13" t="s">
        <v>1345</v>
      </c>
      <c r="I953">
        <v>4</v>
      </c>
      <c r="J953">
        <v>355.08</v>
      </c>
      <c r="K953">
        <v>95.44</v>
      </c>
      <c r="L953">
        <f>_xlfn.XLOOKUP(F953,Products!$A$2:$A$51,Products!$D$2:$D$51,0)</f>
        <v>88.77</v>
      </c>
      <c r="M953">
        <f t="shared" si="14"/>
        <v>259.64</v>
      </c>
    </row>
    <row r="954" spans="1:13">
      <c r="A954" t="s">
        <v>1347</v>
      </c>
      <c r="B954" t="s">
        <v>76</v>
      </c>
      <c r="C954" t="str">
        <f>_xlfn.XLOOKUP(F954,Products!$A$2:$A$51,Products!$C$2:$C$51,0)</f>
        <v>Subscriptions</v>
      </c>
      <c r="D954" t="str">
        <f>_xlfn.XLOOKUP(F954,Products!$A$2:$A$51,Products!$B$2:$B$51,0)</f>
        <v>Subscription Renewal Service</v>
      </c>
      <c r="E954" t="str">
        <f>_xlfn.XLOOKUP(B954,customers!$A$2:$A$195,customers!$B$2:$B$195,,0)</f>
        <v>East</v>
      </c>
      <c r="F954">
        <v>1050</v>
      </c>
      <c r="G954" s="9">
        <f>_xlfn.XLOOKUP(B954,customers!$A$1:$A$195,customers!$C$1:$C$195)</f>
        <v>45072</v>
      </c>
      <c r="H954" s="13" t="s">
        <v>1345</v>
      </c>
      <c r="I954">
        <v>3</v>
      </c>
      <c r="J954">
        <v>220.23</v>
      </c>
      <c r="K954">
        <v>81.87</v>
      </c>
      <c r="L954">
        <f>_xlfn.XLOOKUP(F954,Products!$A$2:$A$51,Products!$D$2:$D$51,0)</f>
        <v>73.41</v>
      </c>
      <c r="M954">
        <f t="shared" si="14"/>
        <v>138.36</v>
      </c>
    </row>
    <row r="955" spans="1:13">
      <c r="A955" t="s">
        <v>1348</v>
      </c>
      <c r="B955" t="s">
        <v>146</v>
      </c>
      <c r="C955" t="str">
        <f>_xlfn.XLOOKUP(F955,Products!$A$2:$A$51,Products!$C$2:$C$51,0)</f>
        <v>Accessories</v>
      </c>
      <c r="D955" t="str">
        <f>_xlfn.XLOOKUP(F955,Products!$A$2:$A$51,Products!$B$2:$B$51,0)</f>
        <v>Airtight Storage Container</v>
      </c>
      <c r="E955" t="str">
        <f>_xlfn.XLOOKUP(B955,customers!$A$2:$A$195,customers!$B$2:$B$195,,0)</f>
        <v>East</v>
      </c>
      <c r="F955">
        <v>1013</v>
      </c>
      <c r="G955" s="9">
        <f>_xlfn.XLOOKUP(B955,customers!$A$1:$A$195,customers!$C$1:$C$195)</f>
        <v>44981</v>
      </c>
      <c r="H955" s="13" t="s">
        <v>1345</v>
      </c>
      <c r="I955">
        <v>1</v>
      </c>
      <c r="J955">
        <v>61.04</v>
      </c>
      <c r="K955">
        <v>25.71</v>
      </c>
      <c r="L955">
        <f>_xlfn.XLOOKUP(F955,Products!$A$2:$A$51,Products!$D$2:$D$51,0)</f>
        <v>61.04</v>
      </c>
      <c r="M955">
        <f t="shared" si="14"/>
        <v>35.33</v>
      </c>
    </row>
    <row r="956" spans="1:13">
      <c r="A956" t="s">
        <v>1349</v>
      </c>
      <c r="B956" t="s">
        <v>147</v>
      </c>
      <c r="C956" t="str">
        <f>_xlfn.XLOOKUP(F956,Products!$A$2:$A$51,Products!$C$2:$C$51,0)</f>
        <v>Consumables</v>
      </c>
      <c r="D956" t="str">
        <f>_xlfn.XLOOKUP(F956,Products!$A$2:$A$51,Products!$B$2:$B$51,0)</f>
        <v>Decaf Blend (1kg)</v>
      </c>
      <c r="E956" t="str">
        <f>_xlfn.XLOOKUP(B956,customers!$A$2:$A$195,customers!$B$2:$B$195,,0)</f>
        <v>West</v>
      </c>
      <c r="F956">
        <v>1003</v>
      </c>
      <c r="G956" s="9">
        <f>_xlfn.XLOOKUP(B956,customers!$A$1:$A$195,customers!$C$1:$C$195)</f>
        <v>45228</v>
      </c>
      <c r="H956" s="13" t="s">
        <v>1345</v>
      </c>
      <c r="I956">
        <v>1</v>
      </c>
      <c r="J956">
        <v>40.35</v>
      </c>
      <c r="K956">
        <v>12.86</v>
      </c>
      <c r="L956">
        <f>_xlfn.XLOOKUP(F956,Products!$A$2:$A$51,Products!$D$2:$D$51,0)</f>
        <v>40.35</v>
      </c>
      <c r="M956">
        <f t="shared" si="14"/>
        <v>27.49</v>
      </c>
    </row>
    <row r="957" spans="1:13">
      <c r="A957" t="s">
        <v>1350</v>
      </c>
      <c r="B957" t="s">
        <v>160</v>
      </c>
      <c r="C957" t="str">
        <f>_xlfn.XLOOKUP(F957,Products!$A$2:$A$51,Products!$C$2:$C$51,0)</f>
        <v>Grinders &amp; Brewers</v>
      </c>
      <c r="D957" t="str">
        <f>_xlfn.XLOOKUP(F957,Products!$A$2:$A$51,Products!$B$2:$B$51,0)</f>
        <v>High-Capacity French Press</v>
      </c>
      <c r="E957" t="str">
        <f>_xlfn.XLOOKUP(B957,customers!$A$2:$A$195,customers!$B$2:$B$195,,0)</f>
        <v>East</v>
      </c>
      <c r="F957">
        <v>1034</v>
      </c>
      <c r="G957" s="9">
        <f>_xlfn.XLOOKUP(B957,customers!$A$1:$A$195,customers!$C$1:$C$195)</f>
        <v>45087</v>
      </c>
      <c r="H957" s="13" t="s">
        <v>1345</v>
      </c>
      <c r="I957">
        <v>1</v>
      </c>
      <c r="J957">
        <v>338.36</v>
      </c>
      <c r="K957">
        <v>148.17</v>
      </c>
      <c r="L957">
        <f>_xlfn.XLOOKUP(F957,Products!$A$2:$A$51,Products!$D$2:$D$51,0)</f>
        <v>338.36</v>
      </c>
      <c r="M957">
        <f t="shared" si="14"/>
        <v>190.19</v>
      </c>
    </row>
    <row r="958" spans="1:13">
      <c r="A958" t="s">
        <v>1351</v>
      </c>
      <c r="B958" t="s">
        <v>8</v>
      </c>
      <c r="C958" t="str">
        <f>_xlfn.XLOOKUP(F958,Products!$A$2:$A$51,Products!$C$2:$C$51,0)</f>
        <v>Subscriptions</v>
      </c>
      <c r="D958" t="str">
        <f>_xlfn.XLOOKUP(F958,Products!$A$2:$A$51,Products!$B$2:$B$51,0)</f>
        <v>Espresso Lovers Quarterly Pack</v>
      </c>
      <c r="E958" t="str">
        <f>_xlfn.XLOOKUP(B958,customers!$A$2:$A$195,customers!$B$2:$B$195,,0)</f>
        <v>West</v>
      </c>
      <c r="F958">
        <v>1024</v>
      </c>
      <c r="G958" s="9">
        <f>_xlfn.XLOOKUP(B958,customers!$A$1:$A$195,customers!$C$1:$C$195)</f>
        <v>45033</v>
      </c>
      <c r="H958" s="13" t="s">
        <v>1352</v>
      </c>
      <c r="I958">
        <v>3</v>
      </c>
      <c r="J958">
        <v>224.61</v>
      </c>
      <c r="K958">
        <v>57.58</v>
      </c>
      <c r="L958">
        <f>_xlfn.XLOOKUP(F958,Products!$A$2:$A$51,Products!$D$2:$D$51,0)</f>
        <v>74.87</v>
      </c>
      <c r="M958">
        <f t="shared" si="14"/>
        <v>167.03</v>
      </c>
    </row>
    <row r="959" spans="1:13">
      <c r="A959" t="s">
        <v>1353</v>
      </c>
      <c r="B959" t="s">
        <v>96</v>
      </c>
      <c r="C959" t="str">
        <f>_xlfn.XLOOKUP(F959,Products!$A$2:$A$51,Products!$C$2:$C$51,0)</f>
        <v>Subscriptions</v>
      </c>
      <c r="D959" t="str">
        <f>_xlfn.XLOOKUP(F959,Products!$A$2:$A$51,Products!$B$2:$B$51,0)</f>
        <v>Espresso Lovers Quarterly Pack</v>
      </c>
      <c r="E959" t="str">
        <f>_xlfn.XLOOKUP(B959,customers!$A$2:$A$195,customers!$B$2:$B$195,,0)</f>
        <v>East</v>
      </c>
      <c r="F959">
        <v>1024</v>
      </c>
      <c r="G959" s="9">
        <f>_xlfn.XLOOKUP(B959,customers!$A$1:$A$195,customers!$C$1:$C$195)</f>
        <v>45143</v>
      </c>
      <c r="H959" s="13" t="s">
        <v>1352</v>
      </c>
      <c r="I959">
        <v>3</v>
      </c>
      <c r="J959">
        <v>224.61</v>
      </c>
      <c r="K959">
        <v>57.58</v>
      </c>
      <c r="L959">
        <f>_xlfn.XLOOKUP(F959,Products!$A$2:$A$51,Products!$D$2:$D$51,0)</f>
        <v>74.87</v>
      </c>
      <c r="M959">
        <f t="shared" si="14"/>
        <v>167.03</v>
      </c>
    </row>
    <row r="960" spans="1:13">
      <c r="A960" t="s">
        <v>1354</v>
      </c>
      <c r="B960" t="s">
        <v>146</v>
      </c>
      <c r="C960" t="str">
        <f>_xlfn.XLOOKUP(F960,Products!$A$2:$A$51,Products!$C$2:$C$51,0)</f>
        <v>Subscriptions</v>
      </c>
      <c r="D960" t="str">
        <f>_xlfn.XLOOKUP(F960,Products!$A$2:$A$51,Products!$B$2:$B$51,0)</f>
        <v>Bi-Weekly Sampler Box</v>
      </c>
      <c r="E960" t="str">
        <f>_xlfn.XLOOKUP(B960,customers!$A$2:$A$195,customers!$B$2:$B$195,,0)</f>
        <v>East</v>
      </c>
      <c r="F960">
        <v>1022</v>
      </c>
      <c r="G960" s="9">
        <f>_xlfn.XLOOKUP(B960,customers!$A$1:$A$195,customers!$C$1:$C$195)</f>
        <v>44981</v>
      </c>
      <c r="H960" s="13" t="s">
        <v>1352</v>
      </c>
      <c r="I960">
        <v>3</v>
      </c>
      <c r="J960">
        <v>266.31</v>
      </c>
      <c r="K960">
        <v>71.58</v>
      </c>
      <c r="L960">
        <f>_xlfn.XLOOKUP(F960,Products!$A$2:$A$51,Products!$D$2:$D$51,0)</f>
        <v>88.77</v>
      </c>
      <c r="M960">
        <f t="shared" si="14"/>
        <v>194.73</v>
      </c>
    </row>
    <row r="961" spans="1:13">
      <c r="A961" t="s">
        <v>1355</v>
      </c>
      <c r="B961" t="s">
        <v>71</v>
      </c>
      <c r="C961" t="str">
        <f>_xlfn.XLOOKUP(F961,Products!$A$2:$A$51,Products!$C$2:$C$51,0)</f>
        <v>Merchandise</v>
      </c>
      <c r="D961" t="str">
        <f>_xlfn.XLOOKUP(F961,Products!$A$2:$A$51,Products!$B$2:$B$51,0)</f>
        <v>Logo Hoodie (Black)</v>
      </c>
      <c r="E961" t="str">
        <f>_xlfn.XLOOKUP(B961,customers!$A$2:$A$195,customers!$B$2:$B$195,,0)</f>
        <v>South</v>
      </c>
      <c r="F961">
        <v>1042</v>
      </c>
      <c r="G961" s="9">
        <f>_xlfn.XLOOKUP(B961,customers!$A$1:$A$195,customers!$C$1:$C$195)</f>
        <v>44993</v>
      </c>
      <c r="H961" s="13" t="s">
        <v>1356</v>
      </c>
      <c r="I961">
        <v>2</v>
      </c>
      <c r="J961">
        <v>30.46</v>
      </c>
      <c r="K961">
        <v>26.8</v>
      </c>
      <c r="L961">
        <f>_xlfn.XLOOKUP(F961,Products!$A$2:$A$51,Products!$D$2:$D$51,0)</f>
        <v>15.23</v>
      </c>
      <c r="M961">
        <f t="shared" si="14"/>
        <v>3.66</v>
      </c>
    </row>
    <row r="962" spans="1:13">
      <c r="A962" t="s">
        <v>1357</v>
      </c>
      <c r="B962" t="s">
        <v>90</v>
      </c>
      <c r="C962" t="str">
        <f>_xlfn.XLOOKUP(F962,Products!$A$2:$A$51,Products!$C$2:$C$51,0)</f>
        <v>Consumables</v>
      </c>
      <c r="D962" t="str">
        <f>_xlfn.XLOOKUP(F962,Products!$A$2:$A$51,Products!$B$2:$B$51,0)</f>
        <v>Single-Origin Ethiopian (250g)</v>
      </c>
      <c r="E962" t="str">
        <f>_xlfn.XLOOKUP(B962,customers!$A$2:$A$195,customers!$B$2:$B$195,,0)</f>
        <v>East</v>
      </c>
      <c r="F962">
        <v>1001</v>
      </c>
      <c r="G962" s="9">
        <f>_xlfn.XLOOKUP(B962,customers!$A$1:$A$195,customers!$C$1:$C$195)</f>
        <v>45043</v>
      </c>
      <c r="H962" s="13" t="s">
        <v>1356</v>
      </c>
      <c r="I962">
        <v>2</v>
      </c>
      <c r="J962">
        <v>38.98</v>
      </c>
      <c r="K962">
        <v>25.41</v>
      </c>
      <c r="L962">
        <f>_xlfn.XLOOKUP(F962,Products!$A$2:$A$51,Products!$D$2:$D$51,0)</f>
        <v>19.49</v>
      </c>
      <c r="M962">
        <f t="shared" si="14"/>
        <v>13.57</v>
      </c>
    </row>
    <row r="963" spans="1:13">
      <c r="A963" t="s">
        <v>1358</v>
      </c>
      <c r="B963" t="s">
        <v>110</v>
      </c>
      <c r="C963" t="str">
        <f>_xlfn.XLOOKUP(F963,Products!$A$2:$A$51,Products!$C$2:$C$51,0)</f>
        <v>Merchandise</v>
      </c>
      <c r="D963" t="str">
        <f>_xlfn.XLOOKUP(F963,Products!$A$2:$A$51,Products!$B$2:$B$51,0)</f>
        <v>Branded Ceramic Mug (Large)</v>
      </c>
      <c r="E963" t="str">
        <f>_xlfn.XLOOKUP(B963,customers!$A$2:$A$195,customers!$B$2:$B$195,,0)</f>
        <v>North</v>
      </c>
      <c r="F963">
        <v>1041</v>
      </c>
      <c r="G963" s="9">
        <f>_xlfn.XLOOKUP(B963,customers!$A$1:$A$195,customers!$C$1:$C$195)</f>
        <v>45090</v>
      </c>
      <c r="H963" s="13" t="s">
        <v>1356</v>
      </c>
      <c r="I963">
        <v>2</v>
      </c>
      <c r="J963">
        <v>86.4</v>
      </c>
      <c r="K963">
        <v>62.22</v>
      </c>
      <c r="L963">
        <f>_xlfn.XLOOKUP(F963,Products!$A$2:$A$51,Products!$D$2:$D$51,0)</f>
        <v>43.2</v>
      </c>
      <c r="M963">
        <f t="shared" ref="M963:M1026" si="15">J963-K963</f>
        <v>24.18</v>
      </c>
    </row>
    <row r="964" spans="1:13">
      <c r="A964" t="s">
        <v>1359</v>
      </c>
      <c r="B964" t="s">
        <v>162</v>
      </c>
      <c r="C964" t="str">
        <f>_xlfn.XLOOKUP(F964,Products!$A$2:$A$51,Products!$C$2:$C$51,0)</f>
        <v>Accessories</v>
      </c>
      <c r="D964" t="str">
        <f>_xlfn.XLOOKUP(F964,Products!$A$2:$A$51,Products!$B$2:$B$51,0)</f>
        <v>Chemex Filters (100 pack)</v>
      </c>
      <c r="E964" t="str">
        <f>_xlfn.XLOOKUP(B964,customers!$A$2:$A$195,customers!$B$2:$B$195,,0)</f>
        <v>East</v>
      </c>
      <c r="F964">
        <v>1014</v>
      </c>
      <c r="G964" s="9">
        <f>_xlfn.XLOOKUP(B964,customers!$A$1:$A$195,customers!$C$1:$C$195)</f>
        <v>45262</v>
      </c>
      <c r="H964" s="13" t="s">
        <v>1356</v>
      </c>
      <c r="I964">
        <v>3</v>
      </c>
      <c r="J964">
        <v>72.3</v>
      </c>
      <c r="K964">
        <v>63.62</v>
      </c>
      <c r="L964">
        <f>_xlfn.XLOOKUP(F964,Products!$A$2:$A$51,Products!$D$2:$D$51,0)</f>
        <v>24.1</v>
      </c>
      <c r="M964">
        <f t="shared" si="15"/>
        <v>8.68</v>
      </c>
    </row>
    <row r="965" spans="1:13">
      <c r="A965" t="s">
        <v>1360</v>
      </c>
      <c r="B965" t="s">
        <v>199</v>
      </c>
      <c r="C965" t="str">
        <f>_xlfn.XLOOKUP(F965,Products!$A$2:$A$51,Products!$C$2:$C$51,0)</f>
        <v>Merchandise</v>
      </c>
      <c r="D965" t="str">
        <f>_xlfn.XLOOKUP(F965,Products!$A$2:$A$51,Products!$B$2:$B$51,0)</f>
        <v>Insulated Travel Tumbler</v>
      </c>
      <c r="E965" t="str">
        <f>_xlfn.XLOOKUP(B965,customers!$A$2:$A$195,customers!$B$2:$B$195,,0)</f>
        <v>South</v>
      </c>
      <c r="F965">
        <v>1043</v>
      </c>
      <c r="G965" s="9">
        <f>_xlfn.XLOOKUP(B965,customers!$A$1:$A$195,customers!$C$1:$C$195)</f>
        <v>45252</v>
      </c>
      <c r="H965" s="13" t="s">
        <v>1356</v>
      </c>
      <c r="I965">
        <v>4</v>
      </c>
      <c r="J965">
        <v>173.12</v>
      </c>
      <c r="K965">
        <v>83.29</v>
      </c>
      <c r="L965">
        <f>_xlfn.XLOOKUP(F965,Products!$A$2:$A$51,Products!$D$2:$D$51,0)</f>
        <v>43.28</v>
      </c>
      <c r="M965">
        <f t="shared" si="15"/>
        <v>89.83</v>
      </c>
    </row>
    <row r="966" spans="1:13">
      <c r="A966" t="s">
        <v>1361</v>
      </c>
      <c r="B966" t="s">
        <v>94</v>
      </c>
      <c r="C966" t="str">
        <f>_xlfn.XLOOKUP(F966,Products!$A$2:$A$51,Products!$C$2:$C$51,0)</f>
        <v>Consumables</v>
      </c>
      <c r="D966" t="str">
        <f>_xlfn.XLOOKUP(F966,Products!$A$2:$A$51,Products!$B$2:$B$51,0)</f>
        <v>Seasonal Blend Light Roast</v>
      </c>
      <c r="E966" t="str">
        <f>_xlfn.XLOOKUP(B966,customers!$A$2:$A$195,customers!$B$2:$B$195,,0)</f>
        <v>East</v>
      </c>
      <c r="F966">
        <v>1002</v>
      </c>
      <c r="G966" s="9">
        <f>_xlfn.XLOOKUP(B966,customers!$A$1:$A$195,customers!$C$1:$C$195)</f>
        <v>44956</v>
      </c>
      <c r="H966" s="13" t="s">
        <v>1362</v>
      </c>
      <c r="I966">
        <v>3</v>
      </c>
      <c r="J966">
        <v>106.59</v>
      </c>
      <c r="K966">
        <v>17.79</v>
      </c>
      <c r="L966">
        <f>_xlfn.XLOOKUP(F966,Products!$A$2:$A$51,Products!$D$2:$D$51,0)</f>
        <v>35.53</v>
      </c>
      <c r="M966">
        <f t="shared" si="15"/>
        <v>88.8</v>
      </c>
    </row>
    <row r="967" spans="1:13">
      <c r="A967" t="s">
        <v>1363</v>
      </c>
      <c r="B967" t="s">
        <v>108</v>
      </c>
      <c r="C967" t="str">
        <f>_xlfn.XLOOKUP(F967,Products!$A$2:$A$51,Products!$C$2:$C$51,0)</f>
        <v>Accessories</v>
      </c>
      <c r="D967" t="str">
        <f>_xlfn.XLOOKUP(F967,Products!$A$2:$A$51,Products!$B$2:$B$51,0)</f>
        <v>Refillable Coffee Pods</v>
      </c>
      <c r="E967" t="str">
        <f>_xlfn.XLOOKUP(B967,customers!$A$2:$A$195,customers!$B$2:$B$195,,0)</f>
        <v>East</v>
      </c>
      <c r="F967">
        <v>1040</v>
      </c>
      <c r="G967" s="9">
        <f>_xlfn.XLOOKUP(B967,customers!$A$1:$A$195,customers!$C$1:$C$195)</f>
        <v>45194</v>
      </c>
      <c r="H967" s="13" t="s">
        <v>1362</v>
      </c>
      <c r="I967">
        <v>3</v>
      </c>
      <c r="J967">
        <v>72.39</v>
      </c>
      <c r="K967">
        <v>27.88</v>
      </c>
      <c r="L967">
        <f>_xlfn.XLOOKUP(F967,Products!$A$2:$A$51,Products!$D$2:$D$51,0)</f>
        <v>24.13</v>
      </c>
      <c r="M967">
        <f t="shared" si="15"/>
        <v>44.51</v>
      </c>
    </row>
    <row r="968" spans="1:13">
      <c r="A968" t="s">
        <v>1364</v>
      </c>
      <c r="B968" t="s">
        <v>173</v>
      </c>
      <c r="C968" t="str">
        <f>_xlfn.XLOOKUP(F968,Products!$A$2:$A$51,Products!$C$2:$C$51,0)</f>
        <v>Subscriptions</v>
      </c>
      <c r="D968" t="str">
        <f>_xlfn.XLOOKUP(F968,Products!$A$2:$A$51,Products!$B$2:$B$51,0)</f>
        <v>Bi-Weekly Sampler Box</v>
      </c>
      <c r="E968" t="str">
        <f>_xlfn.XLOOKUP(B968,customers!$A$2:$A$195,customers!$B$2:$B$195,,0)</f>
        <v>West</v>
      </c>
      <c r="F968">
        <v>1022</v>
      </c>
      <c r="G968" s="9">
        <f>_xlfn.XLOOKUP(B968,customers!$A$1:$A$195,customers!$C$1:$C$195)</f>
        <v>45084</v>
      </c>
      <c r="H968" s="13" t="s">
        <v>1362</v>
      </c>
      <c r="I968">
        <v>2</v>
      </c>
      <c r="J968">
        <v>177.54</v>
      </c>
      <c r="K968">
        <v>47.72</v>
      </c>
      <c r="L968">
        <f>_xlfn.XLOOKUP(F968,Products!$A$2:$A$51,Products!$D$2:$D$51,0)</f>
        <v>88.77</v>
      </c>
      <c r="M968">
        <f t="shared" si="15"/>
        <v>129.82</v>
      </c>
    </row>
    <row r="969" spans="1:13">
      <c r="A969" t="s">
        <v>1365</v>
      </c>
      <c r="B969" t="s">
        <v>184</v>
      </c>
      <c r="C969" t="str">
        <f>_xlfn.XLOOKUP(F969,Products!$A$2:$A$51,Products!$C$2:$C$51,0)</f>
        <v>Accessories</v>
      </c>
      <c r="D969" t="str">
        <f>_xlfn.XLOOKUP(F969,Products!$A$2:$A$51,Products!$B$2:$B$51,0)</f>
        <v>Chemex Filters (100 pack)</v>
      </c>
      <c r="E969" t="str">
        <f>_xlfn.XLOOKUP(B969,customers!$A$2:$A$195,customers!$B$2:$B$195,,0)</f>
        <v>East</v>
      </c>
      <c r="F969">
        <v>1014</v>
      </c>
      <c r="G969" s="9">
        <f>_xlfn.XLOOKUP(B969,customers!$A$1:$A$195,customers!$C$1:$C$195)</f>
        <v>45239</v>
      </c>
      <c r="H969" s="13" t="s">
        <v>1362</v>
      </c>
      <c r="I969">
        <v>4</v>
      </c>
      <c r="J969">
        <v>96.4</v>
      </c>
      <c r="K969">
        <v>84.83</v>
      </c>
      <c r="L969">
        <f>_xlfn.XLOOKUP(F969,Products!$A$2:$A$51,Products!$D$2:$D$51,0)</f>
        <v>24.1</v>
      </c>
      <c r="M969">
        <f t="shared" si="15"/>
        <v>11.57</v>
      </c>
    </row>
    <row r="970" spans="1:13">
      <c r="A970" t="s">
        <v>1366</v>
      </c>
      <c r="B970" t="s">
        <v>199</v>
      </c>
      <c r="C970" t="str">
        <f>_xlfn.XLOOKUP(F970,Products!$A$2:$A$51,Products!$C$2:$C$51,0)</f>
        <v>Merchandise</v>
      </c>
      <c r="D970" t="str">
        <f>_xlfn.XLOOKUP(F970,Products!$A$2:$A$51,Products!$B$2:$B$51,0)</f>
        <v>Minimalist Keychain</v>
      </c>
      <c r="E970" t="str">
        <f>_xlfn.XLOOKUP(B970,customers!$A$2:$A$195,customers!$B$2:$B$195,,0)</f>
        <v>South</v>
      </c>
      <c r="F970">
        <v>1020</v>
      </c>
      <c r="G970" s="9">
        <f>_xlfn.XLOOKUP(B970,customers!$A$1:$A$195,customers!$C$1:$C$195)</f>
        <v>45252</v>
      </c>
      <c r="H970" s="13" t="s">
        <v>1362</v>
      </c>
      <c r="I970">
        <v>2</v>
      </c>
      <c r="J970">
        <v>54.74</v>
      </c>
      <c r="K970">
        <v>48.18</v>
      </c>
      <c r="L970">
        <f>_xlfn.XLOOKUP(F970,Products!$A$2:$A$51,Products!$D$2:$D$51,0)</f>
        <v>27.37</v>
      </c>
      <c r="M970">
        <f t="shared" si="15"/>
        <v>6.56</v>
      </c>
    </row>
    <row r="971" spans="1:13">
      <c r="A971" t="s">
        <v>1367</v>
      </c>
      <c r="B971" t="s">
        <v>73</v>
      </c>
      <c r="C971" t="str">
        <f>_xlfn.XLOOKUP(F971,Products!$A$2:$A$51,Products!$C$2:$C$51,0)</f>
        <v>Grinders &amp; Brewers</v>
      </c>
      <c r="D971" t="str">
        <f>_xlfn.XLOOKUP(F971,Products!$A$2:$A$51,Products!$B$2:$B$51,0)</f>
        <v>Hand Grinder (Travel Size)</v>
      </c>
      <c r="E971" t="str">
        <f>_xlfn.XLOOKUP(B971,customers!$A$2:$A$195,customers!$B$2:$B$195,,0)</f>
        <v>West</v>
      </c>
      <c r="F971">
        <v>1007</v>
      </c>
      <c r="G971" s="9">
        <f>_xlfn.XLOOKUP(B971,customers!$A$1:$A$195,customers!$C$1:$C$195)</f>
        <v>45053</v>
      </c>
      <c r="H971" s="13" t="s">
        <v>1368</v>
      </c>
      <c r="I971">
        <v>3</v>
      </c>
      <c r="J971">
        <v>764.16</v>
      </c>
      <c r="K971">
        <v>390.85</v>
      </c>
      <c r="L971">
        <f>_xlfn.XLOOKUP(F971,Products!$A$2:$A$51,Products!$D$2:$D$51,0)</f>
        <v>254.72</v>
      </c>
      <c r="M971">
        <f t="shared" si="15"/>
        <v>373.31</v>
      </c>
    </row>
    <row r="972" spans="1:13">
      <c r="A972" t="s">
        <v>1369</v>
      </c>
      <c r="B972" t="s">
        <v>36</v>
      </c>
      <c r="C972" t="str">
        <f>_xlfn.XLOOKUP(F972,Products!$A$2:$A$51,Products!$C$2:$C$51,0)</f>
        <v>Accessories</v>
      </c>
      <c r="D972" t="str">
        <f>_xlfn.XLOOKUP(F972,Products!$A$2:$A$51,Products!$B$2:$B$51,0)</f>
        <v>Gooseneck Electric Kettle</v>
      </c>
      <c r="E972" t="str">
        <f>_xlfn.XLOOKUP(B972,customers!$A$2:$A$195,customers!$B$2:$B$195,,0)</f>
        <v>North</v>
      </c>
      <c r="F972">
        <v>1012</v>
      </c>
      <c r="G972" s="9">
        <f>_xlfn.XLOOKUP(B972,customers!$A$1:$A$195,customers!$C$1:$C$195)</f>
        <v>45102</v>
      </c>
      <c r="H972" s="13" t="s">
        <v>1370</v>
      </c>
      <c r="I972">
        <v>3</v>
      </c>
      <c r="J972">
        <v>104.61</v>
      </c>
      <c r="K972">
        <v>77.91</v>
      </c>
      <c r="L972">
        <f>_xlfn.XLOOKUP(F972,Products!$A$2:$A$51,Products!$D$2:$D$51,0)</f>
        <v>34.87</v>
      </c>
      <c r="M972">
        <f t="shared" si="15"/>
        <v>26.7</v>
      </c>
    </row>
    <row r="973" spans="1:13">
      <c r="A973" t="s">
        <v>1371</v>
      </c>
      <c r="B973" t="s">
        <v>101</v>
      </c>
      <c r="C973" t="str">
        <f>_xlfn.XLOOKUP(F973,Products!$A$2:$A$51,Products!$C$2:$C$51,0)</f>
        <v>Grinders &amp; Brewers</v>
      </c>
      <c r="D973" t="str">
        <f>_xlfn.XLOOKUP(F973,Products!$A$2:$A$51,Products!$B$2:$B$51,0)</f>
        <v>Pour-Over Starter Kit</v>
      </c>
      <c r="E973" t="str">
        <f>_xlfn.XLOOKUP(B973,customers!$A$2:$A$195,customers!$B$2:$B$195,,0)</f>
        <v>North</v>
      </c>
      <c r="F973">
        <v>1035</v>
      </c>
      <c r="G973" s="9">
        <f>_xlfn.XLOOKUP(B973,customers!$A$1:$A$195,customers!$C$1:$C$195)</f>
        <v>45160</v>
      </c>
      <c r="H973" s="13" t="s">
        <v>1370</v>
      </c>
      <c r="I973">
        <v>2</v>
      </c>
      <c r="J973">
        <v>210.46</v>
      </c>
      <c r="K973">
        <v>149.49</v>
      </c>
      <c r="L973">
        <f>_xlfn.XLOOKUP(F973,Products!$A$2:$A$51,Products!$D$2:$D$51,0)</f>
        <v>105.23</v>
      </c>
      <c r="M973">
        <f t="shared" si="15"/>
        <v>60.97</v>
      </c>
    </row>
    <row r="974" spans="1:13">
      <c r="A974" t="s">
        <v>1372</v>
      </c>
      <c r="B974" t="s">
        <v>34</v>
      </c>
      <c r="C974" t="str">
        <f>_xlfn.XLOOKUP(F974,Products!$A$2:$A$51,Products!$C$2:$C$51,0)</f>
        <v>Merchandise</v>
      </c>
      <c r="D974" t="str">
        <f>_xlfn.XLOOKUP(F974,Products!$A$2:$A$51,Products!$B$2:$B$51,0)</f>
        <v>Insulated Travel Tumbler</v>
      </c>
      <c r="E974" t="str">
        <f>_xlfn.XLOOKUP(B974,customers!$A$2:$A$195,customers!$B$2:$B$195,,0)</f>
        <v>West</v>
      </c>
      <c r="F974">
        <v>1018</v>
      </c>
      <c r="G974" s="9">
        <f>_xlfn.XLOOKUP(B974,customers!$A$1:$A$195,customers!$C$1:$C$195)</f>
        <v>45028</v>
      </c>
      <c r="H974" s="13" t="s">
        <v>1373</v>
      </c>
      <c r="I974">
        <v>1</v>
      </c>
      <c r="J974">
        <v>43.28</v>
      </c>
      <c r="K974">
        <v>20.82</v>
      </c>
      <c r="L974">
        <f>_xlfn.XLOOKUP(F974,Products!$A$2:$A$51,Products!$D$2:$D$51,0)</f>
        <v>43.28</v>
      </c>
      <c r="M974">
        <f t="shared" si="15"/>
        <v>22.46</v>
      </c>
    </row>
    <row r="975" spans="1:13">
      <c r="A975" t="s">
        <v>1374</v>
      </c>
      <c r="B975" t="s">
        <v>39</v>
      </c>
      <c r="C975" t="str">
        <f>_xlfn.XLOOKUP(F975,Products!$A$2:$A$51,Products!$C$2:$C$51,0)</f>
        <v>Consumables</v>
      </c>
      <c r="D975" t="str">
        <f>_xlfn.XLOOKUP(F975,Products!$A$2:$A$51,Products!$B$2:$B$51,0)</f>
        <v>Cold Brew Concentrate</v>
      </c>
      <c r="E975" t="str">
        <f>_xlfn.XLOOKUP(B975,customers!$A$2:$A$195,customers!$B$2:$B$195,,0)</f>
        <v>North</v>
      </c>
      <c r="F975">
        <v>1004</v>
      </c>
      <c r="G975" s="9">
        <f>_xlfn.XLOOKUP(B975,customers!$A$1:$A$195,customers!$C$1:$C$195)</f>
        <v>45037</v>
      </c>
      <c r="H975" s="13" t="s">
        <v>1373</v>
      </c>
      <c r="I975">
        <v>4</v>
      </c>
      <c r="J975">
        <v>93.96</v>
      </c>
      <c r="K975">
        <v>40.35</v>
      </c>
      <c r="L975">
        <f>_xlfn.XLOOKUP(F975,Products!$A$2:$A$51,Products!$D$2:$D$51,0)</f>
        <v>23.49</v>
      </c>
      <c r="M975">
        <f t="shared" si="15"/>
        <v>53.61</v>
      </c>
    </row>
    <row r="976" spans="1:13">
      <c r="A976" t="s">
        <v>1375</v>
      </c>
      <c r="B976" t="s">
        <v>65</v>
      </c>
      <c r="C976" t="str">
        <f>_xlfn.XLOOKUP(F976,Products!$A$2:$A$51,Products!$C$2:$C$51,0)</f>
        <v>Subscriptions</v>
      </c>
      <c r="D976" t="str">
        <f>_xlfn.XLOOKUP(F976,Products!$A$2:$A$51,Products!$B$2:$B$51,0)</f>
        <v>Monthly Dark Roast Subscription</v>
      </c>
      <c r="E976" t="str">
        <f>_xlfn.XLOOKUP(B976,customers!$A$2:$A$195,customers!$B$2:$B$195,,0)</f>
        <v>West</v>
      </c>
      <c r="F976">
        <v>1046</v>
      </c>
      <c r="G976" s="9">
        <f>_xlfn.XLOOKUP(B976,customers!$A$1:$A$195,customers!$C$1:$C$195)</f>
        <v>44939</v>
      </c>
      <c r="H976" s="13" t="s">
        <v>1373</v>
      </c>
      <c r="I976">
        <v>3</v>
      </c>
      <c r="J976">
        <v>183.78</v>
      </c>
      <c r="K976">
        <v>105.44</v>
      </c>
      <c r="L976">
        <f>_xlfn.XLOOKUP(F976,Products!$A$2:$A$51,Products!$D$2:$D$51,0)</f>
        <v>61.26</v>
      </c>
      <c r="M976">
        <f t="shared" si="15"/>
        <v>78.34</v>
      </c>
    </row>
    <row r="977" spans="1:13">
      <c r="A977" t="s">
        <v>1376</v>
      </c>
      <c r="B977" t="s">
        <v>134</v>
      </c>
      <c r="C977" t="str">
        <f>_xlfn.XLOOKUP(F977,Products!$A$2:$A$51,Products!$C$2:$C$51,0)</f>
        <v>Subscriptions</v>
      </c>
      <c r="D977" t="str">
        <f>_xlfn.XLOOKUP(F977,Products!$A$2:$A$51,Products!$B$2:$B$51,0)</f>
        <v>Bi-Weekly Sampler Box</v>
      </c>
      <c r="E977" t="str">
        <f>_xlfn.XLOOKUP(B977,customers!$A$2:$A$195,customers!$B$2:$B$195,,0)</f>
        <v>West</v>
      </c>
      <c r="F977">
        <v>1047</v>
      </c>
      <c r="G977" s="9">
        <f>_xlfn.XLOOKUP(B977,customers!$A$1:$A$195,customers!$C$1:$C$195)</f>
        <v>45241</v>
      </c>
      <c r="H977" s="13" t="s">
        <v>1373</v>
      </c>
      <c r="I977">
        <v>1</v>
      </c>
      <c r="J977">
        <v>88.77</v>
      </c>
      <c r="K977">
        <v>23.86</v>
      </c>
      <c r="L977">
        <f>_xlfn.XLOOKUP(F977,Products!$A$2:$A$51,Products!$D$2:$D$51,0)</f>
        <v>88.77</v>
      </c>
      <c r="M977">
        <f t="shared" si="15"/>
        <v>64.91</v>
      </c>
    </row>
    <row r="978" spans="1:13">
      <c r="A978" t="s">
        <v>1377</v>
      </c>
      <c r="B978" t="s">
        <v>181</v>
      </c>
      <c r="C978" t="str">
        <f>_xlfn.XLOOKUP(F978,Products!$A$2:$A$51,Products!$C$2:$C$51,0)</f>
        <v>Subscriptions</v>
      </c>
      <c r="D978" t="str">
        <f>_xlfn.XLOOKUP(F978,Products!$A$2:$A$51,Products!$B$2:$B$51,0)</f>
        <v>Subscription Renewal Service</v>
      </c>
      <c r="E978" t="str">
        <f>_xlfn.XLOOKUP(B978,customers!$A$2:$A$195,customers!$B$2:$B$195,,0)</f>
        <v>East</v>
      </c>
      <c r="F978">
        <v>1025</v>
      </c>
      <c r="G978" s="9">
        <f>_xlfn.XLOOKUP(B978,customers!$A$1:$A$195,customers!$C$1:$C$195)</f>
        <v>45125</v>
      </c>
      <c r="H978" s="13" t="s">
        <v>1373</v>
      </c>
      <c r="I978">
        <v>3</v>
      </c>
      <c r="J978">
        <v>220.23</v>
      </c>
      <c r="K978">
        <v>81.87</v>
      </c>
      <c r="L978">
        <f>_xlfn.XLOOKUP(F978,Products!$A$2:$A$51,Products!$D$2:$D$51,0)</f>
        <v>73.41</v>
      </c>
      <c r="M978">
        <f t="shared" si="15"/>
        <v>138.36</v>
      </c>
    </row>
    <row r="979" spans="1:13">
      <c r="A979" t="s">
        <v>1378</v>
      </c>
      <c r="B979" t="s">
        <v>7</v>
      </c>
      <c r="C979" t="str">
        <f>_xlfn.XLOOKUP(F979,Products!$A$2:$A$51,Products!$C$2:$C$51,0)</f>
        <v>Subscriptions</v>
      </c>
      <c r="D979" t="str">
        <f>_xlfn.XLOOKUP(F979,Products!$A$2:$A$51,Products!$B$2:$B$51,0)</f>
        <v>Bi-Weekly Sampler Box</v>
      </c>
      <c r="E979" t="str">
        <f>_xlfn.XLOOKUP(B979,customers!$A$2:$A$195,customers!$B$2:$B$195,,0)</f>
        <v>West</v>
      </c>
      <c r="F979">
        <v>1022</v>
      </c>
      <c r="G979" s="9">
        <f>_xlfn.XLOOKUP(B979,customers!$A$1:$A$195,customers!$C$1:$C$195)</f>
        <v>45177</v>
      </c>
      <c r="H979" s="13" t="s">
        <v>1379</v>
      </c>
      <c r="I979">
        <v>4</v>
      </c>
      <c r="J979">
        <v>355.08</v>
      </c>
      <c r="K979">
        <v>95.44</v>
      </c>
      <c r="L979">
        <f>_xlfn.XLOOKUP(F979,Products!$A$2:$A$51,Products!$D$2:$D$51,0)</f>
        <v>88.77</v>
      </c>
      <c r="M979">
        <f t="shared" si="15"/>
        <v>259.64</v>
      </c>
    </row>
    <row r="980" spans="1:13">
      <c r="A980" t="s">
        <v>1380</v>
      </c>
      <c r="B980" t="s">
        <v>59</v>
      </c>
      <c r="C980" t="str">
        <f>_xlfn.XLOOKUP(F980,Products!$A$2:$A$51,Products!$C$2:$C$51,0)</f>
        <v>Consumables</v>
      </c>
      <c r="D980" t="str">
        <f>_xlfn.XLOOKUP(F980,Products!$A$2:$A$51,Products!$B$2:$B$51,0)</f>
        <v>Espresso Bean Sampler Pack</v>
      </c>
      <c r="E980" t="str">
        <f>_xlfn.XLOOKUP(B980,customers!$A$2:$A$195,customers!$B$2:$B$195,,0)</f>
        <v>East</v>
      </c>
      <c r="F980">
        <v>1030</v>
      </c>
      <c r="G980" s="9">
        <f>_xlfn.XLOOKUP(B980,customers!$A$1:$A$195,customers!$C$1:$C$195)</f>
        <v>45068</v>
      </c>
      <c r="H980" s="13" t="s">
        <v>1379</v>
      </c>
      <c r="I980">
        <v>3</v>
      </c>
      <c r="J980">
        <v>57.18</v>
      </c>
      <c r="K980">
        <v>35.9</v>
      </c>
      <c r="L980">
        <f>_xlfn.XLOOKUP(F980,Products!$A$2:$A$51,Products!$D$2:$D$51,0)</f>
        <v>19.06</v>
      </c>
      <c r="M980">
        <f t="shared" si="15"/>
        <v>21.28</v>
      </c>
    </row>
    <row r="981" spans="1:13">
      <c r="A981" t="s">
        <v>1381</v>
      </c>
      <c r="B981" t="s">
        <v>84</v>
      </c>
      <c r="C981" t="str">
        <f>_xlfn.XLOOKUP(F981,Products!$A$2:$A$51,Products!$C$2:$C$51,0)</f>
        <v>Subscriptions</v>
      </c>
      <c r="D981" t="str">
        <f>_xlfn.XLOOKUP(F981,Products!$A$2:$A$51,Products!$B$2:$B$51,0)</f>
        <v>Three-Month Gift Subscription</v>
      </c>
      <c r="E981" t="str">
        <f>_xlfn.XLOOKUP(B981,customers!$A$2:$A$195,customers!$B$2:$B$195,,0)</f>
        <v>South</v>
      </c>
      <c r="F981">
        <v>1048</v>
      </c>
      <c r="G981" s="9">
        <f>_xlfn.XLOOKUP(B981,customers!$A$1:$A$195,customers!$C$1:$C$195)</f>
        <v>45174</v>
      </c>
      <c r="H981" s="13" t="s">
        <v>1379</v>
      </c>
      <c r="I981">
        <v>4</v>
      </c>
      <c r="J981">
        <v>260.84</v>
      </c>
      <c r="K981">
        <v>110.44</v>
      </c>
      <c r="L981">
        <f>_xlfn.XLOOKUP(F981,Products!$A$2:$A$51,Products!$D$2:$D$51,0)</f>
        <v>65.21</v>
      </c>
      <c r="M981">
        <f t="shared" si="15"/>
        <v>150.4</v>
      </c>
    </row>
    <row r="982" spans="1:13">
      <c r="A982" t="s">
        <v>1382</v>
      </c>
      <c r="B982" t="s">
        <v>146</v>
      </c>
      <c r="C982" t="str">
        <f>_xlfn.XLOOKUP(F982,Products!$A$2:$A$51,Products!$C$2:$C$51,0)</f>
        <v>Subscriptions</v>
      </c>
      <c r="D982" t="str">
        <f>_xlfn.XLOOKUP(F982,Products!$A$2:$A$51,Products!$B$2:$B$51,0)</f>
        <v>Espresso Lovers Quarterly Pack</v>
      </c>
      <c r="E982" t="str">
        <f>_xlfn.XLOOKUP(B982,customers!$A$2:$A$195,customers!$B$2:$B$195,,0)</f>
        <v>East</v>
      </c>
      <c r="F982">
        <v>1049</v>
      </c>
      <c r="G982" s="9">
        <f>_xlfn.XLOOKUP(B982,customers!$A$1:$A$195,customers!$C$1:$C$195)</f>
        <v>44981</v>
      </c>
      <c r="H982" s="13" t="s">
        <v>1379</v>
      </c>
      <c r="I982">
        <v>3</v>
      </c>
      <c r="J982">
        <v>224.61</v>
      </c>
      <c r="K982">
        <v>57.58</v>
      </c>
      <c r="L982">
        <f>_xlfn.XLOOKUP(F982,Products!$A$2:$A$51,Products!$D$2:$D$51,0)</f>
        <v>74.87</v>
      </c>
      <c r="M982">
        <f t="shared" si="15"/>
        <v>167.03</v>
      </c>
    </row>
    <row r="983" spans="1:13">
      <c r="A983" t="s">
        <v>1383</v>
      </c>
      <c r="B983" t="s">
        <v>160</v>
      </c>
      <c r="C983" t="str">
        <f>_xlfn.XLOOKUP(F983,Products!$A$2:$A$51,Products!$C$2:$C$51,0)</f>
        <v>Subscriptions</v>
      </c>
      <c r="D983" t="str">
        <f>_xlfn.XLOOKUP(F983,Products!$A$2:$A$51,Products!$B$2:$B$51,0)</f>
        <v>Monthly Dark Roast Subscription</v>
      </c>
      <c r="E983" t="str">
        <f>_xlfn.XLOOKUP(B983,customers!$A$2:$A$195,customers!$B$2:$B$195,,0)</f>
        <v>East</v>
      </c>
      <c r="F983">
        <v>1021</v>
      </c>
      <c r="G983" s="9">
        <f>_xlfn.XLOOKUP(B983,customers!$A$1:$A$195,customers!$C$1:$C$195)</f>
        <v>45087</v>
      </c>
      <c r="H983" s="13" t="s">
        <v>1379</v>
      </c>
      <c r="I983">
        <v>3</v>
      </c>
      <c r="J983">
        <v>183.78</v>
      </c>
      <c r="K983">
        <v>105.44</v>
      </c>
      <c r="L983">
        <f>_xlfn.XLOOKUP(F983,Products!$A$2:$A$51,Products!$D$2:$D$51,0)</f>
        <v>61.26</v>
      </c>
      <c r="M983">
        <f t="shared" si="15"/>
        <v>78.34</v>
      </c>
    </row>
    <row r="984" spans="1:13">
      <c r="A984" t="s">
        <v>1384</v>
      </c>
      <c r="B984" t="s">
        <v>106</v>
      </c>
      <c r="C984" t="str">
        <f>_xlfn.XLOOKUP(F984,Products!$A$2:$A$51,Products!$C$2:$C$51,0)</f>
        <v>Merchandise</v>
      </c>
      <c r="D984" t="str">
        <f>_xlfn.XLOOKUP(F984,Products!$A$2:$A$51,Products!$B$2:$B$51,0)</f>
        <v>Insulated Travel Tumbler</v>
      </c>
      <c r="E984" t="str">
        <f>_xlfn.XLOOKUP(B984,customers!$A$2:$A$195,customers!$B$2:$B$195,,0)</f>
        <v>East</v>
      </c>
      <c r="F984">
        <v>1018</v>
      </c>
      <c r="G984" s="9">
        <f>_xlfn.XLOOKUP(B984,customers!$A$1:$A$195,customers!$C$1:$C$195)</f>
        <v>45055</v>
      </c>
      <c r="H984" s="13" t="s">
        <v>1385</v>
      </c>
      <c r="I984">
        <v>3</v>
      </c>
      <c r="J984">
        <v>129.84</v>
      </c>
      <c r="K984">
        <v>62.47</v>
      </c>
      <c r="L984">
        <f>_xlfn.XLOOKUP(F984,Products!$A$2:$A$51,Products!$D$2:$D$51,0)</f>
        <v>43.28</v>
      </c>
      <c r="M984">
        <f t="shared" si="15"/>
        <v>67.37</v>
      </c>
    </row>
    <row r="985" spans="1:13">
      <c r="A985" t="s">
        <v>1386</v>
      </c>
      <c r="B985" t="s">
        <v>149</v>
      </c>
      <c r="C985" t="str">
        <f>_xlfn.XLOOKUP(F985,Products!$A$2:$A$51,Products!$C$2:$C$51,0)</f>
        <v>Accessories</v>
      </c>
      <c r="D985" t="str">
        <f>_xlfn.XLOOKUP(F985,Products!$A$2:$A$51,Products!$B$2:$B$51,0)</f>
        <v>Chemex Filters (100 pack)</v>
      </c>
      <c r="E985" t="str">
        <f>_xlfn.XLOOKUP(B985,customers!$A$2:$A$195,customers!$B$2:$B$195,,0)</f>
        <v>South</v>
      </c>
      <c r="F985">
        <v>1014</v>
      </c>
      <c r="G985" s="9">
        <f>_xlfn.XLOOKUP(B985,customers!$A$1:$A$195,customers!$C$1:$C$195)</f>
        <v>45054</v>
      </c>
      <c r="H985" s="13" t="s">
        <v>1385</v>
      </c>
      <c r="I985">
        <v>3</v>
      </c>
      <c r="J985">
        <v>72.3</v>
      </c>
      <c r="K985">
        <v>63.62</v>
      </c>
      <c r="L985">
        <f>_xlfn.XLOOKUP(F985,Products!$A$2:$A$51,Products!$D$2:$D$51,0)</f>
        <v>24.1</v>
      </c>
      <c r="M985">
        <f t="shared" si="15"/>
        <v>8.68</v>
      </c>
    </row>
    <row r="986" spans="1:13">
      <c r="A986" t="s">
        <v>1387</v>
      </c>
      <c r="B986" t="s">
        <v>194</v>
      </c>
      <c r="C986" t="str">
        <f>_xlfn.XLOOKUP(F986,Products!$A$2:$A$51,Products!$C$2:$C$51,0)</f>
        <v>Subscriptions</v>
      </c>
      <c r="D986" t="str">
        <f>_xlfn.XLOOKUP(F986,Products!$A$2:$A$51,Products!$B$2:$B$51,0)</f>
        <v>Bi-Weekly Sampler Box</v>
      </c>
      <c r="E986" t="str">
        <f>_xlfn.XLOOKUP(B986,customers!$A$2:$A$195,customers!$B$2:$B$195,,0)</f>
        <v>North</v>
      </c>
      <c r="F986">
        <v>1047</v>
      </c>
      <c r="G986" s="9">
        <f>_xlfn.XLOOKUP(B986,customers!$A$1:$A$195,customers!$C$1:$C$195)</f>
        <v>45096</v>
      </c>
      <c r="H986" s="13" t="s">
        <v>1385</v>
      </c>
      <c r="I986">
        <v>4</v>
      </c>
      <c r="J986">
        <v>355.08</v>
      </c>
      <c r="K986">
        <v>95.44</v>
      </c>
      <c r="L986">
        <f>_xlfn.XLOOKUP(F986,Products!$A$2:$A$51,Products!$D$2:$D$51,0)</f>
        <v>88.77</v>
      </c>
      <c r="M986">
        <f t="shared" si="15"/>
        <v>259.64</v>
      </c>
    </row>
    <row r="987" spans="1:13">
      <c r="A987" t="s">
        <v>1388</v>
      </c>
      <c r="B987" t="s">
        <v>129</v>
      </c>
      <c r="C987" t="str">
        <f>_xlfn.XLOOKUP(F987,Products!$A$2:$A$51,Products!$C$2:$C$51,0)</f>
        <v>Accessories</v>
      </c>
      <c r="D987" t="str">
        <f>_xlfn.XLOOKUP(F987,Products!$A$2:$A$51,Products!$B$2:$B$51,0)</f>
        <v>Refillable Coffee Pods</v>
      </c>
      <c r="E987" t="str">
        <f>_xlfn.XLOOKUP(B987,customers!$A$2:$A$195,customers!$B$2:$B$195,,0)</f>
        <v>East</v>
      </c>
      <c r="F987">
        <v>1040</v>
      </c>
      <c r="G987" s="9">
        <f>_xlfn.XLOOKUP(B987,customers!$A$1:$A$195,customers!$C$1:$C$195)</f>
        <v>45151</v>
      </c>
      <c r="H987" s="13" t="s">
        <v>1389</v>
      </c>
      <c r="I987">
        <v>1</v>
      </c>
      <c r="J987">
        <v>24.13</v>
      </c>
      <c r="K987">
        <v>9.3</v>
      </c>
      <c r="L987">
        <f>_xlfn.XLOOKUP(F987,Products!$A$2:$A$51,Products!$D$2:$D$51,0)</f>
        <v>24.13</v>
      </c>
      <c r="M987">
        <f t="shared" si="15"/>
        <v>14.83</v>
      </c>
    </row>
    <row r="988" spans="1:13">
      <c r="A988" t="s">
        <v>1390</v>
      </c>
      <c r="B988" t="s">
        <v>13</v>
      </c>
      <c r="C988" t="str">
        <f>_xlfn.XLOOKUP(F988,Products!$A$2:$A$51,Products!$C$2:$C$51,0)</f>
        <v>Accessories</v>
      </c>
      <c r="D988" t="str">
        <f>_xlfn.XLOOKUP(F988,Products!$A$2:$A$51,Products!$B$2:$B$51,0)</f>
        <v>Airtight Storage Container</v>
      </c>
      <c r="E988" t="str">
        <f>_xlfn.XLOOKUP(B988,customers!$A$2:$A$195,customers!$B$2:$B$195,,0)</f>
        <v>East</v>
      </c>
      <c r="F988">
        <v>1038</v>
      </c>
      <c r="G988" s="9">
        <f>_xlfn.XLOOKUP(B988,customers!$A$1:$A$195,customers!$C$1:$C$195)</f>
        <v>45214</v>
      </c>
      <c r="H988" s="13" t="s">
        <v>1391</v>
      </c>
      <c r="I988">
        <v>1</v>
      </c>
      <c r="J988">
        <v>61.04</v>
      </c>
      <c r="K988">
        <v>25.71</v>
      </c>
      <c r="L988">
        <f>_xlfn.XLOOKUP(F988,Products!$A$2:$A$51,Products!$D$2:$D$51,0)</f>
        <v>61.04</v>
      </c>
      <c r="M988">
        <f t="shared" si="15"/>
        <v>35.33</v>
      </c>
    </row>
    <row r="989" spans="1:13">
      <c r="A989" t="s">
        <v>1392</v>
      </c>
      <c r="B989" t="s">
        <v>21</v>
      </c>
      <c r="C989" t="str">
        <f>_xlfn.XLOOKUP(F989,Products!$A$2:$A$51,Products!$C$2:$C$51,0)</f>
        <v>Grinders &amp; Brewers</v>
      </c>
      <c r="D989" t="str">
        <f>_xlfn.XLOOKUP(F989,Products!$A$2:$A$51,Products!$B$2:$B$51,0)</f>
        <v>Precision Electric Grinder</v>
      </c>
      <c r="E989" t="str">
        <f>_xlfn.XLOOKUP(B989,customers!$A$2:$A$195,customers!$B$2:$B$195,,0)</f>
        <v>East</v>
      </c>
      <c r="F989">
        <v>1031</v>
      </c>
      <c r="G989" s="9">
        <f>_xlfn.XLOOKUP(B989,customers!$A$1:$A$195,customers!$C$1:$C$195)</f>
        <v>45046</v>
      </c>
      <c r="H989" s="13" t="s">
        <v>1391</v>
      </c>
      <c r="I989">
        <v>4</v>
      </c>
      <c r="J989">
        <v>928.8</v>
      </c>
      <c r="K989">
        <v>313.54</v>
      </c>
      <c r="L989">
        <f>_xlfn.XLOOKUP(F989,Products!$A$2:$A$51,Products!$D$2:$D$51,0)</f>
        <v>232.2</v>
      </c>
      <c r="M989">
        <f t="shared" si="15"/>
        <v>615.26</v>
      </c>
    </row>
    <row r="990" spans="1:13">
      <c r="A990" t="s">
        <v>1393</v>
      </c>
      <c r="B990" t="s">
        <v>83</v>
      </c>
      <c r="C990" t="str">
        <f>_xlfn.XLOOKUP(F990,Products!$A$2:$A$51,Products!$C$2:$C$51,0)</f>
        <v>Subscriptions</v>
      </c>
      <c r="D990" t="str">
        <f>_xlfn.XLOOKUP(F990,Products!$A$2:$A$51,Products!$B$2:$B$51,0)</f>
        <v>Bi-Weekly Sampler Box</v>
      </c>
      <c r="E990" t="str">
        <f>_xlfn.XLOOKUP(B990,customers!$A$2:$A$195,customers!$B$2:$B$195,,0)</f>
        <v>West</v>
      </c>
      <c r="F990">
        <v>1047</v>
      </c>
      <c r="G990" s="9">
        <f>_xlfn.XLOOKUP(B990,customers!$A$1:$A$195,customers!$C$1:$C$195)</f>
        <v>45277</v>
      </c>
      <c r="H990" s="13" t="s">
        <v>1394</v>
      </c>
      <c r="I990">
        <v>1</v>
      </c>
      <c r="J990">
        <v>88.77</v>
      </c>
      <c r="K990">
        <v>23.86</v>
      </c>
      <c r="L990">
        <f>_xlfn.XLOOKUP(F990,Products!$A$2:$A$51,Products!$D$2:$D$51,0)</f>
        <v>88.77</v>
      </c>
      <c r="M990">
        <f t="shared" si="15"/>
        <v>64.91</v>
      </c>
    </row>
    <row r="991" spans="1:13">
      <c r="A991" t="s">
        <v>1395</v>
      </c>
      <c r="B991" t="s">
        <v>84</v>
      </c>
      <c r="C991" t="str">
        <f>_xlfn.XLOOKUP(F991,Products!$A$2:$A$51,Products!$C$2:$C$51,0)</f>
        <v>Merchandise</v>
      </c>
      <c r="D991" t="str">
        <f>_xlfn.XLOOKUP(F991,Products!$A$2:$A$51,Products!$B$2:$B$51,0)</f>
        <v>Branded Ceramic Mug (Large)</v>
      </c>
      <c r="E991" t="str">
        <f>_xlfn.XLOOKUP(B991,customers!$A$2:$A$195,customers!$B$2:$B$195,,0)</f>
        <v>South</v>
      </c>
      <c r="F991">
        <v>1041</v>
      </c>
      <c r="G991" s="9">
        <f>_xlfn.XLOOKUP(B991,customers!$A$1:$A$195,customers!$C$1:$C$195)</f>
        <v>45174</v>
      </c>
      <c r="H991" s="13" t="s">
        <v>1394</v>
      </c>
      <c r="I991">
        <v>3</v>
      </c>
      <c r="J991">
        <v>129.6</v>
      </c>
      <c r="K991">
        <v>93.32</v>
      </c>
      <c r="L991">
        <f>_xlfn.XLOOKUP(F991,Products!$A$2:$A$51,Products!$D$2:$D$51,0)</f>
        <v>43.2</v>
      </c>
      <c r="M991">
        <f t="shared" si="15"/>
        <v>36.28</v>
      </c>
    </row>
    <row r="992" spans="1:13">
      <c r="A992" t="s">
        <v>1396</v>
      </c>
      <c r="B992" t="s">
        <v>184</v>
      </c>
      <c r="C992" t="str">
        <f>_xlfn.XLOOKUP(F992,Products!$A$2:$A$51,Products!$C$2:$C$51,0)</f>
        <v>Grinders &amp; Brewers</v>
      </c>
      <c r="D992" t="str">
        <f>_xlfn.XLOOKUP(F992,Products!$A$2:$A$51,Products!$B$2:$B$51,0)</f>
        <v>Pour-Over Starter Kit</v>
      </c>
      <c r="E992" t="str">
        <f>_xlfn.XLOOKUP(B992,customers!$A$2:$A$195,customers!$B$2:$B$195,,0)</f>
        <v>East</v>
      </c>
      <c r="F992">
        <v>1010</v>
      </c>
      <c r="G992" s="9">
        <f>_xlfn.XLOOKUP(B992,customers!$A$1:$A$195,customers!$C$1:$C$195)</f>
        <v>45239</v>
      </c>
      <c r="H992" s="13" t="s">
        <v>1394</v>
      </c>
      <c r="I992">
        <v>2</v>
      </c>
      <c r="J992">
        <v>210.46</v>
      </c>
      <c r="K992">
        <v>149.49</v>
      </c>
      <c r="L992">
        <f>_xlfn.XLOOKUP(F992,Products!$A$2:$A$51,Products!$D$2:$D$51,0)</f>
        <v>105.23</v>
      </c>
      <c r="M992">
        <f t="shared" si="15"/>
        <v>60.97</v>
      </c>
    </row>
    <row r="993" spans="1:13">
      <c r="A993" t="s">
        <v>1397</v>
      </c>
      <c r="B993" t="s">
        <v>95</v>
      </c>
      <c r="C993" t="str">
        <f>_xlfn.XLOOKUP(F993,Products!$A$2:$A$51,Products!$C$2:$C$51,0)</f>
        <v>Accessories</v>
      </c>
      <c r="D993" t="str">
        <f>_xlfn.XLOOKUP(F993,Products!$A$2:$A$51,Products!$B$2:$B$51,0)</f>
        <v>Airtight Storage Container</v>
      </c>
      <c r="E993" t="str">
        <f>_xlfn.XLOOKUP(B993,customers!$A$2:$A$195,customers!$B$2:$B$195,,0)</f>
        <v>West</v>
      </c>
      <c r="F993">
        <v>1013</v>
      </c>
      <c r="G993" s="9">
        <f>_xlfn.XLOOKUP(B993,customers!$A$1:$A$195,customers!$C$1:$C$195)</f>
        <v>44941</v>
      </c>
      <c r="H993" s="13" t="s">
        <v>1398</v>
      </c>
      <c r="I993">
        <v>4</v>
      </c>
      <c r="J993">
        <v>244.16</v>
      </c>
      <c r="K993">
        <v>102.83</v>
      </c>
      <c r="L993">
        <f>_xlfn.XLOOKUP(F993,Products!$A$2:$A$51,Products!$D$2:$D$51,0)</f>
        <v>61.04</v>
      </c>
      <c r="M993">
        <f t="shared" si="15"/>
        <v>141.33</v>
      </c>
    </row>
    <row r="994" spans="1:13">
      <c r="A994" t="s">
        <v>1399</v>
      </c>
      <c r="B994" t="s">
        <v>99</v>
      </c>
      <c r="C994" t="str">
        <f>_xlfn.XLOOKUP(F994,Products!$A$2:$A$51,Products!$C$2:$C$51,0)</f>
        <v>Consumables</v>
      </c>
      <c r="D994" t="str">
        <f>_xlfn.XLOOKUP(F994,Products!$A$2:$A$51,Products!$B$2:$B$51,0)</f>
        <v>Cold Brew Concentrate</v>
      </c>
      <c r="E994" t="str">
        <f>_xlfn.XLOOKUP(B994,customers!$A$2:$A$195,customers!$B$2:$B$195,,0)</f>
        <v>West</v>
      </c>
      <c r="F994">
        <v>1029</v>
      </c>
      <c r="G994" s="9">
        <f>_xlfn.XLOOKUP(B994,customers!$A$1:$A$195,customers!$C$1:$C$195)</f>
        <v>45052</v>
      </c>
      <c r="H994" s="13" t="s">
        <v>1398</v>
      </c>
      <c r="I994">
        <v>2</v>
      </c>
      <c r="J994">
        <v>46.98</v>
      </c>
      <c r="K994">
        <v>20.17</v>
      </c>
      <c r="L994">
        <f>_xlfn.XLOOKUP(F994,Products!$A$2:$A$51,Products!$D$2:$D$51,0)</f>
        <v>23.49</v>
      </c>
      <c r="M994">
        <f t="shared" si="15"/>
        <v>26.81</v>
      </c>
    </row>
    <row r="995" spans="1:13">
      <c r="A995" t="s">
        <v>1400</v>
      </c>
      <c r="B995" t="s">
        <v>177</v>
      </c>
      <c r="C995" t="str">
        <f>_xlfn.XLOOKUP(F995,Products!$A$2:$A$51,Products!$C$2:$C$51,0)</f>
        <v>Subscriptions</v>
      </c>
      <c r="D995" t="str">
        <f>_xlfn.XLOOKUP(F995,Products!$A$2:$A$51,Products!$B$2:$B$51,0)</f>
        <v>Subscription Renewal Service</v>
      </c>
      <c r="E995" t="str">
        <f>_xlfn.XLOOKUP(B995,customers!$A$2:$A$195,customers!$B$2:$B$195,,0)</f>
        <v>East</v>
      </c>
      <c r="F995">
        <v>1025</v>
      </c>
      <c r="G995" s="9">
        <f>_xlfn.XLOOKUP(B995,customers!$A$1:$A$195,customers!$C$1:$C$195)</f>
        <v>44986</v>
      </c>
      <c r="H995" s="13" t="s">
        <v>1398</v>
      </c>
      <c r="I995">
        <v>3</v>
      </c>
      <c r="J995">
        <v>220.23</v>
      </c>
      <c r="K995">
        <v>81.87</v>
      </c>
      <c r="L995">
        <f>_xlfn.XLOOKUP(F995,Products!$A$2:$A$51,Products!$D$2:$D$51,0)</f>
        <v>73.41</v>
      </c>
      <c r="M995">
        <f t="shared" si="15"/>
        <v>138.36</v>
      </c>
    </row>
    <row r="996" spans="1:13">
      <c r="A996" t="s">
        <v>1401</v>
      </c>
      <c r="B996" t="s">
        <v>179</v>
      </c>
      <c r="C996" t="str">
        <f>_xlfn.XLOOKUP(F996,Products!$A$2:$A$51,Products!$C$2:$C$51,0)</f>
        <v>Grinders &amp; Brewers</v>
      </c>
      <c r="D996" t="str">
        <f>_xlfn.XLOOKUP(F996,Products!$A$2:$A$51,Products!$B$2:$B$51,0)</f>
        <v>Hand Grinder (Travel Size)</v>
      </c>
      <c r="E996" t="str">
        <f>_xlfn.XLOOKUP(B996,customers!$A$2:$A$195,customers!$B$2:$B$195,,0)</f>
        <v>South</v>
      </c>
      <c r="F996">
        <v>1032</v>
      </c>
      <c r="G996" s="9">
        <f>_xlfn.XLOOKUP(B996,customers!$A$1:$A$195,customers!$C$1:$C$195)</f>
        <v>45221</v>
      </c>
      <c r="H996" s="13" t="s">
        <v>1398</v>
      </c>
      <c r="I996">
        <v>1</v>
      </c>
      <c r="J996">
        <v>254.72</v>
      </c>
      <c r="K996">
        <v>130.28</v>
      </c>
      <c r="L996">
        <f>_xlfn.XLOOKUP(F996,Products!$A$2:$A$51,Products!$D$2:$D$51,0)</f>
        <v>254.72</v>
      </c>
      <c r="M996">
        <f t="shared" si="15"/>
        <v>124.44</v>
      </c>
    </row>
    <row r="997" spans="1:13">
      <c r="A997" t="s">
        <v>1402</v>
      </c>
      <c r="B997" t="s">
        <v>5</v>
      </c>
      <c r="C997" t="str">
        <f>_xlfn.XLOOKUP(F997,Products!$A$2:$A$51,Products!$C$2:$C$51,0)</f>
        <v>Consumables</v>
      </c>
      <c r="D997" t="str">
        <f>_xlfn.XLOOKUP(F997,Products!$A$2:$A$51,Products!$B$2:$B$51,0)</f>
        <v>Single-Origin Ethiopian (250g)</v>
      </c>
      <c r="E997" t="str">
        <f>_xlfn.XLOOKUP(B997,customers!$A$2:$A$195,customers!$B$2:$B$195,,0)</f>
        <v>West</v>
      </c>
      <c r="F997">
        <v>1026</v>
      </c>
      <c r="G997" s="9">
        <f>_xlfn.XLOOKUP(B997,customers!$A$1:$A$195,customers!$C$1:$C$195)</f>
        <v>44998</v>
      </c>
      <c r="H997" s="13" t="s">
        <v>1403</v>
      </c>
      <c r="I997">
        <v>3</v>
      </c>
      <c r="J997">
        <v>58.47</v>
      </c>
      <c r="K997">
        <v>38.12</v>
      </c>
      <c r="L997">
        <f>_xlfn.XLOOKUP(F997,Products!$A$2:$A$51,Products!$D$2:$D$51,0)</f>
        <v>19.49</v>
      </c>
      <c r="M997">
        <f t="shared" si="15"/>
        <v>20.35</v>
      </c>
    </row>
    <row r="998" spans="1:13">
      <c r="A998" t="s">
        <v>1404</v>
      </c>
      <c r="B998" t="s">
        <v>124</v>
      </c>
      <c r="C998" t="str">
        <f>_xlfn.XLOOKUP(F998,Products!$A$2:$A$51,Products!$C$2:$C$51,0)</f>
        <v>Merchandise</v>
      </c>
      <c r="D998" t="str">
        <f>_xlfn.XLOOKUP(F998,Products!$A$2:$A$51,Products!$B$2:$B$51,0)</f>
        <v>Logo Hoodie (Black)</v>
      </c>
      <c r="E998" t="str">
        <f>_xlfn.XLOOKUP(B998,customers!$A$2:$A$195,customers!$B$2:$B$195,,0)</f>
        <v>West</v>
      </c>
      <c r="F998">
        <v>1042</v>
      </c>
      <c r="G998" s="9">
        <f>_xlfn.XLOOKUP(B998,customers!$A$1:$A$195,customers!$C$1:$C$195)</f>
        <v>45083</v>
      </c>
      <c r="H998" s="13" t="s">
        <v>1403</v>
      </c>
      <c r="I998">
        <v>2</v>
      </c>
      <c r="J998">
        <v>30.46</v>
      </c>
      <c r="K998">
        <v>26.8</v>
      </c>
      <c r="L998">
        <f>_xlfn.XLOOKUP(F998,Products!$A$2:$A$51,Products!$D$2:$D$51,0)</f>
        <v>15.23</v>
      </c>
      <c r="M998">
        <f t="shared" si="15"/>
        <v>3.66</v>
      </c>
    </row>
    <row r="999" spans="1:13">
      <c r="A999" t="s">
        <v>1405</v>
      </c>
      <c r="B999" t="s">
        <v>161</v>
      </c>
      <c r="C999" t="str">
        <f>_xlfn.XLOOKUP(F999,Products!$A$2:$A$51,Products!$C$2:$C$51,0)</f>
        <v>Merchandise</v>
      </c>
      <c r="D999" t="str">
        <f>_xlfn.XLOOKUP(F999,Products!$A$2:$A$51,Products!$B$2:$B$51,0)</f>
        <v>Minimalist Keychain</v>
      </c>
      <c r="E999" t="str">
        <f>_xlfn.XLOOKUP(B999,customers!$A$2:$A$195,customers!$B$2:$B$195,,0)</f>
        <v>South</v>
      </c>
      <c r="F999">
        <v>1020</v>
      </c>
      <c r="G999" s="9">
        <f>_xlfn.XLOOKUP(B999,customers!$A$1:$A$195,customers!$C$1:$C$195)</f>
        <v>45203</v>
      </c>
      <c r="H999" s="13" t="s">
        <v>1403</v>
      </c>
      <c r="I999">
        <v>2</v>
      </c>
      <c r="J999">
        <v>54.74</v>
      </c>
      <c r="K999">
        <v>48.18</v>
      </c>
      <c r="L999">
        <f>_xlfn.XLOOKUP(F999,Products!$A$2:$A$51,Products!$D$2:$D$51,0)</f>
        <v>27.37</v>
      </c>
      <c r="M999">
        <f t="shared" si="15"/>
        <v>6.56</v>
      </c>
    </row>
    <row r="1000" spans="1:13">
      <c r="A1000" t="s">
        <v>1406</v>
      </c>
      <c r="B1000" t="s">
        <v>163</v>
      </c>
      <c r="C1000" t="str">
        <f>_xlfn.XLOOKUP(F1000,Products!$A$2:$A$51,Products!$C$2:$C$51,0)</f>
        <v>Accessories</v>
      </c>
      <c r="D1000" t="str">
        <f>_xlfn.XLOOKUP(F1000,Products!$A$2:$A$51,Products!$B$2:$B$51,0)</f>
        <v>Gooseneck Electric Kettle</v>
      </c>
      <c r="E1000" t="str">
        <f>_xlfn.XLOOKUP(B1000,customers!$A$2:$A$195,customers!$B$2:$B$195,,0)</f>
        <v>West</v>
      </c>
      <c r="F1000">
        <v>1037</v>
      </c>
      <c r="G1000" s="9">
        <f>_xlfn.XLOOKUP(B1000,customers!$A$1:$A$195,customers!$C$1:$C$195)</f>
        <v>45140</v>
      </c>
      <c r="H1000" s="13" t="s">
        <v>1403</v>
      </c>
      <c r="I1000">
        <v>1</v>
      </c>
      <c r="J1000">
        <v>34.87</v>
      </c>
      <c r="K1000">
        <v>25.97</v>
      </c>
      <c r="L1000">
        <f>_xlfn.XLOOKUP(F1000,Products!$A$2:$A$51,Products!$D$2:$D$51,0)</f>
        <v>34.87</v>
      </c>
      <c r="M1000">
        <f t="shared" si="15"/>
        <v>8.9</v>
      </c>
    </row>
    <row r="1001" spans="1:13">
      <c r="A1001" t="s">
        <v>1407</v>
      </c>
      <c r="B1001" t="s">
        <v>21</v>
      </c>
      <c r="C1001" t="str">
        <f>_xlfn.XLOOKUP(F1001,Products!$A$2:$A$51,Products!$C$2:$C$51,0)</f>
        <v>Merchandise</v>
      </c>
      <c r="D1001" t="str">
        <f>_xlfn.XLOOKUP(F1001,Products!$A$2:$A$51,Products!$B$2:$B$51,0)</f>
        <v>Daily Grind T-Shirt</v>
      </c>
      <c r="E1001" t="str">
        <f>_xlfn.XLOOKUP(B1001,customers!$A$2:$A$195,customers!$B$2:$B$195,,0)</f>
        <v>East</v>
      </c>
      <c r="F1001">
        <v>1019</v>
      </c>
      <c r="G1001" s="9">
        <f>_xlfn.XLOOKUP(B1001,customers!$A$1:$A$195,customers!$C$1:$C$195)</f>
        <v>45046</v>
      </c>
      <c r="H1001" s="13" t="s">
        <v>1408</v>
      </c>
      <c r="I1001">
        <v>2</v>
      </c>
      <c r="J1001">
        <v>42.74</v>
      </c>
      <c r="K1001">
        <v>16.52</v>
      </c>
      <c r="L1001">
        <f>_xlfn.XLOOKUP(F1001,Products!$A$2:$A$51,Products!$D$2:$D$51,0)</f>
        <v>21.37</v>
      </c>
      <c r="M1001">
        <f t="shared" si="15"/>
        <v>26.22</v>
      </c>
    </row>
    <row r="1002" spans="1:13">
      <c r="A1002" t="s">
        <v>1409</v>
      </c>
      <c r="B1002" t="s">
        <v>41</v>
      </c>
      <c r="C1002" t="str">
        <f>_xlfn.XLOOKUP(F1002,Products!$A$2:$A$51,Products!$C$2:$C$51,0)</f>
        <v>Grinders &amp; Brewers</v>
      </c>
      <c r="D1002" t="str">
        <f>_xlfn.XLOOKUP(F1002,Products!$A$2:$A$51,Products!$B$2:$B$51,0)</f>
        <v>High-Capacity French Press</v>
      </c>
      <c r="E1002" t="str">
        <f>_xlfn.XLOOKUP(B1002,customers!$A$2:$A$195,customers!$B$2:$B$195,,0)</f>
        <v>West</v>
      </c>
      <c r="F1002">
        <v>1009</v>
      </c>
      <c r="G1002" s="9">
        <f>_xlfn.XLOOKUP(B1002,customers!$A$1:$A$195,customers!$C$1:$C$195)</f>
        <v>44960</v>
      </c>
      <c r="H1002" s="13" t="s">
        <v>1408</v>
      </c>
      <c r="I1002">
        <v>4</v>
      </c>
      <c r="J1002">
        <v>1353.44</v>
      </c>
      <c r="K1002">
        <v>592.68</v>
      </c>
      <c r="L1002">
        <f>_xlfn.XLOOKUP(F1002,Products!$A$2:$A$51,Products!$D$2:$D$51,0)</f>
        <v>338.36</v>
      </c>
      <c r="M1002">
        <f t="shared" si="15"/>
        <v>760.76</v>
      </c>
    </row>
    <row r="1003" spans="1:13">
      <c r="A1003" t="s">
        <v>1410</v>
      </c>
      <c r="B1003" t="s">
        <v>96</v>
      </c>
      <c r="C1003" t="str">
        <f>_xlfn.XLOOKUP(F1003,Products!$A$2:$A$51,Products!$C$2:$C$51,0)</f>
        <v>Subscriptions</v>
      </c>
      <c r="D1003" t="str">
        <f>_xlfn.XLOOKUP(F1003,Products!$A$2:$A$51,Products!$B$2:$B$51,0)</f>
        <v>Espresso Lovers Quarterly Pack</v>
      </c>
      <c r="E1003" t="str">
        <f>_xlfn.XLOOKUP(B1003,customers!$A$2:$A$195,customers!$B$2:$B$195,,0)</f>
        <v>East</v>
      </c>
      <c r="F1003">
        <v>1049</v>
      </c>
      <c r="G1003" s="9">
        <f>_xlfn.XLOOKUP(B1003,customers!$A$1:$A$195,customers!$C$1:$C$195)</f>
        <v>45143</v>
      </c>
      <c r="H1003" s="13" t="s">
        <v>1408</v>
      </c>
      <c r="I1003">
        <v>3</v>
      </c>
      <c r="J1003">
        <v>224.61</v>
      </c>
      <c r="K1003">
        <v>57.58</v>
      </c>
      <c r="L1003">
        <f>_xlfn.XLOOKUP(F1003,Products!$A$2:$A$51,Products!$D$2:$D$51,0)</f>
        <v>74.87</v>
      </c>
      <c r="M1003">
        <f t="shared" si="15"/>
        <v>167.03</v>
      </c>
    </row>
    <row r="1004" spans="1:13">
      <c r="A1004" t="s">
        <v>1411</v>
      </c>
      <c r="B1004" t="s">
        <v>116</v>
      </c>
      <c r="C1004" t="str">
        <f>_xlfn.XLOOKUP(F1004,Products!$A$2:$A$51,Products!$C$2:$C$51,0)</f>
        <v>Subscriptions</v>
      </c>
      <c r="D1004" t="str">
        <f>_xlfn.XLOOKUP(F1004,Products!$A$2:$A$51,Products!$B$2:$B$51,0)</f>
        <v>Three-Month Gift Subscription</v>
      </c>
      <c r="E1004" t="str">
        <f>_xlfn.XLOOKUP(B1004,customers!$A$2:$A$195,customers!$B$2:$B$195,,0)</f>
        <v>West</v>
      </c>
      <c r="F1004">
        <v>1048</v>
      </c>
      <c r="G1004" s="9">
        <f>_xlfn.XLOOKUP(B1004,customers!$A$1:$A$195,customers!$C$1:$C$195)</f>
        <v>45037</v>
      </c>
      <c r="H1004" s="13" t="s">
        <v>1408</v>
      </c>
      <c r="I1004">
        <v>1</v>
      </c>
      <c r="J1004">
        <v>65.21</v>
      </c>
      <c r="K1004">
        <v>27.61</v>
      </c>
      <c r="L1004">
        <f>_xlfn.XLOOKUP(F1004,Products!$A$2:$A$51,Products!$D$2:$D$51,0)</f>
        <v>65.21</v>
      </c>
      <c r="M1004">
        <f t="shared" si="15"/>
        <v>37.6</v>
      </c>
    </row>
    <row r="1005" spans="1:13">
      <c r="A1005" t="s">
        <v>1412</v>
      </c>
      <c r="B1005" t="s">
        <v>13</v>
      </c>
      <c r="C1005" t="str">
        <f>_xlfn.XLOOKUP(F1005,Products!$A$2:$A$51,Products!$C$2:$C$51,0)</f>
        <v>Consumables</v>
      </c>
      <c r="D1005" t="str">
        <f>_xlfn.XLOOKUP(F1005,Products!$A$2:$A$51,Products!$B$2:$B$51,0)</f>
        <v>Decaf Blend (1kg)</v>
      </c>
      <c r="E1005" t="str">
        <f>_xlfn.XLOOKUP(B1005,customers!$A$2:$A$195,customers!$B$2:$B$195,,0)</f>
        <v>East</v>
      </c>
      <c r="F1005">
        <v>1028</v>
      </c>
      <c r="G1005" s="9">
        <f>_xlfn.XLOOKUP(B1005,customers!$A$1:$A$195,customers!$C$1:$C$195)</f>
        <v>45214</v>
      </c>
      <c r="H1005" s="13" t="s">
        <v>1413</v>
      </c>
      <c r="I1005">
        <v>1</v>
      </c>
      <c r="J1005">
        <v>40.35</v>
      </c>
      <c r="K1005">
        <v>12.86</v>
      </c>
      <c r="L1005">
        <f>_xlfn.XLOOKUP(F1005,Products!$A$2:$A$51,Products!$D$2:$D$51,0)</f>
        <v>40.35</v>
      </c>
      <c r="M1005">
        <f t="shared" si="15"/>
        <v>27.49</v>
      </c>
    </row>
    <row r="1006" spans="1:13">
      <c r="A1006" t="s">
        <v>1414</v>
      </c>
      <c r="B1006" t="s">
        <v>25</v>
      </c>
      <c r="C1006" t="str">
        <f>_xlfn.XLOOKUP(F1006,Products!$A$2:$A$51,Products!$C$2:$C$51,0)</f>
        <v>Consumables</v>
      </c>
      <c r="D1006" t="str">
        <f>_xlfn.XLOOKUP(F1006,Products!$A$2:$A$51,Products!$B$2:$B$51,0)</f>
        <v>Espresso Bean Sampler Pack</v>
      </c>
      <c r="E1006" t="str">
        <f>_xlfn.XLOOKUP(B1006,customers!$A$2:$A$195,customers!$B$2:$B$195,,0)</f>
        <v>North</v>
      </c>
      <c r="F1006">
        <v>1030</v>
      </c>
      <c r="G1006" s="9">
        <f>_xlfn.XLOOKUP(B1006,customers!$A$1:$A$195,customers!$C$1:$C$195)</f>
        <v>45187</v>
      </c>
      <c r="H1006" s="13" t="s">
        <v>1413</v>
      </c>
      <c r="I1006">
        <v>1</v>
      </c>
      <c r="J1006">
        <v>19.06</v>
      </c>
      <c r="K1006">
        <v>11.97</v>
      </c>
      <c r="L1006">
        <f>_xlfn.XLOOKUP(F1006,Products!$A$2:$A$51,Products!$D$2:$D$51,0)</f>
        <v>19.06</v>
      </c>
      <c r="M1006">
        <f t="shared" si="15"/>
        <v>7.09</v>
      </c>
    </row>
    <row r="1007" spans="1:13">
      <c r="A1007" t="s">
        <v>1415</v>
      </c>
      <c r="B1007" t="s">
        <v>158</v>
      </c>
      <c r="C1007" t="str">
        <f>_xlfn.XLOOKUP(F1007,Products!$A$2:$A$51,Products!$C$2:$C$51,0)</f>
        <v>Subscriptions</v>
      </c>
      <c r="D1007" t="str">
        <f>_xlfn.XLOOKUP(F1007,Products!$A$2:$A$51,Products!$B$2:$B$51,0)</f>
        <v>Bi-Weekly Sampler Box</v>
      </c>
      <c r="E1007" t="str">
        <f>_xlfn.XLOOKUP(B1007,customers!$A$2:$A$195,customers!$B$2:$B$195,,0)</f>
        <v>West</v>
      </c>
      <c r="F1007">
        <v>1022</v>
      </c>
      <c r="G1007" s="9">
        <f>_xlfn.XLOOKUP(B1007,customers!$A$1:$A$195,customers!$C$1:$C$195)</f>
        <v>45061</v>
      </c>
      <c r="H1007" s="13" t="s">
        <v>1413</v>
      </c>
      <c r="I1007">
        <v>4</v>
      </c>
      <c r="J1007">
        <v>355.08</v>
      </c>
      <c r="K1007">
        <v>95.44</v>
      </c>
      <c r="L1007">
        <f>_xlfn.XLOOKUP(F1007,Products!$A$2:$A$51,Products!$D$2:$D$51,0)</f>
        <v>88.77</v>
      </c>
      <c r="M1007">
        <f t="shared" si="15"/>
        <v>259.64</v>
      </c>
    </row>
    <row r="1008" spans="1:13">
      <c r="A1008" t="s">
        <v>1416</v>
      </c>
      <c r="B1008" t="s">
        <v>183</v>
      </c>
      <c r="C1008" t="str">
        <f>_xlfn.XLOOKUP(F1008,Products!$A$2:$A$51,Products!$C$2:$C$51,0)</f>
        <v>Consumables</v>
      </c>
      <c r="D1008" t="str">
        <f>_xlfn.XLOOKUP(F1008,Products!$A$2:$A$51,Products!$B$2:$B$51,0)</f>
        <v>Decaf Blend (1kg)</v>
      </c>
      <c r="E1008" t="str">
        <f>_xlfn.XLOOKUP(B1008,customers!$A$2:$A$195,customers!$B$2:$B$195,,0)</f>
        <v>West</v>
      </c>
      <c r="F1008">
        <v>1028</v>
      </c>
      <c r="G1008" s="9">
        <f>_xlfn.XLOOKUP(B1008,customers!$A$1:$A$195,customers!$C$1:$C$195)</f>
        <v>45237</v>
      </c>
      <c r="H1008" s="13" t="s">
        <v>1413</v>
      </c>
      <c r="I1008">
        <v>2</v>
      </c>
      <c r="J1008">
        <v>80.7</v>
      </c>
      <c r="K1008">
        <v>25.72</v>
      </c>
      <c r="L1008">
        <f>_xlfn.XLOOKUP(F1008,Products!$A$2:$A$51,Products!$D$2:$D$51,0)</f>
        <v>40.35</v>
      </c>
      <c r="M1008">
        <f t="shared" si="15"/>
        <v>54.98</v>
      </c>
    </row>
    <row r="1009" spans="1:13">
      <c r="A1009" t="s">
        <v>1417</v>
      </c>
      <c r="B1009" t="s">
        <v>107</v>
      </c>
      <c r="C1009" t="str">
        <f>_xlfn.XLOOKUP(F1009,Products!$A$2:$A$51,Products!$C$2:$C$51,0)</f>
        <v>Subscriptions</v>
      </c>
      <c r="D1009" t="str">
        <f>_xlfn.XLOOKUP(F1009,Products!$A$2:$A$51,Products!$B$2:$B$51,0)</f>
        <v>Three-Month Gift Subscription</v>
      </c>
      <c r="E1009" t="str">
        <f>_xlfn.XLOOKUP(B1009,customers!$A$2:$A$195,customers!$B$2:$B$195,,0)</f>
        <v>North</v>
      </c>
      <c r="F1009">
        <v>1023</v>
      </c>
      <c r="G1009" s="9">
        <f>_xlfn.XLOOKUP(B1009,customers!$A$1:$A$195,customers!$C$1:$C$195)</f>
        <v>45039</v>
      </c>
      <c r="H1009" s="13">
        <v>45699</v>
      </c>
      <c r="I1009">
        <v>4</v>
      </c>
      <c r="J1009">
        <v>260.84</v>
      </c>
      <c r="K1009">
        <v>110.44</v>
      </c>
      <c r="L1009">
        <f>_xlfn.XLOOKUP(F1009,Products!$A$2:$A$51,Products!$D$2:$D$51,0)</f>
        <v>65.21</v>
      </c>
      <c r="M1009">
        <f t="shared" si="15"/>
        <v>150.4</v>
      </c>
    </row>
    <row r="1010" spans="1:13">
      <c r="A1010" t="s">
        <v>1418</v>
      </c>
      <c r="B1010" t="s">
        <v>44</v>
      </c>
      <c r="C1010" t="str">
        <f>_xlfn.XLOOKUP(F1010,Products!$A$2:$A$51,Products!$C$2:$C$51,0)</f>
        <v>Accessories</v>
      </c>
      <c r="D1010" t="str">
        <f>_xlfn.XLOOKUP(F1010,Products!$A$2:$A$51,Products!$B$2:$B$51,0)</f>
        <v>Gooseneck Electric Kettle</v>
      </c>
      <c r="E1010" t="str">
        <f>_xlfn.XLOOKUP(B1010,customers!$A$2:$A$195,customers!$B$2:$B$195,,0)</f>
        <v>East</v>
      </c>
      <c r="F1010">
        <v>1012</v>
      </c>
      <c r="G1010" s="9">
        <f>_xlfn.XLOOKUP(B1010,customers!$A$1:$A$195,customers!$C$1:$C$195)</f>
        <v>45171</v>
      </c>
      <c r="H1010" s="13">
        <v>45727</v>
      </c>
      <c r="I1010">
        <v>3</v>
      </c>
      <c r="J1010">
        <v>104.61</v>
      </c>
      <c r="K1010">
        <v>77.91</v>
      </c>
      <c r="L1010">
        <f>_xlfn.XLOOKUP(F1010,Products!$A$2:$A$51,Products!$D$2:$D$51,0)</f>
        <v>34.87</v>
      </c>
      <c r="M1010">
        <f t="shared" si="15"/>
        <v>26.7</v>
      </c>
    </row>
    <row r="1011" spans="1:13">
      <c r="A1011" t="s">
        <v>1419</v>
      </c>
      <c r="B1011" t="s">
        <v>129</v>
      </c>
      <c r="C1011" t="str">
        <f>_xlfn.XLOOKUP(F1011,Products!$A$2:$A$51,Products!$C$2:$C$51,0)</f>
        <v>Consumables</v>
      </c>
      <c r="D1011" t="str">
        <f>_xlfn.XLOOKUP(F1011,Products!$A$2:$A$51,Products!$B$2:$B$51,0)</f>
        <v>Cold Brew Concentrate</v>
      </c>
      <c r="E1011" t="str">
        <f>_xlfn.XLOOKUP(B1011,customers!$A$2:$A$195,customers!$B$2:$B$195,,0)</f>
        <v>East</v>
      </c>
      <c r="F1011">
        <v>1029</v>
      </c>
      <c r="G1011" s="9">
        <f>_xlfn.XLOOKUP(B1011,customers!$A$1:$A$195,customers!$C$1:$C$195)</f>
        <v>45151</v>
      </c>
      <c r="H1011" s="13">
        <v>45727</v>
      </c>
      <c r="I1011">
        <v>1</v>
      </c>
      <c r="J1011">
        <v>23.49</v>
      </c>
      <c r="K1011">
        <v>10.09</v>
      </c>
      <c r="L1011">
        <f>_xlfn.XLOOKUP(F1011,Products!$A$2:$A$51,Products!$D$2:$D$51,0)</f>
        <v>23.49</v>
      </c>
      <c r="M1011">
        <f t="shared" si="15"/>
        <v>13.4</v>
      </c>
    </row>
    <row r="1012" spans="1:13">
      <c r="A1012" t="s">
        <v>1420</v>
      </c>
      <c r="B1012" t="s">
        <v>146</v>
      </c>
      <c r="C1012" t="str">
        <f>_xlfn.XLOOKUP(F1012,Products!$A$2:$A$51,Products!$C$2:$C$51,0)</f>
        <v>Consumables</v>
      </c>
      <c r="D1012" t="str">
        <f>_xlfn.XLOOKUP(F1012,Products!$A$2:$A$51,Products!$B$2:$B$51,0)</f>
        <v>Espresso Bean Sampler Pack</v>
      </c>
      <c r="E1012" t="str">
        <f>_xlfn.XLOOKUP(B1012,customers!$A$2:$A$195,customers!$B$2:$B$195,,0)</f>
        <v>East</v>
      </c>
      <c r="F1012">
        <v>1005</v>
      </c>
      <c r="G1012" s="9">
        <f>_xlfn.XLOOKUP(B1012,customers!$A$1:$A$195,customers!$C$1:$C$195)</f>
        <v>44981</v>
      </c>
      <c r="H1012" s="13">
        <v>45727</v>
      </c>
      <c r="I1012">
        <v>2</v>
      </c>
      <c r="J1012">
        <v>38.12</v>
      </c>
      <c r="K1012">
        <v>23.94</v>
      </c>
      <c r="L1012">
        <f>_xlfn.XLOOKUP(F1012,Products!$A$2:$A$51,Products!$D$2:$D$51,0)</f>
        <v>19.06</v>
      </c>
      <c r="M1012">
        <f t="shared" si="15"/>
        <v>14.18</v>
      </c>
    </row>
    <row r="1013" spans="1:13">
      <c r="A1013" t="s">
        <v>1421</v>
      </c>
      <c r="B1013" t="s">
        <v>70</v>
      </c>
      <c r="C1013" t="str">
        <f>_xlfn.XLOOKUP(F1013,Products!$A$2:$A$51,Products!$C$2:$C$51,0)</f>
        <v>Grinders &amp; Brewers</v>
      </c>
      <c r="D1013" t="str">
        <f>_xlfn.XLOOKUP(F1013,Products!$A$2:$A$51,Products!$B$2:$B$51,0)</f>
        <v>Pour-Over Starter Kit</v>
      </c>
      <c r="E1013" t="str">
        <f>_xlfn.XLOOKUP(B1013,customers!$A$2:$A$195,customers!$B$2:$B$195,,0)</f>
        <v>West</v>
      </c>
      <c r="F1013">
        <v>1035</v>
      </c>
      <c r="G1013" s="9">
        <f>_xlfn.XLOOKUP(B1013,customers!$A$1:$A$195,customers!$C$1:$C$195)</f>
        <v>45269</v>
      </c>
      <c r="H1013" s="13">
        <v>45758</v>
      </c>
      <c r="I1013">
        <v>1</v>
      </c>
      <c r="J1013">
        <v>105.23</v>
      </c>
      <c r="K1013">
        <v>74.74</v>
      </c>
      <c r="L1013">
        <f>_xlfn.XLOOKUP(F1013,Products!$A$2:$A$51,Products!$D$2:$D$51,0)</f>
        <v>105.23</v>
      </c>
      <c r="M1013">
        <f t="shared" si="15"/>
        <v>30.49</v>
      </c>
    </row>
    <row r="1014" spans="1:13">
      <c r="A1014" t="s">
        <v>1422</v>
      </c>
      <c r="B1014" t="s">
        <v>185</v>
      </c>
      <c r="C1014" t="str">
        <f>_xlfn.XLOOKUP(F1014,Products!$A$2:$A$51,Products!$C$2:$C$51,0)</f>
        <v>Subscriptions</v>
      </c>
      <c r="D1014" t="str">
        <f>_xlfn.XLOOKUP(F1014,Products!$A$2:$A$51,Products!$B$2:$B$51,0)</f>
        <v>Three-Month Gift Subscription</v>
      </c>
      <c r="E1014" t="str">
        <f>_xlfn.XLOOKUP(B1014,customers!$A$2:$A$195,customers!$B$2:$B$195,,0)</f>
        <v>South</v>
      </c>
      <c r="F1014">
        <v>1048</v>
      </c>
      <c r="G1014" s="9">
        <f>_xlfn.XLOOKUP(B1014,customers!$A$1:$A$195,customers!$C$1:$C$195)</f>
        <v>45288</v>
      </c>
      <c r="H1014" s="13">
        <v>45758</v>
      </c>
      <c r="I1014">
        <v>1</v>
      </c>
      <c r="J1014">
        <v>65.21</v>
      </c>
      <c r="K1014">
        <v>27.61</v>
      </c>
      <c r="L1014">
        <f>_xlfn.XLOOKUP(F1014,Products!$A$2:$A$51,Products!$D$2:$D$51,0)</f>
        <v>65.21</v>
      </c>
      <c r="M1014">
        <f t="shared" si="15"/>
        <v>37.6</v>
      </c>
    </row>
    <row r="1015" spans="1:13">
      <c r="A1015" t="s">
        <v>1423</v>
      </c>
      <c r="B1015" t="s">
        <v>28</v>
      </c>
      <c r="C1015" t="str">
        <f>_xlfn.XLOOKUP(F1015,Products!$A$2:$A$51,Products!$C$2:$C$51,0)</f>
        <v>Merchandise</v>
      </c>
      <c r="D1015" t="str">
        <f>_xlfn.XLOOKUP(F1015,Products!$A$2:$A$51,Products!$B$2:$B$51,0)</f>
        <v>Minimalist Keychain</v>
      </c>
      <c r="E1015" t="str">
        <f>_xlfn.XLOOKUP(B1015,customers!$A$2:$A$195,customers!$B$2:$B$195,,0)</f>
        <v>East</v>
      </c>
      <c r="F1015">
        <v>1020</v>
      </c>
      <c r="G1015" s="9">
        <f>_xlfn.XLOOKUP(B1015,customers!$A$1:$A$195,customers!$C$1:$C$195)</f>
        <v>45273</v>
      </c>
      <c r="H1015" s="13">
        <v>45788</v>
      </c>
      <c r="I1015">
        <v>3</v>
      </c>
      <c r="J1015">
        <v>82.11</v>
      </c>
      <c r="K1015">
        <v>72.27</v>
      </c>
      <c r="L1015">
        <f>_xlfn.XLOOKUP(F1015,Products!$A$2:$A$51,Products!$D$2:$D$51,0)</f>
        <v>27.37</v>
      </c>
      <c r="M1015">
        <f t="shared" si="15"/>
        <v>9.84</v>
      </c>
    </row>
    <row r="1016" spans="1:13">
      <c r="A1016" t="s">
        <v>1424</v>
      </c>
      <c r="B1016" t="s">
        <v>59</v>
      </c>
      <c r="C1016" t="str">
        <f>_xlfn.XLOOKUP(F1016,Products!$A$2:$A$51,Products!$C$2:$C$51,0)</f>
        <v>Subscriptions</v>
      </c>
      <c r="D1016" t="str">
        <f>_xlfn.XLOOKUP(F1016,Products!$A$2:$A$51,Products!$B$2:$B$51,0)</f>
        <v>Three-Month Gift Subscription</v>
      </c>
      <c r="E1016" t="str">
        <f>_xlfn.XLOOKUP(B1016,customers!$A$2:$A$195,customers!$B$2:$B$195,,0)</f>
        <v>East</v>
      </c>
      <c r="F1016">
        <v>1048</v>
      </c>
      <c r="G1016" s="9">
        <f>_xlfn.XLOOKUP(B1016,customers!$A$1:$A$195,customers!$C$1:$C$195)</f>
        <v>45068</v>
      </c>
      <c r="H1016" s="13">
        <v>45788</v>
      </c>
      <c r="I1016">
        <v>3</v>
      </c>
      <c r="J1016">
        <v>195.63</v>
      </c>
      <c r="K1016">
        <v>82.83</v>
      </c>
      <c r="L1016">
        <f>_xlfn.XLOOKUP(F1016,Products!$A$2:$A$51,Products!$D$2:$D$51,0)</f>
        <v>65.21</v>
      </c>
      <c r="M1016">
        <f t="shared" si="15"/>
        <v>112.8</v>
      </c>
    </row>
    <row r="1017" spans="1:13">
      <c r="A1017" t="s">
        <v>1425</v>
      </c>
      <c r="B1017" t="s">
        <v>108</v>
      </c>
      <c r="C1017" t="str">
        <f>_xlfn.XLOOKUP(F1017,Products!$A$2:$A$51,Products!$C$2:$C$51,0)</f>
        <v>Consumables</v>
      </c>
      <c r="D1017" t="str">
        <f>_xlfn.XLOOKUP(F1017,Products!$A$2:$A$51,Products!$B$2:$B$51,0)</f>
        <v>Decaf Blend (1kg)</v>
      </c>
      <c r="E1017" t="str">
        <f>_xlfn.XLOOKUP(B1017,customers!$A$2:$A$195,customers!$B$2:$B$195,,0)</f>
        <v>East</v>
      </c>
      <c r="F1017">
        <v>1003</v>
      </c>
      <c r="G1017" s="9">
        <f>_xlfn.XLOOKUP(B1017,customers!$A$1:$A$195,customers!$C$1:$C$195)</f>
        <v>45194</v>
      </c>
      <c r="H1017" s="13">
        <v>45788</v>
      </c>
      <c r="I1017">
        <v>4</v>
      </c>
      <c r="J1017">
        <v>161.4</v>
      </c>
      <c r="K1017">
        <v>51.44</v>
      </c>
      <c r="L1017">
        <f>_xlfn.XLOOKUP(F1017,Products!$A$2:$A$51,Products!$D$2:$D$51,0)</f>
        <v>40.35</v>
      </c>
      <c r="M1017">
        <f t="shared" si="15"/>
        <v>109.96</v>
      </c>
    </row>
    <row r="1018" spans="1:13">
      <c r="A1018" t="s">
        <v>1426</v>
      </c>
      <c r="B1018" t="s">
        <v>110</v>
      </c>
      <c r="C1018" t="str">
        <f>_xlfn.XLOOKUP(F1018,Products!$A$2:$A$51,Products!$C$2:$C$51,0)</f>
        <v>Grinders &amp; Brewers</v>
      </c>
      <c r="D1018" t="str">
        <f>_xlfn.XLOOKUP(F1018,Products!$A$2:$A$51,Products!$B$2:$B$51,0)</f>
        <v>Precision Electric Grinder</v>
      </c>
      <c r="E1018" t="str">
        <f>_xlfn.XLOOKUP(B1018,customers!$A$2:$A$195,customers!$B$2:$B$195,,0)</f>
        <v>North</v>
      </c>
      <c r="F1018">
        <v>1006</v>
      </c>
      <c r="G1018" s="9">
        <f>_xlfn.XLOOKUP(B1018,customers!$A$1:$A$195,customers!$C$1:$C$195)</f>
        <v>45090</v>
      </c>
      <c r="H1018" s="13">
        <v>45788</v>
      </c>
      <c r="I1018">
        <v>4</v>
      </c>
      <c r="J1018">
        <v>928.8</v>
      </c>
      <c r="K1018">
        <v>313.54</v>
      </c>
      <c r="L1018">
        <f>_xlfn.XLOOKUP(F1018,Products!$A$2:$A$51,Products!$D$2:$D$51,0)</f>
        <v>232.2</v>
      </c>
      <c r="M1018">
        <f t="shared" si="15"/>
        <v>615.26</v>
      </c>
    </row>
    <row r="1019" spans="1:13">
      <c r="A1019" t="s">
        <v>1427</v>
      </c>
      <c r="B1019" t="s">
        <v>110</v>
      </c>
      <c r="C1019" t="str">
        <f>_xlfn.XLOOKUP(F1019,Products!$A$2:$A$51,Products!$C$2:$C$51,0)</f>
        <v>Accessories</v>
      </c>
      <c r="D1019" t="str">
        <f>_xlfn.XLOOKUP(F1019,Products!$A$2:$A$51,Products!$B$2:$B$51,0)</f>
        <v>Chemex Filters (100 pack)</v>
      </c>
      <c r="E1019" t="str">
        <f>_xlfn.XLOOKUP(B1019,customers!$A$2:$A$195,customers!$B$2:$B$195,,0)</f>
        <v>North</v>
      </c>
      <c r="F1019">
        <v>1014</v>
      </c>
      <c r="G1019" s="9">
        <f>_xlfn.XLOOKUP(B1019,customers!$A$1:$A$195,customers!$C$1:$C$195)</f>
        <v>45090</v>
      </c>
      <c r="H1019" s="13">
        <v>45788</v>
      </c>
      <c r="I1019">
        <v>3</v>
      </c>
      <c r="J1019">
        <v>72.3</v>
      </c>
      <c r="K1019">
        <v>63.62</v>
      </c>
      <c r="L1019">
        <f>_xlfn.XLOOKUP(F1019,Products!$A$2:$A$51,Products!$D$2:$D$51,0)</f>
        <v>24.1</v>
      </c>
      <c r="M1019">
        <f t="shared" si="15"/>
        <v>8.68</v>
      </c>
    </row>
    <row r="1020" spans="1:13">
      <c r="A1020" t="s">
        <v>1428</v>
      </c>
      <c r="B1020" t="s">
        <v>133</v>
      </c>
      <c r="C1020" t="str">
        <f>_xlfn.XLOOKUP(F1020,Products!$A$2:$A$51,Products!$C$2:$C$51,0)</f>
        <v>Merchandise</v>
      </c>
      <c r="D1020" t="str">
        <f>_xlfn.XLOOKUP(F1020,Products!$A$2:$A$51,Products!$B$2:$B$51,0)</f>
        <v>Insulated Travel Tumbler</v>
      </c>
      <c r="E1020" t="str">
        <f>_xlfn.XLOOKUP(B1020,customers!$A$2:$A$195,customers!$B$2:$B$195,,0)</f>
        <v>West</v>
      </c>
      <c r="F1020">
        <v>1043</v>
      </c>
      <c r="G1020" s="9">
        <f>_xlfn.XLOOKUP(B1020,customers!$A$1:$A$195,customers!$C$1:$C$195)</f>
        <v>45248</v>
      </c>
      <c r="H1020" s="13">
        <v>45788</v>
      </c>
      <c r="I1020">
        <v>1</v>
      </c>
      <c r="J1020">
        <v>43.28</v>
      </c>
      <c r="K1020">
        <v>20.82</v>
      </c>
      <c r="L1020">
        <f>_xlfn.XLOOKUP(F1020,Products!$A$2:$A$51,Products!$D$2:$D$51,0)</f>
        <v>43.28</v>
      </c>
      <c r="M1020">
        <f t="shared" si="15"/>
        <v>22.46</v>
      </c>
    </row>
    <row r="1021" spans="1:13">
      <c r="A1021" t="s">
        <v>1429</v>
      </c>
      <c r="B1021" t="s">
        <v>8</v>
      </c>
      <c r="C1021" t="str">
        <f>_xlfn.XLOOKUP(F1021,Products!$A$2:$A$51,Products!$C$2:$C$51,0)</f>
        <v>Subscriptions</v>
      </c>
      <c r="D1021" t="str">
        <f>_xlfn.XLOOKUP(F1021,Products!$A$2:$A$51,Products!$B$2:$B$51,0)</f>
        <v>Monthly Dark Roast Subscription</v>
      </c>
      <c r="E1021" t="str">
        <f>_xlfn.XLOOKUP(B1021,customers!$A$2:$A$195,customers!$B$2:$B$195,,0)</f>
        <v>West</v>
      </c>
      <c r="F1021">
        <v>1046</v>
      </c>
      <c r="G1021" s="9">
        <f>_xlfn.XLOOKUP(B1021,customers!$A$1:$A$195,customers!$C$1:$C$195)</f>
        <v>45033</v>
      </c>
      <c r="H1021" s="13">
        <v>45819</v>
      </c>
      <c r="I1021">
        <v>3</v>
      </c>
      <c r="J1021">
        <v>183.78</v>
      </c>
      <c r="K1021">
        <v>105.44</v>
      </c>
      <c r="L1021">
        <f>_xlfn.XLOOKUP(F1021,Products!$A$2:$A$51,Products!$D$2:$D$51,0)</f>
        <v>61.26</v>
      </c>
      <c r="M1021">
        <f t="shared" si="15"/>
        <v>78.34</v>
      </c>
    </row>
    <row r="1022" spans="1:13">
      <c r="A1022" t="s">
        <v>1430</v>
      </c>
      <c r="B1022" t="s">
        <v>21</v>
      </c>
      <c r="C1022" t="str">
        <f>_xlfn.XLOOKUP(F1022,Products!$A$2:$A$51,Products!$C$2:$C$51,0)</f>
        <v>Grinders &amp; Brewers</v>
      </c>
      <c r="D1022" t="str">
        <f>_xlfn.XLOOKUP(F1022,Products!$A$2:$A$51,Products!$B$2:$B$51,0)</f>
        <v>Hand Grinder (Travel Size)</v>
      </c>
      <c r="E1022" t="str">
        <f>_xlfn.XLOOKUP(B1022,customers!$A$2:$A$195,customers!$B$2:$B$195,,0)</f>
        <v>East</v>
      </c>
      <c r="F1022">
        <v>1032</v>
      </c>
      <c r="G1022" s="9">
        <f>_xlfn.XLOOKUP(B1022,customers!$A$1:$A$195,customers!$C$1:$C$195)</f>
        <v>45046</v>
      </c>
      <c r="H1022" s="13">
        <v>45819</v>
      </c>
      <c r="I1022">
        <v>1</v>
      </c>
      <c r="J1022">
        <v>254.72</v>
      </c>
      <c r="K1022">
        <v>130.28</v>
      </c>
      <c r="L1022">
        <f>_xlfn.XLOOKUP(F1022,Products!$A$2:$A$51,Products!$D$2:$D$51,0)</f>
        <v>254.72</v>
      </c>
      <c r="M1022">
        <f t="shared" si="15"/>
        <v>124.44</v>
      </c>
    </row>
    <row r="1023" spans="1:13">
      <c r="A1023" t="s">
        <v>1431</v>
      </c>
      <c r="B1023" t="s">
        <v>128</v>
      </c>
      <c r="C1023" t="str">
        <f>_xlfn.XLOOKUP(F1023,Products!$A$2:$A$51,Products!$C$2:$C$51,0)</f>
        <v>Merchandise</v>
      </c>
      <c r="D1023" t="str">
        <f>_xlfn.XLOOKUP(F1023,Products!$A$2:$A$51,Products!$B$2:$B$51,0)</f>
        <v>Branded Ceramic Mug (Large)</v>
      </c>
      <c r="E1023" t="str">
        <f>_xlfn.XLOOKUP(B1023,customers!$A$2:$A$195,customers!$B$2:$B$195,,0)</f>
        <v>West</v>
      </c>
      <c r="F1023">
        <v>1041</v>
      </c>
      <c r="G1023" s="9">
        <f>_xlfn.XLOOKUP(B1023,customers!$A$1:$A$195,customers!$C$1:$C$195)</f>
        <v>45161</v>
      </c>
      <c r="H1023" s="13">
        <v>45819</v>
      </c>
      <c r="I1023">
        <v>3</v>
      </c>
      <c r="J1023">
        <v>129.6</v>
      </c>
      <c r="K1023">
        <v>93.32</v>
      </c>
      <c r="L1023">
        <f>_xlfn.XLOOKUP(F1023,Products!$A$2:$A$51,Products!$D$2:$D$51,0)</f>
        <v>43.2</v>
      </c>
      <c r="M1023">
        <f t="shared" si="15"/>
        <v>36.28</v>
      </c>
    </row>
    <row r="1024" spans="1:13">
      <c r="A1024" t="s">
        <v>1432</v>
      </c>
      <c r="B1024" t="s">
        <v>166</v>
      </c>
      <c r="C1024" t="str">
        <f>_xlfn.XLOOKUP(F1024,Products!$A$2:$A$51,Products!$C$2:$C$51,0)</f>
        <v>Accessories</v>
      </c>
      <c r="D1024" t="str">
        <f>_xlfn.XLOOKUP(F1024,Products!$A$2:$A$51,Products!$B$2:$B$51,0)</f>
        <v>Digital Coffee Scale</v>
      </c>
      <c r="E1024" t="str">
        <f>_xlfn.XLOOKUP(B1024,customers!$A$2:$A$195,customers!$B$2:$B$195,,0)</f>
        <v>North</v>
      </c>
      <c r="F1024">
        <v>1011</v>
      </c>
      <c r="G1024" s="9">
        <f>_xlfn.XLOOKUP(B1024,customers!$A$1:$A$195,customers!$C$1:$C$195)</f>
        <v>45164</v>
      </c>
      <c r="H1024" s="13">
        <v>45819</v>
      </c>
      <c r="I1024">
        <v>2</v>
      </c>
      <c r="J1024">
        <v>53.66</v>
      </c>
      <c r="K1024">
        <v>29.3</v>
      </c>
      <c r="L1024">
        <f>_xlfn.XLOOKUP(F1024,Products!$A$2:$A$51,Products!$D$2:$D$51,0)</f>
        <v>26.83</v>
      </c>
      <c r="M1024">
        <f t="shared" si="15"/>
        <v>24.36</v>
      </c>
    </row>
    <row r="1025" spans="1:13">
      <c r="A1025" t="s">
        <v>1433</v>
      </c>
      <c r="B1025" t="s">
        <v>36</v>
      </c>
      <c r="C1025" t="str">
        <f>_xlfn.XLOOKUP(F1025,Products!$A$2:$A$51,Products!$C$2:$C$51,0)</f>
        <v>Accessories</v>
      </c>
      <c r="D1025" t="str">
        <f>_xlfn.XLOOKUP(F1025,Products!$A$2:$A$51,Products!$B$2:$B$51,0)</f>
        <v>Airtight Storage Container</v>
      </c>
      <c r="E1025" t="str">
        <f>_xlfn.XLOOKUP(B1025,customers!$A$2:$A$195,customers!$B$2:$B$195,,0)</f>
        <v>North</v>
      </c>
      <c r="F1025">
        <v>1013</v>
      </c>
      <c r="G1025" s="9">
        <f>_xlfn.XLOOKUP(B1025,customers!$A$1:$A$195,customers!$C$1:$C$195)</f>
        <v>45102</v>
      </c>
      <c r="H1025" s="13">
        <v>45849</v>
      </c>
      <c r="I1025">
        <v>4</v>
      </c>
      <c r="J1025">
        <v>244.16</v>
      </c>
      <c r="K1025">
        <v>102.83</v>
      </c>
      <c r="L1025">
        <f>_xlfn.XLOOKUP(F1025,Products!$A$2:$A$51,Products!$D$2:$D$51,0)</f>
        <v>61.04</v>
      </c>
      <c r="M1025">
        <f t="shared" si="15"/>
        <v>141.33</v>
      </c>
    </row>
    <row r="1026" spans="1:13">
      <c r="A1026" t="s">
        <v>1434</v>
      </c>
      <c r="B1026" t="s">
        <v>43</v>
      </c>
      <c r="C1026" t="str">
        <f>_xlfn.XLOOKUP(F1026,Products!$A$2:$A$51,Products!$C$2:$C$51,0)</f>
        <v>Accessories</v>
      </c>
      <c r="D1026" t="str">
        <f>_xlfn.XLOOKUP(F1026,Products!$A$2:$A$51,Products!$B$2:$B$51,0)</f>
        <v>Refillable Coffee Pods</v>
      </c>
      <c r="E1026" t="str">
        <f>_xlfn.XLOOKUP(B1026,customers!$A$2:$A$195,customers!$B$2:$B$195,,0)</f>
        <v>West</v>
      </c>
      <c r="F1026">
        <v>1015</v>
      </c>
      <c r="G1026" s="9">
        <f>_xlfn.XLOOKUP(B1026,customers!$A$1:$A$195,customers!$C$1:$C$195)</f>
        <v>45197</v>
      </c>
      <c r="H1026" s="13">
        <v>45849</v>
      </c>
      <c r="I1026">
        <v>1</v>
      </c>
      <c r="J1026">
        <v>24.13</v>
      </c>
      <c r="K1026">
        <v>9.3</v>
      </c>
      <c r="L1026">
        <f>_xlfn.XLOOKUP(F1026,Products!$A$2:$A$51,Products!$D$2:$D$51,0)</f>
        <v>24.13</v>
      </c>
      <c r="M1026">
        <f t="shared" si="15"/>
        <v>14.83</v>
      </c>
    </row>
    <row r="1027" spans="1:13">
      <c r="A1027" t="s">
        <v>1435</v>
      </c>
      <c r="B1027" t="s">
        <v>54</v>
      </c>
      <c r="C1027" t="str">
        <f>_xlfn.XLOOKUP(F1027,Products!$A$2:$A$51,Products!$C$2:$C$51,0)</f>
        <v>Accessories</v>
      </c>
      <c r="D1027" t="str">
        <f>_xlfn.XLOOKUP(F1027,Products!$A$2:$A$51,Products!$B$2:$B$51,0)</f>
        <v>Airtight Storage Container</v>
      </c>
      <c r="E1027" t="str">
        <f>_xlfn.XLOOKUP(B1027,customers!$A$2:$A$195,customers!$B$2:$B$195,,0)</f>
        <v>West</v>
      </c>
      <c r="F1027">
        <v>1038</v>
      </c>
      <c r="G1027" s="9">
        <f>_xlfn.XLOOKUP(B1027,customers!$A$1:$A$195,customers!$C$1:$C$195)</f>
        <v>45201</v>
      </c>
      <c r="H1027" s="13">
        <v>45849</v>
      </c>
      <c r="I1027">
        <v>4</v>
      </c>
      <c r="J1027">
        <v>244.16</v>
      </c>
      <c r="K1027">
        <v>102.83</v>
      </c>
      <c r="L1027">
        <f>_xlfn.XLOOKUP(F1027,Products!$A$2:$A$51,Products!$D$2:$D$51,0)</f>
        <v>61.04</v>
      </c>
      <c r="M1027">
        <f t="shared" ref="M1027:M1090" si="16">J1027-K1027</f>
        <v>141.33</v>
      </c>
    </row>
    <row r="1028" spans="1:13">
      <c r="A1028" t="s">
        <v>1436</v>
      </c>
      <c r="B1028" t="s">
        <v>55</v>
      </c>
      <c r="C1028" t="str">
        <f>_xlfn.XLOOKUP(F1028,Products!$A$2:$A$51,Products!$C$2:$C$51,0)</f>
        <v>Merchandise</v>
      </c>
      <c r="D1028" t="str">
        <f>_xlfn.XLOOKUP(F1028,Products!$A$2:$A$51,Products!$B$2:$B$51,0)</f>
        <v>Logo Hoodie (Black)</v>
      </c>
      <c r="E1028" t="str">
        <f>_xlfn.XLOOKUP(B1028,customers!$A$2:$A$195,customers!$B$2:$B$195,,0)</f>
        <v>South</v>
      </c>
      <c r="F1028">
        <v>1017</v>
      </c>
      <c r="G1028" s="9">
        <f>_xlfn.XLOOKUP(B1028,customers!$A$1:$A$195,customers!$C$1:$C$195)</f>
        <v>45223</v>
      </c>
      <c r="H1028" s="13">
        <v>45849</v>
      </c>
      <c r="I1028">
        <v>1</v>
      </c>
      <c r="J1028">
        <v>15.23</v>
      </c>
      <c r="K1028">
        <v>13.4</v>
      </c>
      <c r="L1028">
        <f>_xlfn.XLOOKUP(F1028,Products!$A$2:$A$51,Products!$D$2:$D$51,0)</f>
        <v>15.23</v>
      </c>
      <c r="M1028">
        <f t="shared" si="16"/>
        <v>1.83</v>
      </c>
    </row>
    <row r="1029" spans="1:13">
      <c r="A1029" t="s">
        <v>1437</v>
      </c>
      <c r="B1029" t="s">
        <v>122</v>
      </c>
      <c r="C1029" t="str">
        <f>_xlfn.XLOOKUP(F1029,Products!$A$2:$A$51,Products!$C$2:$C$51,0)</f>
        <v>Accessories</v>
      </c>
      <c r="D1029" t="str">
        <f>_xlfn.XLOOKUP(F1029,Products!$A$2:$A$51,Products!$B$2:$B$51,0)</f>
        <v>Gooseneck Electric Kettle</v>
      </c>
      <c r="E1029" t="str">
        <f>_xlfn.XLOOKUP(B1029,customers!$A$2:$A$195,customers!$B$2:$B$195,,0)</f>
        <v>North</v>
      </c>
      <c r="F1029">
        <v>1037</v>
      </c>
      <c r="G1029" s="9">
        <f>_xlfn.XLOOKUP(B1029,customers!$A$1:$A$195,customers!$C$1:$C$195)</f>
        <v>45015</v>
      </c>
      <c r="H1029" s="13">
        <v>45849</v>
      </c>
      <c r="I1029">
        <v>4</v>
      </c>
      <c r="J1029">
        <v>139.48</v>
      </c>
      <c r="K1029">
        <v>103.88</v>
      </c>
      <c r="L1029">
        <f>_xlfn.XLOOKUP(F1029,Products!$A$2:$A$51,Products!$D$2:$D$51,0)</f>
        <v>34.87</v>
      </c>
      <c r="M1029">
        <f t="shared" si="16"/>
        <v>35.6</v>
      </c>
    </row>
    <row r="1030" spans="1:13">
      <c r="A1030" t="s">
        <v>1438</v>
      </c>
      <c r="B1030" t="s">
        <v>126</v>
      </c>
      <c r="C1030" t="str">
        <f>_xlfn.XLOOKUP(F1030,Products!$A$2:$A$51,Products!$C$2:$C$51,0)</f>
        <v>Grinders &amp; Brewers</v>
      </c>
      <c r="D1030" t="str">
        <f>_xlfn.XLOOKUP(F1030,Products!$A$2:$A$51,Products!$B$2:$B$51,0)</f>
        <v>Pour-Over Starter Kit</v>
      </c>
      <c r="E1030" t="str">
        <f>_xlfn.XLOOKUP(B1030,customers!$A$2:$A$195,customers!$B$2:$B$195,,0)</f>
        <v>North</v>
      </c>
      <c r="F1030">
        <v>1035</v>
      </c>
      <c r="G1030" s="9">
        <f>_xlfn.XLOOKUP(B1030,customers!$A$1:$A$195,customers!$C$1:$C$195)</f>
        <v>45192</v>
      </c>
      <c r="H1030" s="13">
        <v>45849</v>
      </c>
      <c r="I1030">
        <v>1</v>
      </c>
      <c r="J1030">
        <v>105.23</v>
      </c>
      <c r="K1030">
        <v>74.74</v>
      </c>
      <c r="L1030">
        <f>_xlfn.XLOOKUP(F1030,Products!$A$2:$A$51,Products!$D$2:$D$51,0)</f>
        <v>105.23</v>
      </c>
      <c r="M1030">
        <f t="shared" si="16"/>
        <v>30.49</v>
      </c>
    </row>
    <row r="1031" spans="1:13">
      <c r="A1031" t="s">
        <v>1439</v>
      </c>
      <c r="B1031" t="s">
        <v>163</v>
      </c>
      <c r="C1031" t="str">
        <f>_xlfn.XLOOKUP(F1031,Products!$A$2:$A$51,Products!$C$2:$C$51,0)</f>
        <v>Grinders &amp; Brewers</v>
      </c>
      <c r="D1031" t="str">
        <f>_xlfn.XLOOKUP(F1031,Products!$A$2:$A$51,Products!$B$2:$B$51,0)</f>
        <v>Pour-Over Starter Kit</v>
      </c>
      <c r="E1031" t="str">
        <f>_xlfn.XLOOKUP(B1031,customers!$A$2:$A$195,customers!$B$2:$B$195,,0)</f>
        <v>West</v>
      </c>
      <c r="F1031">
        <v>1010</v>
      </c>
      <c r="G1031" s="9">
        <f>_xlfn.XLOOKUP(B1031,customers!$A$1:$A$195,customers!$C$1:$C$195)</f>
        <v>45140</v>
      </c>
      <c r="H1031" s="13">
        <v>45849</v>
      </c>
      <c r="I1031">
        <v>2</v>
      </c>
      <c r="J1031">
        <v>210.46</v>
      </c>
      <c r="K1031">
        <v>149.49</v>
      </c>
      <c r="L1031">
        <f>_xlfn.XLOOKUP(F1031,Products!$A$2:$A$51,Products!$D$2:$D$51,0)</f>
        <v>105.23</v>
      </c>
      <c r="M1031">
        <f t="shared" si="16"/>
        <v>60.97</v>
      </c>
    </row>
    <row r="1032" spans="1:13">
      <c r="A1032" t="s">
        <v>1440</v>
      </c>
      <c r="B1032" t="s">
        <v>188</v>
      </c>
      <c r="C1032" t="str">
        <f>_xlfn.XLOOKUP(F1032,Products!$A$2:$A$51,Products!$C$2:$C$51,0)</f>
        <v>Grinders &amp; Brewers</v>
      </c>
      <c r="D1032" t="str">
        <f>_xlfn.XLOOKUP(F1032,Products!$A$2:$A$51,Products!$B$2:$B$51,0)</f>
        <v>Precision Electric Grinder</v>
      </c>
      <c r="E1032" t="str">
        <f>_xlfn.XLOOKUP(B1032,customers!$A$2:$A$195,customers!$B$2:$B$195,,0)</f>
        <v>West</v>
      </c>
      <c r="F1032">
        <v>1031</v>
      </c>
      <c r="G1032" s="9">
        <f>_xlfn.XLOOKUP(B1032,customers!$A$1:$A$195,customers!$C$1:$C$195)</f>
        <v>45003</v>
      </c>
      <c r="H1032" s="13">
        <v>45849</v>
      </c>
      <c r="I1032">
        <v>3</v>
      </c>
      <c r="J1032">
        <v>696.6</v>
      </c>
      <c r="K1032">
        <v>235.16</v>
      </c>
      <c r="L1032">
        <f>_xlfn.XLOOKUP(F1032,Products!$A$2:$A$51,Products!$D$2:$D$51,0)</f>
        <v>232.2</v>
      </c>
      <c r="M1032">
        <f t="shared" si="16"/>
        <v>461.44</v>
      </c>
    </row>
    <row r="1033" spans="1:13">
      <c r="A1033" t="s">
        <v>1441</v>
      </c>
      <c r="B1033" t="s">
        <v>41</v>
      </c>
      <c r="C1033" t="str">
        <f>_xlfn.XLOOKUP(F1033,Products!$A$2:$A$51,Products!$C$2:$C$51,0)</f>
        <v>Subscriptions</v>
      </c>
      <c r="D1033" t="str">
        <f>_xlfn.XLOOKUP(F1033,Products!$A$2:$A$51,Products!$B$2:$B$51,0)</f>
        <v>Three-Month Gift Subscription</v>
      </c>
      <c r="E1033" t="str">
        <f>_xlfn.XLOOKUP(B1033,customers!$A$2:$A$195,customers!$B$2:$B$195,,0)</f>
        <v>West</v>
      </c>
      <c r="F1033">
        <v>1048</v>
      </c>
      <c r="G1033" s="9">
        <f>_xlfn.XLOOKUP(B1033,customers!$A$1:$A$195,customers!$C$1:$C$195)</f>
        <v>44960</v>
      </c>
      <c r="H1033" s="13">
        <v>45941</v>
      </c>
      <c r="I1033">
        <v>4</v>
      </c>
      <c r="J1033">
        <v>260.84</v>
      </c>
      <c r="K1033">
        <v>110.44</v>
      </c>
      <c r="L1033">
        <f>_xlfn.XLOOKUP(F1033,Products!$A$2:$A$51,Products!$D$2:$D$51,0)</f>
        <v>65.21</v>
      </c>
      <c r="M1033">
        <f t="shared" si="16"/>
        <v>150.4</v>
      </c>
    </row>
    <row r="1034" spans="1:13">
      <c r="A1034" t="s">
        <v>1442</v>
      </c>
      <c r="B1034" t="s">
        <v>80</v>
      </c>
      <c r="C1034" t="str">
        <f>_xlfn.XLOOKUP(F1034,Products!$A$2:$A$51,Products!$C$2:$C$51,0)</f>
        <v>Consumables</v>
      </c>
      <c r="D1034" t="str">
        <f>_xlfn.XLOOKUP(F1034,Products!$A$2:$A$51,Products!$B$2:$B$51,0)</f>
        <v>Decaf Blend (1kg)</v>
      </c>
      <c r="E1034" t="str">
        <f>_xlfn.XLOOKUP(B1034,customers!$A$2:$A$195,customers!$B$2:$B$195,,0)</f>
        <v>West</v>
      </c>
      <c r="F1034">
        <v>1028</v>
      </c>
      <c r="G1034" s="9">
        <f>_xlfn.XLOOKUP(B1034,customers!$A$1:$A$195,customers!$C$1:$C$195)</f>
        <v>45200</v>
      </c>
      <c r="H1034" s="13">
        <v>45941</v>
      </c>
      <c r="I1034">
        <v>2</v>
      </c>
      <c r="J1034">
        <v>80.7</v>
      </c>
      <c r="K1034">
        <v>25.72</v>
      </c>
      <c r="L1034">
        <f>_xlfn.XLOOKUP(F1034,Products!$A$2:$A$51,Products!$D$2:$D$51,0)</f>
        <v>40.35</v>
      </c>
      <c r="M1034">
        <f t="shared" si="16"/>
        <v>54.98</v>
      </c>
    </row>
    <row r="1035" spans="1:13">
      <c r="A1035" t="s">
        <v>1443</v>
      </c>
      <c r="B1035" t="s">
        <v>154</v>
      </c>
      <c r="C1035" t="str">
        <f>_xlfn.XLOOKUP(F1035,Products!$A$2:$A$51,Products!$C$2:$C$51,0)</f>
        <v>Grinders &amp; Brewers</v>
      </c>
      <c r="D1035" t="str">
        <f>_xlfn.XLOOKUP(F1035,Products!$A$2:$A$51,Products!$B$2:$B$51,0)</f>
        <v>Precision Electric Grinder</v>
      </c>
      <c r="E1035" t="str">
        <f>_xlfn.XLOOKUP(B1035,customers!$A$2:$A$195,customers!$B$2:$B$195,,0)</f>
        <v>West</v>
      </c>
      <c r="F1035">
        <v>1006</v>
      </c>
      <c r="G1035" s="9">
        <f>_xlfn.XLOOKUP(B1035,customers!$A$1:$A$195,customers!$C$1:$C$195)</f>
        <v>45242</v>
      </c>
      <c r="H1035" s="13">
        <v>45941</v>
      </c>
      <c r="I1035">
        <v>2</v>
      </c>
      <c r="J1035">
        <v>464.4</v>
      </c>
      <c r="K1035">
        <v>156.77</v>
      </c>
      <c r="L1035">
        <f>_xlfn.XLOOKUP(F1035,Products!$A$2:$A$51,Products!$D$2:$D$51,0)</f>
        <v>232.2</v>
      </c>
      <c r="M1035">
        <f t="shared" si="16"/>
        <v>307.63</v>
      </c>
    </row>
    <row r="1036" spans="1:13">
      <c r="A1036" t="s">
        <v>1444</v>
      </c>
      <c r="B1036" t="s">
        <v>159</v>
      </c>
      <c r="C1036" t="str">
        <f>_xlfn.XLOOKUP(F1036,Products!$A$2:$A$51,Products!$C$2:$C$51,0)</f>
        <v>Grinders &amp; Brewers</v>
      </c>
      <c r="D1036" t="str">
        <f>_xlfn.XLOOKUP(F1036,Products!$A$2:$A$51,Products!$B$2:$B$51,0)</f>
        <v>High-Capacity French Press</v>
      </c>
      <c r="E1036" t="str">
        <f>_xlfn.XLOOKUP(B1036,customers!$A$2:$A$195,customers!$B$2:$B$195,,0)</f>
        <v>West</v>
      </c>
      <c r="F1036">
        <v>1034</v>
      </c>
      <c r="G1036" s="9">
        <f>_xlfn.XLOOKUP(B1036,customers!$A$1:$A$195,customers!$C$1:$C$195)</f>
        <v>45153</v>
      </c>
      <c r="H1036" s="13">
        <v>45941</v>
      </c>
      <c r="I1036">
        <v>1</v>
      </c>
      <c r="J1036">
        <v>338.36</v>
      </c>
      <c r="K1036">
        <v>148.17</v>
      </c>
      <c r="L1036">
        <f>_xlfn.XLOOKUP(F1036,Products!$A$2:$A$51,Products!$D$2:$D$51,0)</f>
        <v>338.36</v>
      </c>
      <c r="M1036">
        <f t="shared" si="16"/>
        <v>190.19</v>
      </c>
    </row>
    <row r="1037" spans="1:13">
      <c r="A1037" t="s">
        <v>1445</v>
      </c>
      <c r="B1037" t="s">
        <v>7</v>
      </c>
      <c r="C1037" t="str">
        <f>_xlfn.XLOOKUP(F1037,Products!$A$2:$A$51,Products!$C$2:$C$51,0)</f>
        <v>Merchandise</v>
      </c>
      <c r="D1037" t="str">
        <f>_xlfn.XLOOKUP(F1037,Products!$A$2:$A$51,Products!$B$2:$B$51,0)</f>
        <v>Daily Grind T-Shirt</v>
      </c>
      <c r="E1037" t="str">
        <f>_xlfn.XLOOKUP(B1037,customers!$A$2:$A$195,customers!$B$2:$B$195,,0)</f>
        <v>West</v>
      </c>
      <c r="F1037">
        <v>1019</v>
      </c>
      <c r="G1037" s="9">
        <f>_xlfn.XLOOKUP(B1037,customers!$A$1:$A$195,customers!$C$1:$C$195)</f>
        <v>45177</v>
      </c>
      <c r="H1037" s="13">
        <v>45972</v>
      </c>
      <c r="I1037">
        <v>1</v>
      </c>
      <c r="J1037">
        <v>21.37</v>
      </c>
      <c r="K1037">
        <v>8.26</v>
      </c>
      <c r="L1037">
        <f>_xlfn.XLOOKUP(F1037,Products!$A$2:$A$51,Products!$D$2:$D$51,0)</f>
        <v>21.37</v>
      </c>
      <c r="M1037">
        <f t="shared" si="16"/>
        <v>13.11</v>
      </c>
    </row>
    <row r="1038" spans="1:13">
      <c r="A1038" t="s">
        <v>1446</v>
      </c>
      <c r="B1038" t="s">
        <v>90</v>
      </c>
      <c r="C1038" t="str">
        <f>_xlfn.XLOOKUP(F1038,Products!$A$2:$A$51,Products!$C$2:$C$51,0)</f>
        <v>Subscriptions</v>
      </c>
      <c r="D1038" t="str">
        <f>_xlfn.XLOOKUP(F1038,Products!$A$2:$A$51,Products!$B$2:$B$51,0)</f>
        <v>Bi-Weekly Sampler Box</v>
      </c>
      <c r="E1038" t="str">
        <f>_xlfn.XLOOKUP(B1038,customers!$A$2:$A$195,customers!$B$2:$B$195,,0)</f>
        <v>East</v>
      </c>
      <c r="F1038">
        <v>1047</v>
      </c>
      <c r="G1038" s="9">
        <f>_xlfn.XLOOKUP(B1038,customers!$A$1:$A$195,customers!$C$1:$C$195)</f>
        <v>45043</v>
      </c>
      <c r="H1038" s="13">
        <v>45972</v>
      </c>
      <c r="I1038">
        <v>3</v>
      </c>
      <c r="J1038">
        <v>266.31</v>
      </c>
      <c r="K1038">
        <v>71.58</v>
      </c>
      <c r="L1038">
        <f>_xlfn.XLOOKUP(F1038,Products!$A$2:$A$51,Products!$D$2:$D$51,0)</f>
        <v>88.77</v>
      </c>
      <c r="M1038">
        <f t="shared" si="16"/>
        <v>194.73</v>
      </c>
    </row>
    <row r="1039" spans="1:13">
      <c r="A1039" t="s">
        <v>1447</v>
      </c>
      <c r="B1039" t="s">
        <v>93</v>
      </c>
      <c r="C1039" t="str">
        <f>_xlfn.XLOOKUP(F1039,Products!$A$2:$A$51,Products!$C$2:$C$51,0)</f>
        <v>Grinders &amp; Brewers</v>
      </c>
      <c r="D1039" t="str">
        <f>_xlfn.XLOOKUP(F1039,Products!$A$2:$A$51,Products!$B$2:$B$51,0)</f>
        <v>Pour-Over Starter Kit</v>
      </c>
      <c r="E1039" t="str">
        <f>_xlfn.XLOOKUP(B1039,customers!$A$2:$A$195,customers!$B$2:$B$195,,0)</f>
        <v>West</v>
      </c>
      <c r="F1039">
        <v>1035</v>
      </c>
      <c r="G1039" s="9">
        <f>_xlfn.XLOOKUP(B1039,customers!$A$1:$A$195,customers!$C$1:$C$195)</f>
        <v>45244</v>
      </c>
      <c r="H1039" s="13">
        <v>45972</v>
      </c>
      <c r="I1039">
        <v>2</v>
      </c>
      <c r="J1039">
        <v>210.46</v>
      </c>
      <c r="K1039">
        <v>149.49</v>
      </c>
      <c r="L1039">
        <f>_xlfn.XLOOKUP(F1039,Products!$A$2:$A$51,Products!$D$2:$D$51,0)</f>
        <v>105.23</v>
      </c>
      <c r="M1039">
        <f t="shared" si="16"/>
        <v>60.97</v>
      </c>
    </row>
    <row r="1040" spans="1:13">
      <c r="A1040" t="s">
        <v>1448</v>
      </c>
      <c r="B1040" t="s">
        <v>168</v>
      </c>
      <c r="C1040" t="str">
        <f>_xlfn.XLOOKUP(F1040,Products!$A$2:$A$51,Products!$C$2:$C$51,0)</f>
        <v>Subscriptions</v>
      </c>
      <c r="D1040" t="str">
        <f>_xlfn.XLOOKUP(F1040,Products!$A$2:$A$51,Products!$B$2:$B$51,0)</f>
        <v>Three-Month Gift Subscription</v>
      </c>
      <c r="E1040" t="str">
        <f>_xlfn.XLOOKUP(B1040,customers!$A$2:$A$195,customers!$B$2:$B$195,,0)</f>
        <v>West</v>
      </c>
      <c r="F1040">
        <v>1048</v>
      </c>
      <c r="G1040" s="9">
        <f>_xlfn.XLOOKUP(B1040,customers!$A$1:$A$195,customers!$C$1:$C$195)</f>
        <v>45128</v>
      </c>
      <c r="H1040" s="13">
        <v>45972</v>
      </c>
      <c r="I1040">
        <v>1</v>
      </c>
      <c r="J1040">
        <v>65.21</v>
      </c>
      <c r="K1040">
        <v>27.61</v>
      </c>
      <c r="L1040">
        <f>_xlfn.XLOOKUP(F1040,Products!$A$2:$A$51,Products!$D$2:$D$51,0)</f>
        <v>65.21</v>
      </c>
      <c r="M1040">
        <f t="shared" si="16"/>
        <v>37.6</v>
      </c>
    </row>
    <row r="1041" spans="1:13">
      <c r="A1041" t="s">
        <v>1449</v>
      </c>
      <c r="B1041" t="s">
        <v>173</v>
      </c>
      <c r="C1041" t="str">
        <f>_xlfn.XLOOKUP(F1041,Products!$A$2:$A$51,Products!$C$2:$C$51,0)</f>
        <v>Consumables</v>
      </c>
      <c r="D1041" t="str">
        <f>_xlfn.XLOOKUP(F1041,Products!$A$2:$A$51,Products!$B$2:$B$51,0)</f>
        <v>Espresso Bean Sampler Pack</v>
      </c>
      <c r="E1041" t="str">
        <f>_xlfn.XLOOKUP(B1041,customers!$A$2:$A$195,customers!$B$2:$B$195,,0)</f>
        <v>West</v>
      </c>
      <c r="F1041">
        <v>1030</v>
      </c>
      <c r="G1041" s="9">
        <f>_xlfn.XLOOKUP(B1041,customers!$A$1:$A$195,customers!$C$1:$C$195)</f>
        <v>45084</v>
      </c>
      <c r="H1041" s="13">
        <v>45972</v>
      </c>
      <c r="I1041">
        <v>1</v>
      </c>
      <c r="J1041">
        <v>19.06</v>
      </c>
      <c r="K1041">
        <v>11.97</v>
      </c>
      <c r="L1041">
        <f>_xlfn.XLOOKUP(F1041,Products!$A$2:$A$51,Products!$D$2:$D$51,0)</f>
        <v>19.06</v>
      </c>
      <c r="M1041">
        <f t="shared" si="16"/>
        <v>7.09</v>
      </c>
    </row>
    <row r="1042" spans="1:13">
      <c r="A1042" t="s">
        <v>1450</v>
      </c>
      <c r="B1042" t="s">
        <v>17</v>
      </c>
      <c r="C1042" t="str">
        <f>_xlfn.XLOOKUP(F1042,Products!$A$2:$A$51,Products!$C$2:$C$51,0)</f>
        <v>Consumables</v>
      </c>
      <c r="D1042" t="str">
        <f>_xlfn.XLOOKUP(F1042,Products!$A$2:$A$51,Products!$B$2:$B$51,0)</f>
        <v>Espresso Bean Sampler Pack</v>
      </c>
      <c r="E1042" t="str">
        <f>_xlfn.XLOOKUP(B1042,customers!$A$2:$A$195,customers!$B$2:$B$195,,0)</f>
        <v>West</v>
      </c>
      <c r="F1042">
        <v>1030</v>
      </c>
      <c r="G1042" s="9">
        <f>_xlfn.XLOOKUP(B1042,customers!$A$1:$A$195,customers!$C$1:$C$195)</f>
        <v>45041</v>
      </c>
      <c r="H1042" s="13">
        <v>46002</v>
      </c>
      <c r="I1042">
        <v>1</v>
      </c>
      <c r="J1042">
        <v>19.06</v>
      </c>
      <c r="K1042">
        <v>11.97</v>
      </c>
      <c r="L1042">
        <f>_xlfn.XLOOKUP(F1042,Products!$A$2:$A$51,Products!$D$2:$D$51,0)</f>
        <v>19.06</v>
      </c>
      <c r="M1042">
        <f t="shared" si="16"/>
        <v>7.09</v>
      </c>
    </row>
    <row r="1043" spans="1:13">
      <c r="A1043" t="s">
        <v>1451</v>
      </c>
      <c r="B1043" t="s">
        <v>75</v>
      </c>
      <c r="C1043" t="str">
        <f>_xlfn.XLOOKUP(F1043,Products!$A$2:$A$51,Products!$C$2:$C$51,0)</f>
        <v>Merchandise</v>
      </c>
      <c r="D1043" t="str">
        <f>_xlfn.XLOOKUP(F1043,Products!$A$2:$A$51,Products!$B$2:$B$51,0)</f>
        <v>Branded Ceramic Mug (Large)</v>
      </c>
      <c r="E1043" t="str">
        <f>_xlfn.XLOOKUP(B1043,customers!$A$2:$A$195,customers!$B$2:$B$195,,0)</f>
        <v>East</v>
      </c>
      <c r="F1043">
        <v>1041</v>
      </c>
      <c r="G1043" s="9">
        <f>_xlfn.XLOOKUP(B1043,customers!$A$1:$A$195,customers!$C$1:$C$195)</f>
        <v>45190</v>
      </c>
      <c r="H1043" s="13">
        <v>46002</v>
      </c>
      <c r="I1043">
        <v>3</v>
      </c>
      <c r="J1043">
        <v>129.6</v>
      </c>
      <c r="K1043">
        <v>93.32</v>
      </c>
      <c r="L1043">
        <f>_xlfn.XLOOKUP(F1043,Products!$A$2:$A$51,Products!$D$2:$D$51,0)</f>
        <v>43.2</v>
      </c>
      <c r="M1043">
        <f t="shared" si="16"/>
        <v>36.28</v>
      </c>
    </row>
    <row r="1044" spans="1:13">
      <c r="A1044" t="s">
        <v>1452</v>
      </c>
      <c r="B1044" t="s">
        <v>79</v>
      </c>
      <c r="C1044" t="str">
        <f>_xlfn.XLOOKUP(F1044,Products!$A$2:$A$51,Products!$C$2:$C$51,0)</f>
        <v>Subscriptions</v>
      </c>
      <c r="D1044" t="str">
        <f>_xlfn.XLOOKUP(F1044,Products!$A$2:$A$51,Products!$B$2:$B$51,0)</f>
        <v>Monthly Dark Roast Subscription</v>
      </c>
      <c r="E1044" t="str">
        <f>_xlfn.XLOOKUP(B1044,customers!$A$2:$A$195,customers!$B$2:$B$195,,0)</f>
        <v>South</v>
      </c>
      <c r="F1044">
        <v>1046</v>
      </c>
      <c r="G1044" s="9">
        <f>_xlfn.XLOOKUP(B1044,customers!$A$1:$A$195,customers!$C$1:$C$195)</f>
        <v>44978</v>
      </c>
      <c r="H1044" s="13">
        <v>46002</v>
      </c>
      <c r="I1044">
        <v>2</v>
      </c>
      <c r="J1044">
        <v>122.52</v>
      </c>
      <c r="K1044">
        <v>70.29</v>
      </c>
      <c r="L1044">
        <f>_xlfn.XLOOKUP(F1044,Products!$A$2:$A$51,Products!$D$2:$D$51,0)</f>
        <v>61.26</v>
      </c>
      <c r="M1044">
        <f t="shared" si="16"/>
        <v>52.23</v>
      </c>
    </row>
    <row r="1045" spans="1:13">
      <c r="A1045" t="s">
        <v>1453</v>
      </c>
      <c r="B1045" t="s">
        <v>90</v>
      </c>
      <c r="C1045" t="str">
        <f>_xlfn.XLOOKUP(F1045,Products!$A$2:$A$51,Products!$C$2:$C$51,0)</f>
        <v>Subscriptions</v>
      </c>
      <c r="D1045" t="str">
        <f>_xlfn.XLOOKUP(F1045,Products!$A$2:$A$51,Products!$B$2:$B$51,0)</f>
        <v>Bi-Weekly Sampler Box</v>
      </c>
      <c r="E1045" t="str">
        <f>_xlfn.XLOOKUP(B1045,customers!$A$2:$A$195,customers!$B$2:$B$195,,0)</f>
        <v>East</v>
      </c>
      <c r="F1045">
        <v>1047</v>
      </c>
      <c r="G1045" s="9">
        <f>_xlfn.XLOOKUP(B1045,customers!$A$1:$A$195,customers!$C$1:$C$195)</f>
        <v>45043</v>
      </c>
      <c r="H1045" s="13">
        <v>46002</v>
      </c>
      <c r="I1045">
        <v>2</v>
      </c>
      <c r="J1045">
        <v>177.54</v>
      </c>
      <c r="K1045">
        <v>47.72</v>
      </c>
      <c r="L1045">
        <f>_xlfn.XLOOKUP(F1045,Products!$A$2:$A$51,Products!$D$2:$D$51,0)</f>
        <v>88.77</v>
      </c>
      <c r="M1045">
        <f t="shared" si="16"/>
        <v>129.82</v>
      </c>
    </row>
    <row r="1046" spans="1:13">
      <c r="A1046" t="s">
        <v>1454</v>
      </c>
      <c r="B1046" t="s">
        <v>78</v>
      </c>
      <c r="C1046" t="str">
        <f>_xlfn.XLOOKUP(F1046,Products!$A$2:$A$51,Products!$C$2:$C$51,0)</f>
        <v>Accessories</v>
      </c>
      <c r="D1046" t="str">
        <f>_xlfn.XLOOKUP(F1046,Products!$A$2:$A$51,Products!$B$2:$B$51,0)</f>
        <v>Chemex Filters (100 pack)</v>
      </c>
      <c r="E1046" t="str">
        <f>_xlfn.XLOOKUP(B1046,customers!$A$2:$A$195,customers!$B$2:$B$195,,0)</f>
        <v>North</v>
      </c>
      <c r="F1046">
        <v>1039</v>
      </c>
      <c r="G1046" s="9">
        <f>_xlfn.XLOOKUP(B1046,customers!$A$1:$A$195,customers!$C$1:$C$195)</f>
        <v>44961</v>
      </c>
      <c r="H1046" s="13" t="s">
        <v>1455</v>
      </c>
      <c r="I1046">
        <v>2</v>
      </c>
      <c r="J1046">
        <v>48.2</v>
      </c>
      <c r="K1046">
        <v>42.42</v>
      </c>
      <c r="L1046">
        <f>_xlfn.XLOOKUP(F1046,Products!$A$2:$A$51,Products!$D$2:$D$51,0)</f>
        <v>24.1</v>
      </c>
      <c r="M1046">
        <f t="shared" si="16"/>
        <v>5.78</v>
      </c>
    </row>
    <row r="1047" spans="1:13">
      <c r="A1047" t="s">
        <v>1456</v>
      </c>
      <c r="B1047" t="s">
        <v>144</v>
      </c>
      <c r="C1047" t="str">
        <f>_xlfn.XLOOKUP(F1047,Products!$A$2:$A$51,Products!$C$2:$C$51,0)</f>
        <v>Accessories</v>
      </c>
      <c r="D1047" t="str">
        <f>_xlfn.XLOOKUP(F1047,Products!$A$2:$A$51,Products!$B$2:$B$51,0)</f>
        <v>Airtight Storage Container</v>
      </c>
      <c r="E1047" t="str">
        <f>_xlfn.XLOOKUP(B1047,customers!$A$2:$A$195,customers!$B$2:$B$195,,0)</f>
        <v>South</v>
      </c>
      <c r="F1047">
        <v>1038</v>
      </c>
      <c r="G1047" s="9">
        <f>_xlfn.XLOOKUP(B1047,customers!$A$1:$A$195,customers!$C$1:$C$195)</f>
        <v>45085</v>
      </c>
      <c r="H1047" s="13" t="s">
        <v>1455</v>
      </c>
      <c r="I1047">
        <v>3</v>
      </c>
      <c r="J1047">
        <v>183.12</v>
      </c>
      <c r="K1047">
        <v>77.12</v>
      </c>
      <c r="L1047">
        <f>_xlfn.XLOOKUP(F1047,Products!$A$2:$A$51,Products!$D$2:$D$51,0)</f>
        <v>61.04</v>
      </c>
      <c r="M1047">
        <f t="shared" si="16"/>
        <v>106</v>
      </c>
    </row>
    <row r="1048" spans="1:13">
      <c r="A1048" t="s">
        <v>1457</v>
      </c>
      <c r="B1048" t="s">
        <v>69</v>
      </c>
      <c r="C1048" t="str">
        <f>_xlfn.XLOOKUP(F1048,Products!$A$2:$A$51,Products!$C$2:$C$51,0)</f>
        <v>Subscriptions</v>
      </c>
      <c r="D1048" t="str">
        <f>_xlfn.XLOOKUP(F1048,Products!$A$2:$A$51,Products!$B$2:$B$51,0)</f>
        <v>Subscription Renewal Service</v>
      </c>
      <c r="E1048" t="str">
        <f>_xlfn.XLOOKUP(B1048,customers!$A$2:$A$195,customers!$B$2:$B$195,,0)</f>
        <v>East</v>
      </c>
      <c r="F1048">
        <v>1050</v>
      </c>
      <c r="G1048" s="9">
        <f>_xlfn.XLOOKUP(B1048,customers!$A$1:$A$195,customers!$C$1:$C$195)</f>
        <v>44933</v>
      </c>
      <c r="H1048" s="13" t="s">
        <v>1458</v>
      </c>
      <c r="I1048">
        <v>3</v>
      </c>
      <c r="J1048">
        <v>220.23</v>
      </c>
      <c r="K1048">
        <v>81.87</v>
      </c>
      <c r="L1048">
        <f>_xlfn.XLOOKUP(F1048,Products!$A$2:$A$51,Products!$D$2:$D$51,0)</f>
        <v>73.41</v>
      </c>
      <c r="M1048">
        <f t="shared" si="16"/>
        <v>138.36</v>
      </c>
    </row>
    <row r="1049" spans="1:13">
      <c r="A1049" t="s">
        <v>1459</v>
      </c>
      <c r="B1049" t="s">
        <v>86</v>
      </c>
      <c r="C1049" t="str">
        <f>_xlfn.XLOOKUP(F1049,Products!$A$2:$A$51,Products!$C$2:$C$51,0)</f>
        <v>Merchandise</v>
      </c>
      <c r="D1049" t="str">
        <f>_xlfn.XLOOKUP(F1049,Products!$A$2:$A$51,Products!$B$2:$B$51,0)</f>
        <v>Daily Grind T-Shirt</v>
      </c>
      <c r="E1049" t="str">
        <f>_xlfn.XLOOKUP(B1049,customers!$A$2:$A$195,customers!$B$2:$B$195,,0)</f>
        <v>North</v>
      </c>
      <c r="F1049">
        <v>1044</v>
      </c>
      <c r="G1049" s="9">
        <f>_xlfn.XLOOKUP(B1049,customers!$A$1:$A$195,customers!$C$1:$C$195)</f>
        <v>45227</v>
      </c>
      <c r="H1049" s="13" t="s">
        <v>1458</v>
      </c>
      <c r="I1049">
        <v>4</v>
      </c>
      <c r="J1049">
        <v>85.48</v>
      </c>
      <c r="K1049">
        <v>33.04</v>
      </c>
      <c r="L1049">
        <f>_xlfn.XLOOKUP(F1049,Products!$A$2:$A$51,Products!$D$2:$D$51,0)</f>
        <v>21.37</v>
      </c>
      <c r="M1049">
        <f t="shared" si="16"/>
        <v>52.44</v>
      </c>
    </row>
    <row r="1050" spans="1:13">
      <c r="A1050" t="s">
        <v>1460</v>
      </c>
      <c r="B1050" t="s">
        <v>87</v>
      </c>
      <c r="C1050" t="str">
        <f>_xlfn.XLOOKUP(F1050,Products!$A$2:$A$51,Products!$C$2:$C$51,0)</f>
        <v>Subscriptions</v>
      </c>
      <c r="D1050" t="str">
        <f>_xlfn.XLOOKUP(F1050,Products!$A$2:$A$51,Products!$B$2:$B$51,0)</f>
        <v>Espresso Lovers Quarterly Pack</v>
      </c>
      <c r="E1050" t="str">
        <f>_xlfn.XLOOKUP(B1050,customers!$A$2:$A$195,customers!$B$2:$B$195,,0)</f>
        <v>South</v>
      </c>
      <c r="F1050">
        <v>1049</v>
      </c>
      <c r="G1050" s="9">
        <f>_xlfn.XLOOKUP(B1050,customers!$A$1:$A$195,customers!$C$1:$C$195)</f>
        <v>45019</v>
      </c>
      <c r="H1050" s="13" t="s">
        <v>1458</v>
      </c>
      <c r="I1050">
        <v>2</v>
      </c>
      <c r="J1050">
        <v>149.74</v>
      </c>
      <c r="K1050">
        <v>38.39</v>
      </c>
      <c r="L1050">
        <f>_xlfn.XLOOKUP(F1050,Products!$A$2:$A$51,Products!$D$2:$D$51,0)</f>
        <v>74.87</v>
      </c>
      <c r="M1050">
        <f t="shared" si="16"/>
        <v>111.35</v>
      </c>
    </row>
    <row r="1051" spans="1:13">
      <c r="A1051" t="s">
        <v>1461</v>
      </c>
      <c r="B1051" t="s">
        <v>51</v>
      </c>
      <c r="C1051" t="str">
        <f>_xlfn.XLOOKUP(F1051,Products!$A$2:$A$51,Products!$C$2:$C$51,0)</f>
        <v>Consumables</v>
      </c>
      <c r="D1051" t="str">
        <f>_xlfn.XLOOKUP(F1051,Products!$A$2:$A$51,Products!$B$2:$B$51,0)</f>
        <v>Single-Origin Ethiopian (250g)</v>
      </c>
      <c r="E1051" t="str">
        <f>_xlfn.XLOOKUP(B1051,customers!$A$2:$A$195,customers!$B$2:$B$195,,0)</f>
        <v>South</v>
      </c>
      <c r="F1051">
        <v>1001</v>
      </c>
      <c r="G1051" s="9">
        <f>_xlfn.XLOOKUP(B1051,customers!$A$1:$A$195,customers!$C$1:$C$195)</f>
        <v>45096</v>
      </c>
      <c r="H1051" s="13" t="s">
        <v>1462</v>
      </c>
      <c r="I1051">
        <v>3</v>
      </c>
      <c r="J1051">
        <v>58.47</v>
      </c>
      <c r="K1051">
        <v>38.12</v>
      </c>
      <c r="L1051">
        <f>_xlfn.XLOOKUP(F1051,Products!$A$2:$A$51,Products!$D$2:$D$51,0)</f>
        <v>19.49</v>
      </c>
      <c r="M1051">
        <f t="shared" si="16"/>
        <v>20.35</v>
      </c>
    </row>
    <row r="1052" spans="1:13">
      <c r="A1052" t="s">
        <v>1463</v>
      </c>
      <c r="B1052" t="s">
        <v>84</v>
      </c>
      <c r="C1052" t="str">
        <f>_xlfn.XLOOKUP(F1052,Products!$A$2:$A$51,Products!$C$2:$C$51,0)</f>
        <v>Subscriptions</v>
      </c>
      <c r="D1052" t="str">
        <f>_xlfn.XLOOKUP(F1052,Products!$A$2:$A$51,Products!$B$2:$B$51,0)</f>
        <v>Subscription Renewal Service</v>
      </c>
      <c r="E1052" t="str">
        <f>_xlfn.XLOOKUP(B1052,customers!$A$2:$A$195,customers!$B$2:$B$195,,0)</f>
        <v>South</v>
      </c>
      <c r="F1052">
        <v>1050</v>
      </c>
      <c r="G1052" s="9">
        <f>_xlfn.XLOOKUP(B1052,customers!$A$1:$A$195,customers!$C$1:$C$195)</f>
        <v>45174</v>
      </c>
      <c r="H1052" s="13" t="s">
        <v>1464</v>
      </c>
      <c r="I1052">
        <v>4</v>
      </c>
      <c r="J1052">
        <v>293.64</v>
      </c>
      <c r="K1052">
        <v>109.16</v>
      </c>
      <c r="L1052">
        <f>_xlfn.XLOOKUP(F1052,Products!$A$2:$A$51,Products!$D$2:$D$51,0)</f>
        <v>73.41</v>
      </c>
      <c r="M1052">
        <f t="shared" si="16"/>
        <v>184.48</v>
      </c>
    </row>
    <row r="1053" spans="1:13">
      <c r="A1053" t="s">
        <v>1465</v>
      </c>
      <c r="B1053" t="s">
        <v>34</v>
      </c>
      <c r="C1053" t="str">
        <f>_xlfn.XLOOKUP(F1053,Products!$A$2:$A$51,Products!$C$2:$C$51,0)</f>
        <v>Grinders &amp; Brewers</v>
      </c>
      <c r="D1053" t="str">
        <f>_xlfn.XLOOKUP(F1053,Products!$A$2:$A$51,Products!$B$2:$B$51,0)</f>
        <v>Pour-Over Starter Kit</v>
      </c>
      <c r="E1053" t="str">
        <f>_xlfn.XLOOKUP(B1053,customers!$A$2:$A$195,customers!$B$2:$B$195,,0)</f>
        <v>West</v>
      </c>
      <c r="F1053">
        <v>1010</v>
      </c>
      <c r="G1053" s="9">
        <f>_xlfn.XLOOKUP(B1053,customers!$A$1:$A$195,customers!$C$1:$C$195)</f>
        <v>45028</v>
      </c>
      <c r="H1053" s="13" t="s">
        <v>1466</v>
      </c>
      <c r="I1053">
        <v>3</v>
      </c>
      <c r="J1053">
        <v>315.69</v>
      </c>
      <c r="K1053">
        <v>224.24</v>
      </c>
      <c r="L1053">
        <f>_xlfn.XLOOKUP(F1053,Products!$A$2:$A$51,Products!$D$2:$D$51,0)</f>
        <v>105.23</v>
      </c>
      <c r="M1053">
        <f t="shared" si="16"/>
        <v>91.45</v>
      </c>
    </row>
    <row r="1054" spans="1:13">
      <c r="A1054" t="s">
        <v>1467</v>
      </c>
      <c r="B1054" t="s">
        <v>166</v>
      </c>
      <c r="C1054" t="str">
        <f>_xlfn.XLOOKUP(F1054,Products!$A$2:$A$51,Products!$C$2:$C$51,0)</f>
        <v>Grinders &amp; Brewers</v>
      </c>
      <c r="D1054" t="str">
        <f>_xlfn.XLOOKUP(F1054,Products!$A$2:$A$51,Products!$B$2:$B$51,0)</f>
        <v>Automated Drip Brewer</v>
      </c>
      <c r="E1054" t="str">
        <f>_xlfn.XLOOKUP(B1054,customers!$A$2:$A$195,customers!$B$2:$B$195,,0)</f>
        <v>North</v>
      </c>
      <c r="F1054">
        <v>1008</v>
      </c>
      <c r="G1054" s="9">
        <f>_xlfn.XLOOKUP(B1054,customers!$A$1:$A$195,customers!$C$1:$C$195)</f>
        <v>45164</v>
      </c>
      <c r="H1054" s="13" t="s">
        <v>1466</v>
      </c>
      <c r="I1054">
        <v>3</v>
      </c>
      <c r="J1054">
        <v>707.28</v>
      </c>
      <c r="K1054">
        <v>397.45</v>
      </c>
      <c r="L1054">
        <f>_xlfn.XLOOKUP(F1054,Products!$A$2:$A$51,Products!$D$2:$D$51,0)</f>
        <v>235.76</v>
      </c>
      <c r="M1054">
        <f t="shared" si="16"/>
        <v>309.83</v>
      </c>
    </row>
    <row r="1055" spans="1:13">
      <c r="A1055" t="s">
        <v>1468</v>
      </c>
      <c r="B1055" t="s">
        <v>175</v>
      </c>
      <c r="C1055" t="str">
        <f>_xlfn.XLOOKUP(F1055,Products!$A$2:$A$51,Products!$C$2:$C$51,0)</f>
        <v>Accessories</v>
      </c>
      <c r="D1055" t="str">
        <f>_xlfn.XLOOKUP(F1055,Products!$A$2:$A$51,Products!$B$2:$B$51,0)</f>
        <v>Airtight Storage Container</v>
      </c>
      <c r="E1055" t="str">
        <f>_xlfn.XLOOKUP(B1055,customers!$A$2:$A$195,customers!$B$2:$B$195,,0)</f>
        <v>West</v>
      </c>
      <c r="F1055">
        <v>1013</v>
      </c>
      <c r="G1055" s="9">
        <f>_xlfn.XLOOKUP(B1055,customers!$A$1:$A$195,customers!$C$1:$C$195)</f>
        <v>44964</v>
      </c>
      <c r="H1055" s="13" t="s">
        <v>1466</v>
      </c>
      <c r="I1055">
        <v>2</v>
      </c>
      <c r="J1055">
        <v>122.08</v>
      </c>
      <c r="K1055">
        <v>51.41</v>
      </c>
      <c r="L1055">
        <f>_xlfn.XLOOKUP(F1055,Products!$A$2:$A$51,Products!$D$2:$D$51,0)</f>
        <v>61.04</v>
      </c>
      <c r="M1055">
        <f t="shared" si="16"/>
        <v>70.67</v>
      </c>
    </row>
    <row r="1056" spans="1:13">
      <c r="A1056" t="s">
        <v>1469</v>
      </c>
      <c r="B1056" t="s">
        <v>187</v>
      </c>
      <c r="C1056" t="str">
        <f>_xlfn.XLOOKUP(F1056,Products!$A$2:$A$51,Products!$C$2:$C$51,0)</f>
        <v>Subscriptions</v>
      </c>
      <c r="D1056" t="str">
        <f>_xlfn.XLOOKUP(F1056,Products!$A$2:$A$51,Products!$B$2:$B$51,0)</f>
        <v>Subscription Renewal Service</v>
      </c>
      <c r="E1056" t="str">
        <f>_xlfn.XLOOKUP(B1056,customers!$A$2:$A$195,customers!$B$2:$B$195,,0)</f>
        <v>West</v>
      </c>
      <c r="F1056">
        <v>1050</v>
      </c>
      <c r="G1056" s="9">
        <f>_xlfn.XLOOKUP(B1056,customers!$A$1:$A$195,customers!$C$1:$C$195)</f>
        <v>45282</v>
      </c>
      <c r="H1056" s="13" t="s">
        <v>1466</v>
      </c>
      <c r="I1056">
        <v>4</v>
      </c>
      <c r="J1056">
        <v>293.64</v>
      </c>
      <c r="K1056">
        <v>109.16</v>
      </c>
      <c r="L1056">
        <f>_xlfn.XLOOKUP(F1056,Products!$A$2:$A$51,Products!$D$2:$D$51,0)</f>
        <v>73.41</v>
      </c>
      <c r="M1056">
        <f t="shared" si="16"/>
        <v>184.48</v>
      </c>
    </row>
    <row r="1057" spans="1:13">
      <c r="A1057" t="s">
        <v>1470</v>
      </c>
      <c r="B1057" t="s">
        <v>144</v>
      </c>
      <c r="C1057" t="str">
        <f>_xlfn.XLOOKUP(F1057,Products!$A$2:$A$51,Products!$C$2:$C$51,0)</f>
        <v>Accessories</v>
      </c>
      <c r="D1057" t="str">
        <f>_xlfn.XLOOKUP(F1057,Products!$A$2:$A$51,Products!$B$2:$B$51,0)</f>
        <v>Refillable Coffee Pods</v>
      </c>
      <c r="E1057" t="str">
        <f>_xlfn.XLOOKUP(B1057,customers!$A$2:$A$195,customers!$B$2:$B$195,,0)</f>
        <v>South</v>
      </c>
      <c r="F1057">
        <v>1040</v>
      </c>
      <c r="G1057" s="9">
        <f>_xlfn.XLOOKUP(B1057,customers!$A$1:$A$195,customers!$C$1:$C$195)</f>
        <v>45085</v>
      </c>
      <c r="H1057" s="13" t="s">
        <v>1471</v>
      </c>
      <c r="I1057">
        <v>3</v>
      </c>
      <c r="J1057">
        <v>72.39</v>
      </c>
      <c r="K1057">
        <v>27.88</v>
      </c>
      <c r="L1057">
        <f>_xlfn.XLOOKUP(F1057,Products!$A$2:$A$51,Products!$D$2:$D$51,0)</f>
        <v>24.13</v>
      </c>
      <c r="M1057">
        <f t="shared" si="16"/>
        <v>44.51</v>
      </c>
    </row>
    <row r="1058" spans="1:13">
      <c r="A1058" t="s">
        <v>1472</v>
      </c>
      <c r="B1058" t="s">
        <v>37</v>
      </c>
      <c r="C1058" t="str">
        <f>_xlfn.XLOOKUP(F1058,Products!$A$2:$A$51,Products!$C$2:$C$51,0)</f>
        <v>Accessories</v>
      </c>
      <c r="D1058" t="str">
        <f>_xlfn.XLOOKUP(F1058,Products!$A$2:$A$51,Products!$B$2:$B$51,0)</f>
        <v>Digital Coffee Scale</v>
      </c>
      <c r="E1058" t="str">
        <f>_xlfn.XLOOKUP(B1058,customers!$A$2:$A$195,customers!$B$2:$B$195,,0)</f>
        <v>South</v>
      </c>
      <c r="F1058">
        <v>1011</v>
      </c>
      <c r="G1058" s="9">
        <f>_xlfn.XLOOKUP(B1058,customers!$A$1:$A$195,customers!$C$1:$C$195)</f>
        <v>45059</v>
      </c>
      <c r="H1058" s="13" t="s">
        <v>1473</v>
      </c>
      <c r="I1058">
        <v>3</v>
      </c>
      <c r="J1058">
        <v>80.49</v>
      </c>
      <c r="K1058">
        <v>43.96</v>
      </c>
      <c r="L1058">
        <f>_xlfn.XLOOKUP(F1058,Products!$A$2:$A$51,Products!$D$2:$D$51,0)</f>
        <v>26.83</v>
      </c>
      <c r="M1058">
        <f t="shared" si="16"/>
        <v>36.53</v>
      </c>
    </row>
    <row r="1059" spans="1:13">
      <c r="A1059" t="s">
        <v>1474</v>
      </c>
      <c r="B1059" t="s">
        <v>47</v>
      </c>
      <c r="C1059" t="str">
        <f>_xlfn.XLOOKUP(F1059,Products!$A$2:$A$51,Products!$C$2:$C$51,0)</f>
        <v>Subscriptions</v>
      </c>
      <c r="D1059" t="str">
        <f>_xlfn.XLOOKUP(F1059,Products!$A$2:$A$51,Products!$B$2:$B$51,0)</f>
        <v>Bi-Weekly Sampler Box</v>
      </c>
      <c r="E1059" t="str">
        <f>_xlfn.XLOOKUP(B1059,customers!$A$2:$A$195,customers!$B$2:$B$195,,0)</f>
        <v>West</v>
      </c>
      <c r="F1059">
        <v>1022</v>
      </c>
      <c r="G1059" s="9">
        <f>_xlfn.XLOOKUP(B1059,customers!$A$1:$A$195,customers!$C$1:$C$195)</f>
        <v>44967</v>
      </c>
      <c r="H1059" s="13" t="s">
        <v>1473</v>
      </c>
      <c r="I1059">
        <v>4</v>
      </c>
      <c r="J1059">
        <v>355.08</v>
      </c>
      <c r="K1059">
        <v>95.44</v>
      </c>
      <c r="L1059">
        <f>_xlfn.XLOOKUP(F1059,Products!$A$2:$A$51,Products!$D$2:$D$51,0)</f>
        <v>88.77</v>
      </c>
      <c r="M1059">
        <f t="shared" si="16"/>
        <v>259.64</v>
      </c>
    </row>
    <row r="1060" spans="1:13">
      <c r="A1060" t="s">
        <v>1475</v>
      </c>
      <c r="B1060" t="s">
        <v>50</v>
      </c>
      <c r="C1060" t="str">
        <f>_xlfn.XLOOKUP(F1060,Products!$A$2:$A$51,Products!$C$2:$C$51,0)</f>
        <v>Consumables</v>
      </c>
      <c r="D1060" t="str">
        <f>_xlfn.XLOOKUP(F1060,Products!$A$2:$A$51,Products!$B$2:$B$51,0)</f>
        <v>Cold Brew Concentrate</v>
      </c>
      <c r="E1060" t="str">
        <f>_xlfn.XLOOKUP(B1060,customers!$A$2:$A$195,customers!$B$2:$B$195,,0)</f>
        <v>West</v>
      </c>
      <c r="F1060">
        <v>1029</v>
      </c>
      <c r="G1060" s="9">
        <f>_xlfn.XLOOKUP(B1060,customers!$A$1:$A$195,customers!$C$1:$C$195)</f>
        <v>44999</v>
      </c>
      <c r="H1060" s="13" t="s">
        <v>1476</v>
      </c>
      <c r="I1060">
        <v>3</v>
      </c>
      <c r="J1060">
        <v>70.47</v>
      </c>
      <c r="K1060">
        <v>30.26</v>
      </c>
      <c r="L1060">
        <f>_xlfn.XLOOKUP(F1060,Products!$A$2:$A$51,Products!$D$2:$D$51,0)</f>
        <v>23.49</v>
      </c>
      <c r="M1060">
        <f t="shared" si="16"/>
        <v>40.21</v>
      </c>
    </row>
    <row r="1061" spans="1:13">
      <c r="A1061" t="s">
        <v>1477</v>
      </c>
      <c r="B1061" t="s">
        <v>84</v>
      </c>
      <c r="C1061" t="str">
        <f>_xlfn.XLOOKUP(F1061,Products!$A$2:$A$51,Products!$C$2:$C$51,0)</f>
        <v>Merchandise</v>
      </c>
      <c r="D1061" t="str">
        <f>_xlfn.XLOOKUP(F1061,Products!$A$2:$A$51,Products!$B$2:$B$51,0)</f>
        <v>Branded Ceramic Mug (Large)</v>
      </c>
      <c r="E1061" t="str">
        <f>_xlfn.XLOOKUP(B1061,customers!$A$2:$A$195,customers!$B$2:$B$195,,0)</f>
        <v>South</v>
      </c>
      <c r="F1061">
        <v>1041</v>
      </c>
      <c r="G1061" s="9">
        <f>_xlfn.XLOOKUP(B1061,customers!$A$1:$A$195,customers!$C$1:$C$195)</f>
        <v>45174</v>
      </c>
      <c r="H1061" s="13" t="s">
        <v>1476</v>
      </c>
      <c r="I1061">
        <v>4</v>
      </c>
      <c r="J1061">
        <v>172.8</v>
      </c>
      <c r="K1061">
        <v>124.43</v>
      </c>
      <c r="L1061">
        <f>_xlfn.XLOOKUP(F1061,Products!$A$2:$A$51,Products!$D$2:$D$51,0)</f>
        <v>43.2</v>
      </c>
      <c r="M1061">
        <f t="shared" si="16"/>
        <v>48.37</v>
      </c>
    </row>
    <row r="1062" spans="1:13">
      <c r="A1062" t="s">
        <v>1478</v>
      </c>
      <c r="B1062" t="s">
        <v>96</v>
      </c>
      <c r="C1062" t="str">
        <f>_xlfn.XLOOKUP(F1062,Products!$A$2:$A$51,Products!$C$2:$C$51,0)</f>
        <v>Consumables</v>
      </c>
      <c r="D1062" t="str">
        <f>_xlfn.XLOOKUP(F1062,Products!$A$2:$A$51,Products!$B$2:$B$51,0)</f>
        <v>Decaf Blend (1kg)</v>
      </c>
      <c r="E1062" t="str">
        <f>_xlfn.XLOOKUP(B1062,customers!$A$2:$A$195,customers!$B$2:$B$195,,0)</f>
        <v>East</v>
      </c>
      <c r="F1062">
        <v>1003</v>
      </c>
      <c r="G1062" s="9">
        <f>_xlfn.XLOOKUP(B1062,customers!$A$1:$A$195,customers!$C$1:$C$195)</f>
        <v>45143</v>
      </c>
      <c r="H1062" s="13" t="s">
        <v>1476</v>
      </c>
      <c r="I1062">
        <v>4</v>
      </c>
      <c r="J1062">
        <v>161.4</v>
      </c>
      <c r="K1062">
        <v>51.44</v>
      </c>
      <c r="L1062">
        <f>_xlfn.XLOOKUP(F1062,Products!$A$2:$A$51,Products!$D$2:$D$51,0)</f>
        <v>40.35</v>
      </c>
      <c r="M1062">
        <f t="shared" si="16"/>
        <v>109.96</v>
      </c>
    </row>
    <row r="1063" spans="1:13">
      <c r="A1063" t="s">
        <v>1479</v>
      </c>
      <c r="B1063" t="s">
        <v>124</v>
      </c>
      <c r="C1063" t="str">
        <f>_xlfn.XLOOKUP(F1063,Products!$A$2:$A$51,Products!$C$2:$C$51,0)</f>
        <v>Subscriptions</v>
      </c>
      <c r="D1063" t="str">
        <f>_xlfn.XLOOKUP(F1063,Products!$A$2:$A$51,Products!$B$2:$B$51,0)</f>
        <v>Monthly Dark Roast Subscription</v>
      </c>
      <c r="E1063" t="str">
        <f>_xlfn.XLOOKUP(B1063,customers!$A$2:$A$195,customers!$B$2:$B$195,,0)</f>
        <v>West</v>
      </c>
      <c r="F1063">
        <v>1021</v>
      </c>
      <c r="G1063" s="9">
        <f>_xlfn.XLOOKUP(B1063,customers!$A$1:$A$195,customers!$C$1:$C$195)</f>
        <v>45083</v>
      </c>
      <c r="H1063" s="13" t="s">
        <v>1476</v>
      </c>
      <c r="I1063">
        <v>4</v>
      </c>
      <c r="J1063">
        <v>245.04</v>
      </c>
      <c r="K1063">
        <v>140.58</v>
      </c>
      <c r="L1063">
        <f>_xlfn.XLOOKUP(F1063,Products!$A$2:$A$51,Products!$D$2:$D$51,0)</f>
        <v>61.26</v>
      </c>
      <c r="M1063">
        <f t="shared" si="16"/>
        <v>104.46</v>
      </c>
    </row>
    <row r="1064" spans="1:13">
      <c r="A1064" t="s">
        <v>1480</v>
      </c>
      <c r="B1064" t="s">
        <v>144</v>
      </c>
      <c r="C1064" t="str">
        <f>_xlfn.XLOOKUP(F1064,Products!$A$2:$A$51,Products!$C$2:$C$51,0)</f>
        <v>Subscriptions</v>
      </c>
      <c r="D1064" t="str">
        <f>_xlfn.XLOOKUP(F1064,Products!$A$2:$A$51,Products!$B$2:$B$51,0)</f>
        <v>Bi-Weekly Sampler Box</v>
      </c>
      <c r="E1064" t="str">
        <f>_xlfn.XLOOKUP(B1064,customers!$A$2:$A$195,customers!$B$2:$B$195,,0)</f>
        <v>South</v>
      </c>
      <c r="F1064">
        <v>1047</v>
      </c>
      <c r="G1064" s="9">
        <f>_xlfn.XLOOKUP(B1064,customers!$A$1:$A$195,customers!$C$1:$C$195)</f>
        <v>45085</v>
      </c>
      <c r="H1064" s="13" t="s">
        <v>1476</v>
      </c>
      <c r="I1064">
        <v>3</v>
      </c>
      <c r="J1064">
        <v>266.31</v>
      </c>
      <c r="K1064">
        <v>71.58</v>
      </c>
      <c r="L1064">
        <f>_xlfn.XLOOKUP(F1064,Products!$A$2:$A$51,Products!$D$2:$D$51,0)</f>
        <v>88.77</v>
      </c>
      <c r="M1064">
        <f t="shared" si="16"/>
        <v>194.73</v>
      </c>
    </row>
    <row r="1065" spans="1:13">
      <c r="A1065" t="s">
        <v>1481</v>
      </c>
      <c r="B1065" t="s">
        <v>166</v>
      </c>
      <c r="C1065" t="str">
        <f>_xlfn.XLOOKUP(F1065,Products!$A$2:$A$51,Products!$C$2:$C$51,0)</f>
        <v>Subscriptions</v>
      </c>
      <c r="D1065" t="str">
        <f>_xlfn.XLOOKUP(F1065,Products!$A$2:$A$51,Products!$B$2:$B$51,0)</f>
        <v>Subscription Renewal Service</v>
      </c>
      <c r="E1065" t="str">
        <f>_xlfn.XLOOKUP(B1065,customers!$A$2:$A$195,customers!$B$2:$B$195,,0)</f>
        <v>North</v>
      </c>
      <c r="F1065">
        <v>1025</v>
      </c>
      <c r="G1065" s="9">
        <f>_xlfn.XLOOKUP(B1065,customers!$A$1:$A$195,customers!$C$1:$C$195)</f>
        <v>45164</v>
      </c>
      <c r="H1065" s="13" t="s">
        <v>1476</v>
      </c>
      <c r="I1065">
        <v>4</v>
      </c>
      <c r="J1065">
        <v>293.64</v>
      </c>
      <c r="K1065">
        <v>109.16</v>
      </c>
      <c r="L1065">
        <f>_xlfn.XLOOKUP(F1065,Products!$A$2:$A$51,Products!$D$2:$D$51,0)</f>
        <v>73.41</v>
      </c>
      <c r="M1065">
        <f t="shared" si="16"/>
        <v>184.48</v>
      </c>
    </row>
    <row r="1066" spans="1:13">
      <c r="A1066" t="s">
        <v>1482</v>
      </c>
      <c r="B1066" t="s">
        <v>180</v>
      </c>
      <c r="C1066" t="str">
        <f>_xlfn.XLOOKUP(F1066,Products!$A$2:$A$51,Products!$C$2:$C$51,0)</f>
        <v>Accessories</v>
      </c>
      <c r="D1066" t="str">
        <f>_xlfn.XLOOKUP(F1066,Products!$A$2:$A$51,Products!$B$2:$B$51,0)</f>
        <v>Gooseneck Electric Kettle</v>
      </c>
      <c r="E1066" t="str">
        <f>_xlfn.XLOOKUP(B1066,customers!$A$2:$A$195,customers!$B$2:$B$195,,0)</f>
        <v>South</v>
      </c>
      <c r="F1066">
        <v>1037</v>
      </c>
      <c r="G1066" s="9">
        <f>_xlfn.XLOOKUP(B1066,customers!$A$1:$A$195,customers!$C$1:$C$195)</f>
        <v>45215</v>
      </c>
      <c r="H1066" s="13" t="s">
        <v>1476</v>
      </c>
      <c r="I1066">
        <v>3</v>
      </c>
      <c r="J1066">
        <v>104.61</v>
      </c>
      <c r="K1066">
        <v>77.91</v>
      </c>
      <c r="L1066">
        <f>_xlfn.XLOOKUP(F1066,Products!$A$2:$A$51,Products!$D$2:$D$51,0)</f>
        <v>34.87</v>
      </c>
      <c r="M1066">
        <f t="shared" si="16"/>
        <v>26.7</v>
      </c>
    </row>
    <row r="1067" spans="1:13">
      <c r="A1067" t="s">
        <v>1483</v>
      </c>
      <c r="B1067" t="s">
        <v>184</v>
      </c>
      <c r="C1067" t="str">
        <f>_xlfn.XLOOKUP(F1067,Products!$A$2:$A$51,Products!$C$2:$C$51,0)</f>
        <v>Grinders &amp; Brewers</v>
      </c>
      <c r="D1067" t="str">
        <f>_xlfn.XLOOKUP(F1067,Products!$A$2:$A$51,Products!$B$2:$B$51,0)</f>
        <v>Hand Grinder (Travel Size)</v>
      </c>
      <c r="E1067" t="str">
        <f>_xlfn.XLOOKUP(B1067,customers!$A$2:$A$195,customers!$B$2:$B$195,,0)</f>
        <v>East</v>
      </c>
      <c r="F1067">
        <v>1007</v>
      </c>
      <c r="G1067" s="9">
        <f>_xlfn.XLOOKUP(B1067,customers!$A$1:$A$195,customers!$C$1:$C$195)</f>
        <v>45239</v>
      </c>
      <c r="H1067" s="13" t="s">
        <v>1476</v>
      </c>
      <c r="I1067">
        <v>2</v>
      </c>
      <c r="J1067">
        <v>509.44</v>
      </c>
      <c r="K1067">
        <v>260.57</v>
      </c>
      <c r="L1067">
        <f>_xlfn.XLOOKUP(F1067,Products!$A$2:$A$51,Products!$D$2:$D$51,0)</f>
        <v>254.72</v>
      </c>
      <c r="M1067">
        <f t="shared" si="16"/>
        <v>248.87</v>
      </c>
    </row>
    <row r="1068" spans="1:13">
      <c r="A1068" t="s">
        <v>1484</v>
      </c>
      <c r="B1068" t="s">
        <v>188</v>
      </c>
      <c r="C1068" t="str">
        <f>_xlfn.XLOOKUP(F1068,Products!$A$2:$A$51,Products!$C$2:$C$51,0)</f>
        <v>Merchandise</v>
      </c>
      <c r="D1068" t="str">
        <f>_xlfn.XLOOKUP(F1068,Products!$A$2:$A$51,Products!$B$2:$B$51,0)</f>
        <v>Minimalist Keychain</v>
      </c>
      <c r="E1068" t="str">
        <f>_xlfn.XLOOKUP(B1068,customers!$A$2:$A$195,customers!$B$2:$B$195,,0)</f>
        <v>West</v>
      </c>
      <c r="F1068">
        <v>1020</v>
      </c>
      <c r="G1068" s="9">
        <f>_xlfn.XLOOKUP(B1068,customers!$A$1:$A$195,customers!$C$1:$C$195)</f>
        <v>45003</v>
      </c>
      <c r="H1068" s="13" t="s">
        <v>1476</v>
      </c>
      <c r="I1068">
        <v>3</v>
      </c>
      <c r="J1068">
        <v>82.11</v>
      </c>
      <c r="K1068">
        <v>72.27</v>
      </c>
      <c r="L1068">
        <f>_xlfn.XLOOKUP(F1068,Products!$A$2:$A$51,Products!$D$2:$D$51,0)</f>
        <v>27.37</v>
      </c>
      <c r="M1068">
        <f t="shared" si="16"/>
        <v>9.84</v>
      </c>
    </row>
    <row r="1069" spans="1:13">
      <c r="A1069" t="s">
        <v>1485</v>
      </c>
      <c r="B1069" t="s">
        <v>193</v>
      </c>
      <c r="C1069" t="str">
        <f>_xlfn.XLOOKUP(F1069,Products!$A$2:$A$51,Products!$C$2:$C$51,0)</f>
        <v>Subscriptions</v>
      </c>
      <c r="D1069" t="str">
        <f>_xlfn.XLOOKUP(F1069,Products!$A$2:$A$51,Products!$B$2:$B$51,0)</f>
        <v>Subscription Renewal Service</v>
      </c>
      <c r="E1069" t="str">
        <f>_xlfn.XLOOKUP(B1069,customers!$A$2:$A$195,customers!$B$2:$B$195,,0)</f>
        <v>East</v>
      </c>
      <c r="F1069">
        <v>1050</v>
      </c>
      <c r="G1069" s="9">
        <f>_xlfn.XLOOKUP(B1069,customers!$A$1:$A$195,customers!$C$1:$C$195)</f>
        <v>45255</v>
      </c>
      <c r="H1069" s="13" t="s">
        <v>1476</v>
      </c>
      <c r="I1069">
        <v>4</v>
      </c>
      <c r="J1069">
        <v>293.64</v>
      </c>
      <c r="K1069">
        <v>109.16</v>
      </c>
      <c r="L1069">
        <f>_xlfn.XLOOKUP(F1069,Products!$A$2:$A$51,Products!$D$2:$D$51,0)</f>
        <v>73.41</v>
      </c>
      <c r="M1069">
        <f t="shared" si="16"/>
        <v>184.48</v>
      </c>
    </row>
    <row r="1070" spans="1:13">
      <c r="A1070" t="s">
        <v>1486</v>
      </c>
      <c r="B1070" t="s">
        <v>200</v>
      </c>
      <c r="C1070" t="str">
        <f>_xlfn.XLOOKUP(F1070,Products!$A$2:$A$51,Products!$C$2:$C$51,0)</f>
        <v>Consumables</v>
      </c>
      <c r="D1070" t="str">
        <f>_xlfn.XLOOKUP(F1070,Products!$A$2:$A$51,Products!$B$2:$B$51,0)</f>
        <v>Single-Origin Ethiopian (250g)</v>
      </c>
      <c r="E1070" t="str">
        <f>_xlfn.XLOOKUP(B1070,customers!$A$2:$A$195,customers!$B$2:$B$195,,0)</f>
        <v>North</v>
      </c>
      <c r="F1070">
        <v>1001</v>
      </c>
      <c r="G1070" s="9">
        <f>_xlfn.XLOOKUP(B1070,customers!$A$1:$A$195,customers!$C$1:$C$195)</f>
        <v>44947</v>
      </c>
      <c r="H1070" s="13" t="s">
        <v>1476</v>
      </c>
      <c r="I1070">
        <v>2</v>
      </c>
      <c r="J1070">
        <v>38.98</v>
      </c>
      <c r="K1070">
        <v>25.41</v>
      </c>
      <c r="L1070">
        <f>_xlfn.XLOOKUP(F1070,Products!$A$2:$A$51,Products!$D$2:$D$51,0)</f>
        <v>19.49</v>
      </c>
      <c r="M1070">
        <f t="shared" si="16"/>
        <v>13.57</v>
      </c>
    </row>
    <row r="1071" spans="1:13">
      <c r="A1071" t="s">
        <v>1487</v>
      </c>
      <c r="B1071" t="s">
        <v>17</v>
      </c>
      <c r="C1071" t="str">
        <f>_xlfn.XLOOKUP(F1071,Products!$A$2:$A$51,Products!$C$2:$C$51,0)</f>
        <v>Merchandise</v>
      </c>
      <c r="D1071" t="str">
        <f>_xlfn.XLOOKUP(F1071,Products!$A$2:$A$51,Products!$B$2:$B$51,0)</f>
        <v>Minimalist Keychain</v>
      </c>
      <c r="E1071" t="str">
        <f>_xlfn.XLOOKUP(B1071,customers!$A$2:$A$195,customers!$B$2:$B$195,,0)</f>
        <v>West</v>
      </c>
      <c r="F1071">
        <v>1020</v>
      </c>
      <c r="G1071" s="9">
        <f>_xlfn.XLOOKUP(B1071,customers!$A$1:$A$195,customers!$C$1:$C$195)</f>
        <v>45041</v>
      </c>
      <c r="H1071" s="13" t="s">
        <v>1488</v>
      </c>
      <c r="I1071">
        <v>4</v>
      </c>
      <c r="J1071">
        <v>109.48</v>
      </c>
      <c r="K1071">
        <v>96.36</v>
      </c>
      <c r="L1071">
        <f>_xlfn.XLOOKUP(F1071,Products!$A$2:$A$51,Products!$D$2:$D$51,0)</f>
        <v>27.37</v>
      </c>
      <c r="M1071">
        <f t="shared" si="16"/>
        <v>13.12</v>
      </c>
    </row>
    <row r="1072" spans="1:13">
      <c r="A1072" t="s">
        <v>1489</v>
      </c>
      <c r="B1072" t="s">
        <v>64</v>
      </c>
      <c r="C1072" t="str">
        <f>_xlfn.XLOOKUP(F1072,Products!$A$2:$A$51,Products!$C$2:$C$51,0)</f>
        <v>Grinders &amp; Brewers</v>
      </c>
      <c r="D1072" t="str">
        <f>_xlfn.XLOOKUP(F1072,Products!$A$2:$A$51,Products!$B$2:$B$51,0)</f>
        <v>Pour-Over Starter Kit</v>
      </c>
      <c r="E1072" t="str">
        <f>_xlfn.XLOOKUP(B1072,customers!$A$2:$A$195,customers!$B$2:$B$195,,0)</f>
        <v>East</v>
      </c>
      <c r="F1072">
        <v>1035</v>
      </c>
      <c r="G1072" s="9">
        <f>_xlfn.XLOOKUP(B1072,customers!$A$1:$A$195,customers!$C$1:$C$195)</f>
        <v>44933</v>
      </c>
      <c r="H1072" s="13" t="s">
        <v>1488</v>
      </c>
      <c r="I1072">
        <v>4</v>
      </c>
      <c r="J1072">
        <v>420.92</v>
      </c>
      <c r="K1072">
        <v>298.98</v>
      </c>
      <c r="L1072">
        <f>_xlfn.XLOOKUP(F1072,Products!$A$2:$A$51,Products!$D$2:$D$51,0)</f>
        <v>105.23</v>
      </c>
      <c r="M1072">
        <f t="shared" si="16"/>
        <v>121.94</v>
      </c>
    </row>
    <row r="1073" spans="1:13">
      <c r="A1073" t="s">
        <v>1490</v>
      </c>
      <c r="B1073" t="s">
        <v>64</v>
      </c>
      <c r="C1073" t="str">
        <f>_xlfn.XLOOKUP(F1073,Products!$A$2:$A$51,Products!$C$2:$C$51,0)</f>
        <v>Subscriptions</v>
      </c>
      <c r="D1073" t="str">
        <f>_xlfn.XLOOKUP(F1073,Products!$A$2:$A$51,Products!$B$2:$B$51,0)</f>
        <v>Bi-Weekly Sampler Box</v>
      </c>
      <c r="E1073" t="str">
        <f>_xlfn.XLOOKUP(B1073,customers!$A$2:$A$195,customers!$B$2:$B$195,,0)</f>
        <v>East</v>
      </c>
      <c r="F1073">
        <v>1047</v>
      </c>
      <c r="G1073" s="9">
        <f>_xlfn.XLOOKUP(B1073,customers!$A$1:$A$195,customers!$C$1:$C$195)</f>
        <v>44933</v>
      </c>
      <c r="H1073" s="13" t="s">
        <v>1488</v>
      </c>
      <c r="I1073">
        <v>3</v>
      </c>
      <c r="J1073">
        <v>266.31</v>
      </c>
      <c r="K1073">
        <v>71.58</v>
      </c>
      <c r="L1073">
        <f>_xlfn.XLOOKUP(F1073,Products!$A$2:$A$51,Products!$D$2:$D$51,0)</f>
        <v>88.77</v>
      </c>
      <c r="M1073">
        <f t="shared" si="16"/>
        <v>194.73</v>
      </c>
    </row>
    <row r="1074" spans="1:13">
      <c r="A1074" t="s">
        <v>1491</v>
      </c>
      <c r="B1074" t="s">
        <v>76</v>
      </c>
      <c r="C1074" t="str">
        <f>_xlfn.XLOOKUP(F1074,Products!$A$2:$A$51,Products!$C$2:$C$51,0)</f>
        <v>Consumables</v>
      </c>
      <c r="D1074" t="str">
        <f>_xlfn.XLOOKUP(F1074,Products!$A$2:$A$51,Products!$B$2:$B$51,0)</f>
        <v>Single-Origin Ethiopian (250g)</v>
      </c>
      <c r="E1074" t="str">
        <f>_xlfn.XLOOKUP(B1074,customers!$A$2:$A$195,customers!$B$2:$B$195,,0)</f>
        <v>East</v>
      </c>
      <c r="F1074">
        <v>1001</v>
      </c>
      <c r="G1074" s="9">
        <f>_xlfn.XLOOKUP(B1074,customers!$A$1:$A$195,customers!$C$1:$C$195)</f>
        <v>45072</v>
      </c>
      <c r="H1074" s="13" t="s">
        <v>1488</v>
      </c>
      <c r="I1074">
        <v>4</v>
      </c>
      <c r="J1074">
        <v>77.96</v>
      </c>
      <c r="K1074">
        <v>50.82</v>
      </c>
      <c r="L1074">
        <f>_xlfn.XLOOKUP(F1074,Products!$A$2:$A$51,Products!$D$2:$D$51,0)</f>
        <v>19.49</v>
      </c>
      <c r="M1074">
        <f t="shared" si="16"/>
        <v>27.14</v>
      </c>
    </row>
    <row r="1075" spans="1:13">
      <c r="A1075" t="s">
        <v>1492</v>
      </c>
      <c r="B1075" t="s">
        <v>101</v>
      </c>
      <c r="C1075" t="str">
        <f>_xlfn.XLOOKUP(F1075,Products!$A$2:$A$51,Products!$C$2:$C$51,0)</f>
        <v>Accessories</v>
      </c>
      <c r="D1075" t="str">
        <f>_xlfn.XLOOKUP(F1075,Products!$A$2:$A$51,Products!$B$2:$B$51,0)</f>
        <v>Digital Coffee Scale</v>
      </c>
      <c r="E1075" t="str">
        <f>_xlfn.XLOOKUP(B1075,customers!$A$2:$A$195,customers!$B$2:$B$195,,0)</f>
        <v>North</v>
      </c>
      <c r="F1075">
        <v>1036</v>
      </c>
      <c r="G1075" s="9">
        <f>_xlfn.XLOOKUP(B1075,customers!$A$1:$A$195,customers!$C$1:$C$195)</f>
        <v>45160</v>
      </c>
      <c r="H1075" s="13" t="s">
        <v>1488</v>
      </c>
      <c r="I1075">
        <v>4</v>
      </c>
      <c r="J1075">
        <v>107.32</v>
      </c>
      <c r="K1075">
        <v>58.61</v>
      </c>
      <c r="L1075">
        <f>_xlfn.XLOOKUP(F1075,Products!$A$2:$A$51,Products!$D$2:$D$51,0)</f>
        <v>26.83</v>
      </c>
      <c r="M1075">
        <f t="shared" si="16"/>
        <v>48.71</v>
      </c>
    </row>
    <row r="1076" spans="1:13">
      <c r="A1076" t="s">
        <v>1493</v>
      </c>
      <c r="B1076" t="s">
        <v>114</v>
      </c>
      <c r="C1076" t="str">
        <f>_xlfn.XLOOKUP(F1076,Products!$A$2:$A$51,Products!$C$2:$C$51,0)</f>
        <v>Consumables</v>
      </c>
      <c r="D1076" t="str">
        <f>_xlfn.XLOOKUP(F1076,Products!$A$2:$A$51,Products!$B$2:$B$51,0)</f>
        <v>Espresso Bean Sampler Pack</v>
      </c>
      <c r="E1076" t="str">
        <f>_xlfn.XLOOKUP(B1076,customers!$A$2:$A$195,customers!$B$2:$B$195,,0)</f>
        <v>South</v>
      </c>
      <c r="F1076">
        <v>1030</v>
      </c>
      <c r="G1076" s="9">
        <f>_xlfn.XLOOKUP(B1076,customers!$A$1:$A$195,customers!$C$1:$C$195)</f>
        <v>45211</v>
      </c>
      <c r="H1076" s="13" t="s">
        <v>1488</v>
      </c>
      <c r="I1076">
        <v>2</v>
      </c>
      <c r="J1076">
        <v>38.12</v>
      </c>
      <c r="K1076">
        <v>23.94</v>
      </c>
      <c r="L1076">
        <f>_xlfn.XLOOKUP(F1076,Products!$A$2:$A$51,Products!$D$2:$D$51,0)</f>
        <v>19.06</v>
      </c>
      <c r="M1076">
        <f t="shared" si="16"/>
        <v>14.18</v>
      </c>
    </row>
    <row r="1077" spans="1:13">
      <c r="A1077" t="s">
        <v>1494</v>
      </c>
      <c r="B1077" t="s">
        <v>127</v>
      </c>
      <c r="C1077" t="str">
        <f>_xlfn.XLOOKUP(F1077,Products!$A$2:$A$51,Products!$C$2:$C$51,0)</f>
        <v>Subscriptions</v>
      </c>
      <c r="D1077" t="str">
        <f>_xlfn.XLOOKUP(F1077,Products!$A$2:$A$51,Products!$B$2:$B$51,0)</f>
        <v>Three-Month Gift Subscription</v>
      </c>
      <c r="E1077" t="str">
        <f>_xlfn.XLOOKUP(B1077,customers!$A$2:$A$195,customers!$B$2:$B$195,,0)</f>
        <v>North</v>
      </c>
      <c r="F1077">
        <v>1048</v>
      </c>
      <c r="G1077" s="9">
        <f>_xlfn.XLOOKUP(B1077,customers!$A$1:$A$195,customers!$C$1:$C$195)</f>
        <v>45070</v>
      </c>
      <c r="H1077" s="13" t="s">
        <v>1488</v>
      </c>
      <c r="I1077">
        <v>3</v>
      </c>
      <c r="J1077">
        <v>195.63</v>
      </c>
      <c r="K1077">
        <v>82.83</v>
      </c>
      <c r="L1077">
        <f>_xlfn.XLOOKUP(F1077,Products!$A$2:$A$51,Products!$D$2:$D$51,0)</f>
        <v>65.21</v>
      </c>
      <c r="M1077">
        <f t="shared" si="16"/>
        <v>112.8</v>
      </c>
    </row>
    <row r="1078" spans="1:13">
      <c r="A1078" t="s">
        <v>1495</v>
      </c>
      <c r="B1078" t="s">
        <v>136</v>
      </c>
      <c r="C1078" t="str">
        <f>_xlfn.XLOOKUP(F1078,Products!$A$2:$A$51,Products!$C$2:$C$51,0)</f>
        <v>Accessories</v>
      </c>
      <c r="D1078" t="str">
        <f>_xlfn.XLOOKUP(F1078,Products!$A$2:$A$51,Products!$B$2:$B$51,0)</f>
        <v>Chemex Filters (100 pack)</v>
      </c>
      <c r="E1078" t="str">
        <f>_xlfn.XLOOKUP(B1078,customers!$A$2:$A$195,customers!$B$2:$B$195,,0)</f>
        <v>South</v>
      </c>
      <c r="F1078">
        <v>1014</v>
      </c>
      <c r="G1078" s="9">
        <f>_xlfn.XLOOKUP(B1078,customers!$A$1:$A$195,customers!$C$1:$C$195)</f>
        <v>45181</v>
      </c>
      <c r="H1078" s="13" t="s">
        <v>1488</v>
      </c>
      <c r="I1078">
        <v>3</v>
      </c>
      <c r="J1078">
        <v>72.3</v>
      </c>
      <c r="K1078">
        <v>63.62</v>
      </c>
      <c r="L1078">
        <f>_xlfn.XLOOKUP(F1078,Products!$A$2:$A$51,Products!$D$2:$D$51,0)</f>
        <v>24.1</v>
      </c>
      <c r="M1078">
        <f t="shared" si="16"/>
        <v>8.68</v>
      </c>
    </row>
    <row r="1079" spans="1:13">
      <c r="A1079" t="s">
        <v>1496</v>
      </c>
      <c r="B1079" t="s">
        <v>138</v>
      </c>
      <c r="C1079" t="str">
        <f>_xlfn.XLOOKUP(F1079,Products!$A$2:$A$51,Products!$C$2:$C$51,0)</f>
        <v>Accessories</v>
      </c>
      <c r="D1079" t="str">
        <f>_xlfn.XLOOKUP(F1079,Products!$A$2:$A$51,Products!$B$2:$B$51,0)</f>
        <v>Refillable Coffee Pods</v>
      </c>
      <c r="E1079" t="str">
        <f>_xlfn.XLOOKUP(B1079,customers!$A$2:$A$195,customers!$B$2:$B$195,,0)</f>
        <v>East</v>
      </c>
      <c r="F1079">
        <v>1015</v>
      </c>
      <c r="G1079" s="9">
        <f>_xlfn.XLOOKUP(B1079,customers!$A$1:$A$195,customers!$C$1:$C$195)</f>
        <v>44976</v>
      </c>
      <c r="H1079" s="13" t="s">
        <v>1488</v>
      </c>
      <c r="I1079">
        <v>4</v>
      </c>
      <c r="J1079">
        <v>96.52</v>
      </c>
      <c r="K1079">
        <v>37.18</v>
      </c>
      <c r="L1079">
        <f>_xlfn.XLOOKUP(F1079,Products!$A$2:$A$51,Products!$D$2:$D$51,0)</f>
        <v>24.13</v>
      </c>
      <c r="M1079">
        <f t="shared" si="16"/>
        <v>59.34</v>
      </c>
    </row>
    <row r="1080" spans="1:13">
      <c r="A1080" t="s">
        <v>1497</v>
      </c>
      <c r="B1080" t="s">
        <v>142</v>
      </c>
      <c r="C1080" t="str">
        <f>_xlfn.XLOOKUP(F1080,Products!$A$2:$A$51,Products!$C$2:$C$51,0)</f>
        <v>Accessories</v>
      </c>
      <c r="D1080" t="str">
        <f>_xlfn.XLOOKUP(F1080,Products!$A$2:$A$51,Products!$B$2:$B$51,0)</f>
        <v>Chemex Filters (100 pack)</v>
      </c>
      <c r="E1080" t="str">
        <f>_xlfn.XLOOKUP(B1080,customers!$A$2:$A$195,customers!$B$2:$B$195,,0)</f>
        <v>South</v>
      </c>
      <c r="F1080">
        <v>1014</v>
      </c>
      <c r="G1080" s="9">
        <f>_xlfn.XLOOKUP(B1080,customers!$A$1:$A$195,customers!$C$1:$C$195)</f>
        <v>45079</v>
      </c>
      <c r="H1080" s="13" t="s">
        <v>1488</v>
      </c>
      <c r="I1080">
        <v>4</v>
      </c>
      <c r="J1080">
        <v>96.4</v>
      </c>
      <c r="K1080">
        <v>84.83</v>
      </c>
      <c r="L1080">
        <f>_xlfn.XLOOKUP(F1080,Products!$A$2:$A$51,Products!$D$2:$D$51,0)</f>
        <v>24.1</v>
      </c>
      <c r="M1080">
        <f t="shared" si="16"/>
        <v>11.57</v>
      </c>
    </row>
    <row r="1081" spans="1:13">
      <c r="A1081" t="s">
        <v>1498</v>
      </c>
      <c r="B1081" t="s">
        <v>154</v>
      </c>
      <c r="C1081" t="str">
        <f>_xlfn.XLOOKUP(F1081,Products!$A$2:$A$51,Products!$C$2:$C$51,0)</f>
        <v>Grinders &amp; Brewers</v>
      </c>
      <c r="D1081" t="str">
        <f>_xlfn.XLOOKUP(F1081,Products!$A$2:$A$51,Products!$B$2:$B$51,0)</f>
        <v>Hand Grinder (Travel Size)</v>
      </c>
      <c r="E1081" t="str">
        <f>_xlfn.XLOOKUP(B1081,customers!$A$2:$A$195,customers!$B$2:$B$195,,0)</f>
        <v>West</v>
      </c>
      <c r="F1081">
        <v>1032</v>
      </c>
      <c r="G1081" s="9">
        <f>_xlfn.XLOOKUP(B1081,customers!$A$1:$A$195,customers!$C$1:$C$195)</f>
        <v>45242</v>
      </c>
      <c r="H1081" s="13" t="s">
        <v>1488</v>
      </c>
      <c r="I1081">
        <v>2</v>
      </c>
      <c r="J1081">
        <v>509.44</v>
      </c>
      <c r="K1081">
        <v>260.57</v>
      </c>
      <c r="L1081">
        <f>_xlfn.XLOOKUP(F1081,Products!$A$2:$A$51,Products!$D$2:$D$51,0)</f>
        <v>254.72</v>
      </c>
      <c r="M1081">
        <f t="shared" si="16"/>
        <v>248.87</v>
      </c>
    </row>
    <row r="1082" spans="1:13">
      <c r="A1082" t="s">
        <v>1499</v>
      </c>
      <c r="B1082" t="s">
        <v>162</v>
      </c>
      <c r="C1082" t="str">
        <f>_xlfn.XLOOKUP(F1082,Products!$A$2:$A$51,Products!$C$2:$C$51,0)</f>
        <v>Consumables</v>
      </c>
      <c r="D1082" t="str">
        <f>_xlfn.XLOOKUP(F1082,Products!$A$2:$A$51,Products!$B$2:$B$51,0)</f>
        <v>Decaf Blend (1kg)</v>
      </c>
      <c r="E1082" t="str">
        <f>_xlfn.XLOOKUP(B1082,customers!$A$2:$A$195,customers!$B$2:$B$195,,0)</f>
        <v>East</v>
      </c>
      <c r="F1082">
        <v>1028</v>
      </c>
      <c r="G1082" s="9">
        <f>_xlfn.XLOOKUP(B1082,customers!$A$1:$A$195,customers!$C$1:$C$195)</f>
        <v>45262</v>
      </c>
      <c r="H1082" s="13" t="s">
        <v>1488</v>
      </c>
      <c r="I1082">
        <v>2</v>
      </c>
      <c r="J1082">
        <v>80.7</v>
      </c>
      <c r="K1082">
        <v>25.72</v>
      </c>
      <c r="L1082">
        <f>_xlfn.XLOOKUP(F1082,Products!$A$2:$A$51,Products!$D$2:$D$51,0)</f>
        <v>40.35</v>
      </c>
      <c r="M1082">
        <f t="shared" si="16"/>
        <v>54.98</v>
      </c>
    </row>
    <row r="1083" spans="1:13">
      <c r="A1083" t="s">
        <v>1500</v>
      </c>
      <c r="B1083" t="s">
        <v>179</v>
      </c>
      <c r="C1083" t="str">
        <f>_xlfn.XLOOKUP(F1083,Products!$A$2:$A$51,Products!$C$2:$C$51,0)</f>
        <v>Grinders &amp; Brewers</v>
      </c>
      <c r="D1083" t="str">
        <f>_xlfn.XLOOKUP(F1083,Products!$A$2:$A$51,Products!$B$2:$B$51,0)</f>
        <v>Precision Electric Grinder</v>
      </c>
      <c r="E1083" t="str">
        <f>_xlfn.XLOOKUP(B1083,customers!$A$2:$A$195,customers!$B$2:$B$195,,0)</f>
        <v>South</v>
      </c>
      <c r="F1083">
        <v>1006</v>
      </c>
      <c r="G1083" s="9">
        <f>_xlfn.XLOOKUP(B1083,customers!$A$1:$A$195,customers!$C$1:$C$195)</f>
        <v>45221</v>
      </c>
      <c r="H1083" s="13" t="s">
        <v>1488</v>
      </c>
      <c r="I1083">
        <v>3</v>
      </c>
      <c r="J1083">
        <v>696.6</v>
      </c>
      <c r="K1083">
        <v>235.16</v>
      </c>
      <c r="L1083">
        <f>_xlfn.XLOOKUP(F1083,Products!$A$2:$A$51,Products!$D$2:$D$51,0)</f>
        <v>232.2</v>
      </c>
      <c r="M1083">
        <f t="shared" si="16"/>
        <v>461.44</v>
      </c>
    </row>
    <row r="1084" spans="1:13">
      <c r="A1084" t="s">
        <v>1501</v>
      </c>
      <c r="B1084" t="s">
        <v>39</v>
      </c>
      <c r="C1084" t="str">
        <f>_xlfn.XLOOKUP(F1084,Products!$A$2:$A$51,Products!$C$2:$C$51,0)</f>
        <v>Consumables</v>
      </c>
      <c r="D1084" t="str">
        <f>_xlfn.XLOOKUP(F1084,Products!$A$2:$A$51,Products!$B$2:$B$51,0)</f>
        <v>Single-Origin Ethiopian (250g)</v>
      </c>
      <c r="E1084" t="str">
        <f>_xlfn.XLOOKUP(B1084,customers!$A$2:$A$195,customers!$B$2:$B$195,,0)</f>
        <v>North</v>
      </c>
      <c r="F1084">
        <v>1026</v>
      </c>
      <c r="G1084" s="9">
        <f>_xlfn.XLOOKUP(B1084,customers!$A$1:$A$195,customers!$C$1:$C$195)</f>
        <v>45037</v>
      </c>
      <c r="H1084" s="13" t="s">
        <v>1502</v>
      </c>
      <c r="I1084">
        <v>1</v>
      </c>
      <c r="J1084">
        <v>19.49</v>
      </c>
      <c r="K1084">
        <v>12.71</v>
      </c>
      <c r="L1084">
        <f>_xlfn.XLOOKUP(F1084,Products!$A$2:$A$51,Products!$D$2:$D$51,0)</f>
        <v>19.49</v>
      </c>
      <c r="M1084">
        <f t="shared" si="16"/>
        <v>6.78</v>
      </c>
    </row>
    <row r="1085" spans="1:13">
      <c r="A1085" t="s">
        <v>1503</v>
      </c>
      <c r="B1085" t="s">
        <v>29</v>
      </c>
      <c r="C1085" t="str">
        <f>_xlfn.XLOOKUP(F1085,Products!$A$2:$A$51,Products!$C$2:$C$51,0)</f>
        <v>Accessories</v>
      </c>
      <c r="D1085" t="str">
        <f>_xlfn.XLOOKUP(F1085,Products!$A$2:$A$51,Products!$B$2:$B$51,0)</f>
        <v>Digital Coffee Scale</v>
      </c>
      <c r="E1085" t="str">
        <f>_xlfn.XLOOKUP(B1085,customers!$A$2:$A$195,customers!$B$2:$B$195,,0)</f>
        <v>West</v>
      </c>
      <c r="F1085">
        <v>1011</v>
      </c>
      <c r="G1085" s="9">
        <f>_xlfn.XLOOKUP(B1085,customers!$A$1:$A$195,customers!$C$1:$C$195)</f>
        <v>45207</v>
      </c>
      <c r="H1085" s="13" t="s">
        <v>1504</v>
      </c>
      <c r="I1085">
        <v>2</v>
      </c>
      <c r="J1085">
        <v>53.66</v>
      </c>
      <c r="K1085">
        <v>29.3</v>
      </c>
      <c r="L1085">
        <f>_xlfn.XLOOKUP(F1085,Products!$A$2:$A$51,Products!$D$2:$D$51,0)</f>
        <v>26.83</v>
      </c>
      <c r="M1085">
        <f t="shared" si="16"/>
        <v>24.36</v>
      </c>
    </row>
    <row r="1086" spans="1:13">
      <c r="A1086" t="s">
        <v>1505</v>
      </c>
      <c r="B1086" t="s">
        <v>113</v>
      </c>
      <c r="C1086" t="str">
        <f>_xlfn.XLOOKUP(F1086,Products!$A$2:$A$51,Products!$C$2:$C$51,0)</f>
        <v>Subscriptions</v>
      </c>
      <c r="D1086" t="str">
        <f>_xlfn.XLOOKUP(F1086,Products!$A$2:$A$51,Products!$B$2:$B$51,0)</f>
        <v>Monthly Dark Roast Subscription</v>
      </c>
      <c r="E1086" t="str">
        <f>_xlfn.XLOOKUP(B1086,customers!$A$2:$A$195,customers!$B$2:$B$195,,0)</f>
        <v>North</v>
      </c>
      <c r="F1086">
        <v>1046</v>
      </c>
      <c r="G1086" s="9">
        <f>_xlfn.XLOOKUP(B1086,customers!$A$1:$A$195,customers!$C$1:$C$195)</f>
        <v>45206</v>
      </c>
      <c r="H1086" s="13" t="s">
        <v>1504</v>
      </c>
      <c r="I1086">
        <v>2</v>
      </c>
      <c r="J1086">
        <v>122.52</v>
      </c>
      <c r="K1086">
        <v>70.29</v>
      </c>
      <c r="L1086">
        <f>_xlfn.XLOOKUP(F1086,Products!$A$2:$A$51,Products!$D$2:$D$51,0)</f>
        <v>61.26</v>
      </c>
      <c r="M1086">
        <f t="shared" si="16"/>
        <v>52.23</v>
      </c>
    </row>
    <row r="1087" spans="1:13">
      <c r="A1087" t="s">
        <v>1506</v>
      </c>
      <c r="B1087" t="s">
        <v>11</v>
      </c>
      <c r="C1087" t="str">
        <f>_xlfn.XLOOKUP(F1087,Products!$A$2:$A$51,Products!$C$2:$C$51,0)</f>
        <v>Merchandise</v>
      </c>
      <c r="D1087" t="str">
        <f>_xlfn.XLOOKUP(F1087,Products!$A$2:$A$51,Products!$B$2:$B$51,0)</f>
        <v>Minimalist Keychain</v>
      </c>
      <c r="E1087" t="str">
        <f>_xlfn.XLOOKUP(B1087,customers!$A$2:$A$195,customers!$B$2:$B$195,,0)</f>
        <v>East</v>
      </c>
      <c r="F1087">
        <v>1020</v>
      </c>
      <c r="G1087" s="9">
        <f>_xlfn.XLOOKUP(B1087,customers!$A$1:$A$195,customers!$C$1:$C$195)</f>
        <v>45072</v>
      </c>
      <c r="H1087" s="13" t="s">
        <v>1507</v>
      </c>
      <c r="I1087">
        <v>2</v>
      </c>
      <c r="J1087">
        <v>54.74</v>
      </c>
      <c r="K1087">
        <v>48.18</v>
      </c>
      <c r="L1087">
        <f>_xlfn.XLOOKUP(F1087,Products!$A$2:$A$51,Products!$D$2:$D$51,0)</f>
        <v>27.37</v>
      </c>
      <c r="M1087">
        <f t="shared" si="16"/>
        <v>6.56</v>
      </c>
    </row>
    <row r="1088" spans="1:13">
      <c r="A1088" t="s">
        <v>1508</v>
      </c>
      <c r="B1088" t="s">
        <v>22</v>
      </c>
      <c r="C1088" t="str">
        <f>_xlfn.XLOOKUP(F1088,Products!$A$2:$A$51,Products!$C$2:$C$51,0)</f>
        <v>Grinders &amp; Brewers</v>
      </c>
      <c r="D1088" t="str">
        <f>_xlfn.XLOOKUP(F1088,Products!$A$2:$A$51,Products!$B$2:$B$51,0)</f>
        <v>Pour-Over Starter Kit</v>
      </c>
      <c r="E1088" t="str">
        <f>_xlfn.XLOOKUP(B1088,customers!$A$2:$A$195,customers!$B$2:$B$195,,0)</f>
        <v>West</v>
      </c>
      <c r="F1088">
        <v>1010</v>
      </c>
      <c r="G1088" s="9">
        <f>_xlfn.XLOOKUP(B1088,customers!$A$1:$A$195,customers!$C$1:$C$195)</f>
        <v>45010</v>
      </c>
      <c r="H1088" s="13" t="s">
        <v>1507</v>
      </c>
      <c r="I1088">
        <v>3</v>
      </c>
      <c r="J1088">
        <v>315.69</v>
      </c>
      <c r="K1088">
        <v>224.24</v>
      </c>
      <c r="L1088">
        <f>_xlfn.XLOOKUP(F1088,Products!$A$2:$A$51,Products!$D$2:$D$51,0)</f>
        <v>105.23</v>
      </c>
      <c r="M1088">
        <f t="shared" si="16"/>
        <v>91.45</v>
      </c>
    </row>
    <row r="1089" spans="1:13">
      <c r="A1089" t="s">
        <v>1509</v>
      </c>
      <c r="B1089" t="s">
        <v>28</v>
      </c>
      <c r="C1089" t="str">
        <f>_xlfn.XLOOKUP(F1089,Products!$A$2:$A$51,Products!$C$2:$C$51,0)</f>
        <v>Subscriptions</v>
      </c>
      <c r="D1089" t="str">
        <f>_xlfn.XLOOKUP(F1089,Products!$A$2:$A$51,Products!$B$2:$B$51,0)</f>
        <v>Three-Month Gift Subscription</v>
      </c>
      <c r="E1089" t="str">
        <f>_xlfn.XLOOKUP(B1089,customers!$A$2:$A$195,customers!$B$2:$B$195,,0)</f>
        <v>East</v>
      </c>
      <c r="F1089">
        <v>1023</v>
      </c>
      <c r="G1089" s="9">
        <f>_xlfn.XLOOKUP(B1089,customers!$A$1:$A$195,customers!$C$1:$C$195)</f>
        <v>45273</v>
      </c>
      <c r="H1089" s="13" t="s">
        <v>1507</v>
      </c>
      <c r="I1089">
        <v>2</v>
      </c>
      <c r="J1089">
        <v>130.42</v>
      </c>
      <c r="K1089">
        <v>55.22</v>
      </c>
      <c r="L1089">
        <f>_xlfn.XLOOKUP(F1089,Products!$A$2:$A$51,Products!$D$2:$D$51,0)</f>
        <v>65.21</v>
      </c>
      <c r="M1089">
        <f t="shared" si="16"/>
        <v>75.2</v>
      </c>
    </row>
    <row r="1090" spans="1:13">
      <c r="A1090" t="s">
        <v>1510</v>
      </c>
      <c r="B1090" t="s">
        <v>47</v>
      </c>
      <c r="C1090" t="str">
        <f>_xlfn.XLOOKUP(F1090,Products!$A$2:$A$51,Products!$C$2:$C$51,0)</f>
        <v>Subscriptions</v>
      </c>
      <c r="D1090" t="str">
        <f>_xlfn.XLOOKUP(F1090,Products!$A$2:$A$51,Products!$B$2:$B$51,0)</f>
        <v>Monthly Dark Roast Subscription</v>
      </c>
      <c r="E1090" t="str">
        <f>_xlfn.XLOOKUP(B1090,customers!$A$2:$A$195,customers!$B$2:$B$195,,0)</f>
        <v>West</v>
      </c>
      <c r="F1090">
        <v>1046</v>
      </c>
      <c r="G1090" s="9">
        <f>_xlfn.XLOOKUP(B1090,customers!$A$1:$A$195,customers!$C$1:$C$195)</f>
        <v>44967</v>
      </c>
      <c r="H1090" s="13" t="s">
        <v>1507</v>
      </c>
      <c r="I1090">
        <v>3</v>
      </c>
      <c r="J1090">
        <v>183.78</v>
      </c>
      <c r="K1090">
        <v>105.44</v>
      </c>
      <c r="L1090">
        <f>_xlfn.XLOOKUP(F1090,Products!$A$2:$A$51,Products!$D$2:$D$51,0)</f>
        <v>61.26</v>
      </c>
      <c r="M1090">
        <f t="shared" si="16"/>
        <v>78.34</v>
      </c>
    </row>
    <row r="1091" spans="1:13">
      <c r="A1091" t="s">
        <v>1511</v>
      </c>
      <c r="B1091" t="s">
        <v>55</v>
      </c>
      <c r="C1091" t="str">
        <f>_xlfn.XLOOKUP(F1091,Products!$A$2:$A$51,Products!$C$2:$C$51,0)</f>
        <v>Accessories</v>
      </c>
      <c r="D1091" t="str">
        <f>_xlfn.XLOOKUP(F1091,Products!$A$2:$A$51,Products!$B$2:$B$51,0)</f>
        <v>Digital Coffee Scale</v>
      </c>
      <c r="E1091" t="str">
        <f>_xlfn.XLOOKUP(B1091,customers!$A$2:$A$195,customers!$B$2:$B$195,,0)</f>
        <v>South</v>
      </c>
      <c r="F1091">
        <v>1036</v>
      </c>
      <c r="G1091" s="9">
        <f>_xlfn.XLOOKUP(B1091,customers!$A$1:$A$195,customers!$C$1:$C$195)</f>
        <v>45223</v>
      </c>
      <c r="H1091" s="13" t="s">
        <v>1507</v>
      </c>
      <c r="I1091">
        <v>3</v>
      </c>
      <c r="J1091">
        <v>80.49</v>
      </c>
      <c r="K1091">
        <v>43.96</v>
      </c>
      <c r="L1091">
        <f>_xlfn.XLOOKUP(F1091,Products!$A$2:$A$51,Products!$D$2:$D$51,0)</f>
        <v>26.83</v>
      </c>
      <c r="M1091">
        <f t="shared" ref="M1091:M1154" si="17">J1091-K1091</f>
        <v>36.53</v>
      </c>
    </row>
    <row r="1092" spans="1:13">
      <c r="A1092" t="s">
        <v>1512</v>
      </c>
      <c r="B1092" t="s">
        <v>94</v>
      </c>
      <c r="C1092" t="str">
        <f>_xlfn.XLOOKUP(F1092,Products!$A$2:$A$51,Products!$C$2:$C$51,0)</f>
        <v>Consumables</v>
      </c>
      <c r="D1092" t="str">
        <f>_xlfn.XLOOKUP(F1092,Products!$A$2:$A$51,Products!$B$2:$B$51,0)</f>
        <v>Espresso Bean Sampler Pack</v>
      </c>
      <c r="E1092" t="str">
        <f>_xlfn.XLOOKUP(B1092,customers!$A$2:$A$195,customers!$B$2:$B$195,,0)</f>
        <v>East</v>
      </c>
      <c r="F1092">
        <v>1005</v>
      </c>
      <c r="G1092" s="9">
        <f>_xlfn.XLOOKUP(B1092,customers!$A$1:$A$195,customers!$C$1:$C$195)</f>
        <v>44956</v>
      </c>
      <c r="H1092" s="13" t="s">
        <v>1507</v>
      </c>
      <c r="I1092">
        <v>4</v>
      </c>
      <c r="J1092">
        <v>76.24</v>
      </c>
      <c r="K1092">
        <v>47.87</v>
      </c>
      <c r="L1092">
        <f>_xlfn.XLOOKUP(F1092,Products!$A$2:$A$51,Products!$D$2:$D$51,0)</f>
        <v>19.06</v>
      </c>
      <c r="M1092">
        <f t="shared" si="17"/>
        <v>28.37</v>
      </c>
    </row>
    <row r="1093" spans="1:13">
      <c r="A1093" t="s">
        <v>1513</v>
      </c>
      <c r="B1093" t="s">
        <v>124</v>
      </c>
      <c r="C1093" t="str">
        <f>_xlfn.XLOOKUP(F1093,Products!$A$2:$A$51,Products!$C$2:$C$51,0)</f>
        <v>Accessories</v>
      </c>
      <c r="D1093" t="str">
        <f>_xlfn.XLOOKUP(F1093,Products!$A$2:$A$51,Products!$B$2:$B$51,0)</f>
        <v>Airtight Storage Container</v>
      </c>
      <c r="E1093" t="str">
        <f>_xlfn.XLOOKUP(B1093,customers!$A$2:$A$195,customers!$B$2:$B$195,,0)</f>
        <v>West</v>
      </c>
      <c r="F1093">
        <v>1038</v>
      </c>
      <c r="G1093" s="9">
        <f>_xlfn.XLOOKUP(B1093,customers!$A$1:$A$195,customers!$C$1:$C$195)</f>
        <v>45083</v>
      </c>
      <c r="H1093" s="13" t="s">
        <v>1507</v>
      </c>
      <c r="I1093">
        <v>4</v>
      </c>
      <c r="J1093">
        <v>244.16</v>
      </c>
      <c r="K1093">
        <v>102.83</v>
      </c>
      <c r="L1093">
        <f>_xlfn.XLOOKUP(F1093,Products!$A$2:$A$51,Products!$D$2:$D$51,0)</f>
        <v>61.04</v>
      </c>
      <c r="M1093">
        <f t="shared" si="17"/>
        <v>141.33</v>
      </c>
    </row>
    <row r="1094" spans="1:13">
      <c r="A1094" t="s">
        <v>1514</v>
      </c>
      <c r="B1094" t="s">
        <v>130</v>
      </c>
      <c r="C1094" t="str">
        <f>_xlfn.XLOOKUP(F1094,Products!$A$2:$A$51,Products!$C$2:$C$51,0)</f>
        <v>Merchandise</v>
      </c>
      <c r="D1094" t="str">
        <f>_xlfn.XLOOKUP(F1094,Products!$A$2:$A$51,Products!$B$2:$B$51,0)</f>
        <v>Logo Hoodie (Black)</v>
      </c>
      <c r="E1094" t="str">
        <f>_xlfn.XLOOKUP(B1094,customers!$A$2:$A$195,customers!$B$2:$B$195,,0)</f>
        <v>East</v>
      </c>
      <c r="F1094">
        <v>1042</v>
      </c>
      <c r="G1094" s="9">
        <f>_xlfn.XLOOKUP(B1094,customers!$A$1:$A$195,customers!$C$1:$C$195)</f>
        <v>45241</v>
      </c>
      <c r="H1094" s="13" t="s">
        <v>1507</v>
      </c>
      <c r="I1094">
        <v>4</v>
      </c>
      <c r="J1094">
        <v>60.92</v>
      </c>
      <c r="K1094">
        <v>53.59</v>
      </c>
      <c r="L1094">
        <f>_xlfn.XLOOKUP(F1094,Products!$A$2:$A$51,Products!$D$2:$D$51,0)</f>
        <v>15.23</v>
      </c>
      <c r="M1094">
        <f t="shared" si="17"/>
        <v>7.33</v>
      </c>
    </row>
    <row r="1095" spans="1:13">
      <c r="A1095" t="s">
        <v>1515</v>
      </c>
      <c r="B1095" t="s">
        <v>169</v>
      </c>
      <c r="C1095" t="str">
        <f>_xlfn.XLOOKUP(F1095,Products!$A$2:$A$51,Products!$C$2:$C$51,0)</f>
        <v>Accessories</v>
      </c>
      <c r="D1095" t="str">
        <f>_xlfn.XLOOKUP(F1095,Products!$A$2:$A$51,Products!$B$2:$B$51,0)</f>
        <v>Chemex Filters (100 pack)</v>
      </c>
      <c r="E1095" t="str">
        <f>_xlfn.XLOOKUP(B1095,customers!$A$2:$A$195,customers!$B$2:$B$195,,0)</f>
        <v>West</v>
      </c>
      <c r="F1095">
        <v>1039</v>
      </c>
      <c r="G1095" s="9">
        <f>_xlfn.XLOOKUP(B1095,customers!$A$1:$A$195,customers!$C$1:$C$195)</f>
        <v>44979</v>
      </c>
      <c r="H1095" s="13" t="s">
        <v>1507</v>
      </c>
      <c r="I1095">
        <v>3</v>
      </c>
      <c r="J1095">
        <v>72.3</v>
      </c>
      <c r="K1095">
        <v>63.62</v>
      </c>
      <c r="L1095">
        <f>_xlfn.XLOOKUP(F1095,Products!$A$2:$A$51,Products!$D$2:$D$51,0)</f>
        <v>24.1</v>
      </c>
      <c r="M1095">
        <f t="shared" si="17"/>
        <v>8.68</v>
      </c>
    </row>
    <row r="1096" spans="1:13">
      <c r="A1096" t="s">
        <v>1516</v>
      </c>
      <c r="B1096" t="s">
        <v>170</v>
      </c>
      <c r="C1096" t="str">
        <f>_xlfn.XLOOKUP(F1096,Products!$A$2:$A$51,Products!$C$2:$C$51,0)</f>
        <v>Subscriptions</v>
      </c>
      <c r="D1096" t="str">
        <f>_xlfn.XLOOKUP(F1096,Products!$A$2:$A$51,Products!$B$2:$B$51,0)</f>
        <v>Bi-Weekly Sampler Box</v>
      </c>
      <c r="E1096" t="str">
        <f>_xlfn.XLOOKUP(B1096,customers!$A$2:$A$195,customers!$B$2:$B$195,,0)</f>
        <v>North</v>
      </c>
      <c r="F1096">
        <v>1022</v>
      </c>
      <c r="G1096" s="9">
        <f>_xlfn.XLOOKUP(B1096,customers!$A$1:$A$195,customers!$C$1:$C$195)</f>
        <v>44969</v>
      </c>
      <c r="H1096" s="13" t="s">
        <v>1507</v>
      </c>
      <c r="I1096">
        <v>1</v>
      </c>
      <c r="J1096">
        <v>88.77</v>
      </c>
      <c r="K1096">
        <v>23.86</v>
      </c>
      <c r="L1096">
        <f>_xlfn.XLOOKUP(F1096,Products!$A$2:$A$51,Products!$D$2:$D$51,0)</f>
        <v>88.77</v>
      </c>
      <c r="M1096">
        <f t="shared" si="17"/>
        <v>64.91</v>
      </c>
    </row>
    <row r="1097" spans="1:13">
      <c r="A1097" t="s">
        <v>1517</v>
      </c>
      <c r="B1097" t="s">
        <v>184</v>
      </c>
      <c r="C1097" t="str">
        <f>_xlfn.XLOOKUP(F1097,Products!$A$2:$A$51,Products!$C$2:$C$51,0)</f>
        <v>Accessories</v>
      </c>
      <c r="D1097" t="str">
        <f>_xlfn.XLOOKUP(F1097,Products!$A$2:$A$51,Products!$B$2:$B$51,0)</f>
        <v>Refillable Coffee Pods</v>
      </c>
      <c r="E1097" t="str">
        <f>_xlfn.XLOOKUP(B1097,customers!$A$2:$A$195,customers!$B$2:$B$195,,0)</f>
        <v>East</v>
      </c>
      <c r="F1097">
        <v>1040</v>
      </c>
      <c r="G1097" s="9">
        <f>_xlfn.XLOOKUP(B1097,customers!$A$1:$A$195,customers!$C$1:$C$195)</f>
        <v>45239</v>
      </c>
      <c r="H1097" s="13" t="s">
        <v>1507</v>
      </c>
      <c r="I1097">
        <v>1</v>
      </c>
      <c r="J1097">
        <v>24.13</v>
      </c>
      <c r="K1097">
        <v>9.3</v>
      </c>
      <c r="L1097">
        <f>_xlfn.XLOOKUP(F1097,Products!$A$2:$A$51,Products!$D$2:$D$51,0)</f>
        <v>24.13</v>
      </c>
      <c r="M1097">
        <f t="shared" si="17"/>
        <v>14.83</v>
      </c>
    </row>
    <row r="1098" spans="1:13">
      <c r="A1098" t="s">
        <v>1518</v>
      </c>
      <c r="B1098" t="s">
        <v>7</v>
      </c>
      <c r="C1098" t="str">
        <f>_xlfn.XLOOKUP(F1098,Products!$A$2:$A$51,Products!$C$2:$C$51,0)</f>
        <v>Consumables</v>
      </c>
      <c r="D1098" t="str">
        <f>_xlfn.XLOOKUP(F1098,Products!$A$2:$A$51,Products!$B$2:$B$51,0)</f>
        <v>Espresso Bean Sampler Pack</v>
      </c>
      <c r="E1098" t="str">
        <f>_xlfn.XLOOKUP(B1098,customers!$A$2:$A$195,customers!$B$2:$B$195,,0)</f>
        <v>West</v>
      </c>
      <c r="F1098">
        <v>1030</v>
      </c>
      <c r="G1098" s="9">
        <f>_xlfn.XLOOKUP(B1098,customers!$A$1:$A$195,customers!$C$1:$C$195)</f>
        <v>45177</v>
      </c>
      <c r="H1098" s="13" t="s">
        <v>1519</v>
      </c>
      <c r="I1098">
        <v>1</v>
      </c>
      <c r="J1098">
        <v>19.06</v>
      </c>
      <c r="K1098">
        <v>11.97</v>
      </c>
      <c r="L1098">
        <f>_xlfn.XLOOKUP(F1098,Products!$A$2:$A$51,Products!$D$2:$D$51,0)</f>
        <v>19.06</v>
      </c>
      <c r="M1098">
        <f t="shared" si="17"/>
        <v>7.09</v>
      </c>
    </row>
    <row r="1099" spans="1:13">
      <c r="A1099" t="s">
        <v>1520</v>
      </c>
      <c r="B1099" t="s">
        <v>33</v>
      </c>
      <c r="C1099" t="str">
        <f>_xlfn.XLOOKUP(F1099,Products!$A$2:$A$51,Products!$C$2:$C$51,0)</f>
        <v>Merchandise</v>
      </c>
      <c r="D1099" t="str">
        <f>_xlfn.XLOOKUP(F1099,Products!$A$2:$A$51,Products!$B$2:$B$51,0)</f>
        <v>Insulated Travel Tumbler</v>
      </c>
      <c r="E1099" t="str">
        <f>_xlfn.XLOOKUP(B1099,customers!$A$2:$A$195,customers!$B$2:$B$195,,0)</f>
        <v>West</v>
      </c>
      <c r="F1099">
        <v>1018</v>
      </c>
      <c r="G1099" s="9">
        <f>_xlfn.XLOOKUP(B1099,customers!$A$1:$A$195,customers!$C$1:$C$195)</f>
        <v>44929</v>
      </c>
      <c r="H1099" s="13" t="s">
        <v>1519</v>
      </c>
      <c r="I1099">
        <v>3</v>
      </c>
      <c r="J1099">
        <v>129.84</v>
      </c>
      <c r="K1099">
        <v>62.47</v>
      </c>
      <c r="L1099">
        <f>_xlfn.XLOOKUP(F1099,Products!$A$2:$A$51,Products!$D$2:$D$51,0)</f>
        <v>43.28</v>
      </c>
      <c r="M1099">
        <f t="shared" si="17"/>
        <v>67.37</v>
      </c>
    </row>
    <row r="1100" spans="1:13">
      <c r="A1100" t="s">
        <v>1521</v>
      </c>
      <c r="B1100" t="s">
        <v>49</v>
      </c>
      <c r="C1100" t="str">
        <f>_xlfn.XLOOKUP(F1100,Products!$A$2:$A$51,Products!$C$2:$C$51,0)</f>
        <v>Merchandise</v>
      </c>
      <c r="D1100" t="str">
        <f>_xlfn.XLOOKUP(F1100,Products!$A$2:$A$51,Products!$B$2:$B$51,0)</f>
        <v>Logo Hoodie (Black)</v>
      </c>
      <c r="E1100" t="str">
        <f>_xlfn.XLOOKUP(B1100,customers!$A$2:$A$195,customers!$B$2:$B$195,,0)</f>
        <v>West</v>
      </c>
      <c r="F1100">
        <v>1017</v>
      </c>
      <c r="G1100" s="9">
        <f>_xlfn.XLOOKUP(B1100,customers!$A$1:$A$195,customers!$C$1:$C$195)</f>
        <v>45152</v>
      </c>
      <c r="H1100" s="13" t="s">
        <v>1519</v>
      </c>
      <c r="I1100">
        <v>4</v>
      </c>
      <c r="J1100">
        <v>60.92</v>
      </c>
      <c r="K1100">
        <v>53.59</v>
      </c>
      <c r="L1100">
        <f>_xlfn.XLOOKUP(F1100,Products!$A$2:$A$51,Products!$D$2:$D$51,0)</f>
        <v>15.23</v>
      </c>
      <c r="M1100">
        <f t="shared" si="17"/>
        <v>7.33</v>
      </c>
    </row>
    <row r="1101" spans="1:13">
      <c r="A1101" t="s">
        <v>1522</v>
      </c>
      <c r="B1101" t="s">
        <v>51</v>
      </c>
      <c r="C1101" t="str">
        <f>_xlfn.XLOOKUP(F1101,Products!$A$2:$A$51,Products!$C$2:$C$51,0)</f>
        <v>Merchandise</v>
      </c>
      <c r="D1101" t="str">
        <f>_xlfn.XLOOKUP(F1101,Products!$A$2:$A$51,Products!$B$2:$B$51,0)</f>
        <v>Minimalist Keychain</v>
      </c>
      <c r="E1101" t="str">
        <f>_xlfn.XLOOKUP(B1101,customers!$A$2:$A$195,customers!$B$2:$B$195,,0)</f>
        <v>South</v>
      </c>
      <c r="F1101">
        <v>1020</v>
      </c>
      <c r="G1101" s="9">
        <f>_xlfn.XLOOKUP(B1101,customers!$A$1:$A$195,customers!$C$1:$C$195)</f>
        <v>45096</v>
      </c>
      <c r="H1101" s="13" t="s">
        <v>1519</v>
      </c>
      <c r="I1101">
        <v>4</v>
      </c>
      <c r="J1101">
        <v>109.48</v>
      </c>
      <c r="K1101">
        <v>96.36</v>
      </c>
      <c r="L1101">
        <f>_xlfn.XLOOKUP(F1101,Products!$A$2:$A$51,Products!$D$2:$D$51,0)</f>
        <v>27.37</v>
      </c>
      <c r="M1101">
        <f t="shared" si="17"/>
        <v>13.12</v>
      </c>
    </row>
    <row r="1102" spans="1:13">
      <c r="A1102" t="s">
        <v>1523</v>
      </c>
      <c r="B1102" t="s">
        <v>62</v>
      </c>
      <c r="C1102" t="str">
        <f>_xlfn.XLOOKUP(F1102,Products!$A$2:$A$51,Products!$C$2:$C$51,0)</f>
        <v>Subscriptions</v>
      </c>
      <c r="D1102" t="str">
        <f>_xlfn.XLOOKUP(F1102,Products!$A$2:$A$51,Products!$B$2:$B$51,0)</f>
        <v>Subscription Renewal Service</v>
      </c>
      <c r="E1102" t="str">
        <f>_xlfn.XLOOKUP(B1102,customers!$A$2:$A$195,customers!$B$2:$B$195,,0)</f>
        <v>West</v>
      </c>
      <c r="F1102">
        <v>1025</v>
      </c>
      <c r="G1102" s="9">
        <f>_xlfn.XLOOKUP(B1102,customers!$A$1:$A$195,customers!$C$1:$C$195)</f>
        <v>45178</v>
      </c>
      <c r="H1102" s="13" t="s">
        <v>1519</v>
      </c>
      <c r="I1102">
        <v>2</v>
      </c>
      <c r="J1102">
        <v>146.82</v>
      </c>
      <c r="K1102">
        <v>54.58</v>
      </c>
      <c r="L1102">
        <f>_xlfn.XLOOKUP(F1102,Products!$A$2:$A$51,Products!$D$2:$D$51,0)</f>
        <v>73.41</v>
      </c>
      <c r="M1102">
        <f t="shared" si="17"/>
        <v>92.24</v>
      </c>
    </row>
    <row r="1103" spans="1:13">
      <c r="A1103" t="s">
        <v>1524</v>
      </c>
      <c r="B1103" t="s">
        <v>88</v>
      </c>
      <c r="C1103" t="str">
        <f>_xlfn.XLOOKUP(F1103,Products!$A$2:$A$51,Products!$C$2:$C$51,0)</f>
        <v>Merchandise</v>
      </c>
      <c r="D1103" t="str">
        <f>_xlfn.XLOOKUP(F1103,Products!$A$2:$A$51,Products!$B$2:$B$51,0)</f>
        <v>Branded Ceramic Mug (Large)</v>
      </c>
      <c r="E1103" t="str">
        <f>_xlfn.XLOOKUP(B1103,customers!$A$2:$A$195,customers!$B$2:$B$195,,0)</f>
        <v>East</v>
      </c>
      <c r="F1103">
        <v>1016</v>
      </c>
      <c r="G1103" s="9">
        <f>_xlfn.XLOOKUP(B1103,customers!$A$1:$A$195,customers!$C$1:$C$195)</f>
        <v>45042</v>
      </c>
      <c r="H1103" s="13" t="s">
        <v>1519</v>
      </c>
      <c r="I1103">
        <v>2</v>
      </c>
      <c r="J1103">
        <v>86.4</v>
      </c>
      <c r="K1103">
        <v>62.22</v>
      </c>
      <c r="L1103">
        <f>_xlfn.XLOOKUP(F1103,Products!$A$2:$A$51,Products!$D$2:$D$51,0)</f>
        <v>43.2</v>
      </c>
      <c r="M1103">
        <f t="shared" si="17"/>
        <v>24.18</v>
      </c>
    </row>
    <row r="1104" spans="1:13">
      <c r="A1104" t="s">
        <v>1525</v>
      </c>
      <c r="B1104" t="s">
        <v>101</v>
      </c>
      <c r="C1104" t="str">
        <f>_xlfn.XLOOKUP(F1104,Products!$A$2:$A$51,Products!$C$2:$C$51,0)</f>
        <v>Grinders &amp; Brewers</v>
      </c>
      <c r="D1104" t="str">
        <f>_xlfn.XLOOKUP(F1104,Products!$A$2:$A$51,Products!$B$2:$B$51,0)</f>
        <v>Automated Drip Brewer</v>
      </c>
      <c r="E1104" t="str">
        <f>_xlfn.XLOOKUP(B1104,customers!$A$2:$A$195,customers!$B$2:$B$195,,0)</f>
        <v>North</v>
      </c>
      <c r="F1104">
        <v>1008</v>
      </c>
      <c r="G1104" s="9">
        <f>_xlfn.XLOOKUP(B1104,customers!$A$1:$A$195,customers!$C$1:$C$195)</f>
        <v>45160</v>
      </c>
      <c r="H1104" s="13" t="s">
        <v>1519</v>
      </c>
      <c r="I1104">
        <v>3</v>
      </c>
      <c r="J1104">
        <v>707.28</v>
      </c>
      <c r="K1104">
        <v>397.45</v>
      </c>
      <c r="L1104">
        <f>_xlfn.XLOOKUP(F1104,Products!$A$2:$A$51,Products!$D$2:$D$51,0)</f>
        <v>235.76</v>
      </c>
      <c r="M1104">
        <f t="shared" si="17"/>
        <v>309.83</v>
      </c>
    </row>
    <row r="1105" spans="1:13">
      <c r="A1105" t="s">
        <v>1526</v>
      </c>
      <c r="B1105" t="s">
        <v>128</v>
      </c>
      <c r="C1105" t="str">
        <f>_xlfn.XLOOKUP(F1105,Products!$A$2:$A$51,Products!$C$2:$C$51,0)</f>
        <v>Grinders &amp; Brewers</v>
      </c>
      <c r="D1105" t="str">
        <f>_xlfn.XLOOKUP(F1105,Products!$A$2:$A$51,Products!$B$2:$B$51,0)</f>
        <v>Automated Drip Brewer</v>
      </c>
      <c r="E1105" t="str">
        <f>_xlfn.XLOOKUP(B1105,customers!$A$2:$A$195,customers!$B$2:$B$195,,0)</f>
        <v>West</v>
      </c>
      <c r="F1105">
        <v>1033</v>
      </c>
      <c r="G1105" s="9">
        <f>_xlfn.XLOOKUP(B1105,customers!$A$1:$A$195,customers!$C$1:$C$195)</f>
        <v>45161</v>
      </c>
      <c r="H1105" s="13" t="s">
        <v>1519</v>
      </c>
      <c r="I1105">
        <v>3</v>
      </c>
      <c r="J1105">
        <v>707.28</v>
      </c>
      <c r="K1105">
        <v>397.45</v>
      </c>
      <c r="L1105">
        <f>_xlfn.XLOOKUP(F1105,Products!$A$2:$A$51,Products!$D$2:$D$51,0)</f>
        <v>235.76</v>
      </c>
      <c r="M1105">
        <f t="shared" si="17"/>
        <v>309.83</v>
      </c>
    </row>
    <row r="1106" spans="1:13">
      <c r="A1106" t="s">
        <v>1527</v>
      </c>
      <c r="B1106" t="s">
        <v>134</v>
      </c>
      <c r="C1106" t="str">
        <f>_xlfn.XLOOKUP(F1106,Products!$A$2:$A$51,Products!$C$2:$C$51,0)</f>
        <v>Subscriptions</v>
      </c>
      <c r="D1106" t="str">
        <f>_xlfn.XLOOKUP(F1106,Products!$A$2:$A$51,Products!$B$2:$B$51,0)</f>
        <v>Monthly Dark Roast Subscription</v>
      </c>
      <c r="E1106" t="str">
        <f>_xlfn.XLOOKUP(B1106,customers!$A$2:$A$195,customers!$B$2:$B$195,,0)</f>
        <v>West</v>
      </c>
      <c r="F1106">
        <v>1046</v>
      </c>
      <c r="G1106" s="9">
        <f>_xlfn.XLOOKUP(B1106,customers!$A$1:$A$195,customers!$C$1:$C$195)</f>
        <v>45241</v>
      </c>
      <c r="H1106" s="13" t="s">
        <v>1519</v>
      </c>
      <c r="I1106">
        <v>1</v>
      </c>
      <c r="J1106">
        <v>61.26</v>
      </c>
      <c r="K1106">
        <v>35.15</v>
      </c>
      <c r="L1106">
        <f>_xlfn.XLOOKUP(F1106,Products!$A$2:$A$51,Products!$D$2:$D$51,0)</f>
        <v>61.26</v>
      </c>
      <c r="M1106">
        <f t="shared" si="17"/>
        <v>26.11</v>
      </c>
    </row>
    <row r="1107" spans="1:13">
      <c r="A1107" t="s">
        <v>1528</v>
      </c>
      <c r="B1107" t="s">
        <v>141</v>
      </c>
      <c r="C1107" t="str">
        <f>_xlfn.XLOOKUP(F1107,Products!$A$2:$A$51,Products!$C$2:$C$51,0)</f>
        <v>Consumables</v>
      </c>
      <c r="D1107" t="str">
        <f>_xlfn.XLOOKUP(F1107,Products!$A$2:$A$51,Products!$B$2:$B$51,0)</f>
        <v>Cold Brew Concentrate</v>
      </c>
      <c r="E1107" t="str">
        <f>_xlfn.XLOOKUP(B1107,customers!$A$2:$A$195,customers!$B$2:$B$195,,0)</f>
        <v>East</v>
      </c>
      <c r="F1107">
        <v>1029</v>
      </c>
      <c r="G1107" s="9">
        <f>_xlfn.XLOOKUP(B1107,customers!$A$1:$A$195,customers!$C$1:$C$195)</f>
        <v>45035</v>
      </c>
      <c r="H1107" s="13" t="s">
        <v>1519</v>
      </c>
      <c r="I1107">
        <v>4</v>
      </c>
      <c r="J1107">
        <v>93.96</v>
      </c>
      <c r="K1107">
        <v>40.35</v>
      </c>
      <c r="L1107">
        <f>_xlfn.XLOOKUP(F1107,Products!$A$2:$A$51,Products!$D$2:$D$51,0)</f>
        <v>23.49</v>
      </c>
      <c r="M1107">
        <f t="shared" si="17"/>
        <v>53.61</v>
      </c>
    </row>
    <row r="1108" spans="1:13">
      <c r="A1108" t="s">
        <v>1529</v>
      </c>
      <c r="B1108" t="s">
        <v>155</v>
      </c>
      <c r="C1108" t="str">
        <f>_xlfn.XLOOKUP(F1108,Products!$A$2:$A$51,Products!$C$2:$C$51,0)</f>
        <v>Accessories</v>
      </c>
      <c r="D1108" t="str">
        <f>_xlfn.XLOOKUP(F1108,Products!$A$2:$A$51,Products!$B$2:$B$51,0)</f>
        <v>Airtight Storage Container</v>
      </c>
      <c r="E1108" t="str">
        <f>_xlfn.XLOOKUP(B1108,customers!$A$2:$A$195,customers!$B$2:$B$195,,0)</f>
        <v>East</v>
      </c>
      <c r="F1108">
        <v>1013</v>
      </c>
      <c r="G1108" s="9">
        <f>_xlfn.XLOOKUP(B1108,customers!$A$1:$A$195,customers!$C$1:$C$195)</f>
        <v>45204</v>
      </c>
      <c r="H1108" s="13" t="s">
        <v>1519</v>
      </c>
      <c r="I1108">
        <v>1</v>
      </c>
      <c r="J1108">
        <v>61.04</v>
      </c>
      <c r="K1108">
        <v>25.71</v>
      </c>
      <c r="L1108">
        <f>_xlfn.XLOOKUP(F1108,Products!$A$2:$A$51,Products!$D$2:$D$51,0)</f>
        <v>61.04</v>
      </c>
      <c r="M1108">
        <f t="shared" si="17"/>
        <v>35.33</v>
      </c>
    </row>
    <row r="1109" spans="1:13">
      <c r="A1109" t="s">
        <v>1530</v>
      </c>
      <c r="B1109" t="s">
        <v>166</v>
      </c>
      <c r="C1109" t="str">
        <f>_xlfn.XLOOKUP(F1109,Products!$A$2:$A$51,Products!$C$2:$C$51,0)</f>
        <v>Accessories</v>
      </c>
      <c r="D1109" t="str">
        <f>_xlfn.XLOOKUP(F1109,Products!$A$2:$A$51,Products!$B$2:$B$51,0)</f>
        <v>Gooseneck Electric Kettle</v>
      </c>
      <c r="E1109" t="str">
        <f>_xlfn.XLOOKUP(B1109,customers!$A$2:$A$195,customers!$B$2:$B$195,,0)</f>
        <v>North</v>
      </c>
      <c r="F1109">
        <v>1037</v>
      </c>
      <c r="G1109" s="9">
        <f>_xlfn.XLOOKUP(B1109,customers!$A$1:$A$195,customers!$C$1:$C$195)</f>
        <v>45164</v>
      </c>
      <c r="H1109" s="13" t="s">
        <v>1519</v>
      </c>
      <c r="I1109">
        <v>3</v>
      </c>
      <c r="J1109">
        <v>104.61</v>
      </c>
      <c r="K1109">
        <v>77.91</v>
      </c>
      <c r="L1109">
        <f>_xlfn.XLOOKUP(F1109,Products!$A$2:$A$51,Products!$D$2:$D$51,0)</f>
        <v>34.87</v>
      </c>
      <c r="M1109">
        <f t="shared" si="17"/>
        <v>26.7</v>
      </c>
    </row>
    <row r="1110" spans="1:13">
      <c r="A1110" t="s">
        <v>1531</v>
      </c>
      <c r="B1110" t="s">
        <v>177</v>
      </c>
      <c r="C1110" t="str">
        <f>_xlfn.XLOOKUP(F1110,Products!$A$2:$A$51,Products!$C$2:$C$51,0)</f>
        <v>Consumables</v>
      </c>
      <c r="D1110" t="str">
        <f>_xlfn.XLOOKUP(F1110,Products!$A$2:$A$51,Products!$B$2:$B$51,0)</f>
        <v>Espresso Bean Sampler Pack</v>
      </c>
      <c r="E1110" t="str">
        <f>_xlfn.XLOOKUP(B1110,customers!$A$2:$A$195,customers!$B$2:$B$195,,0)</f>
        <v>East</v>
      </c>
      <c r="F1110">
        <v>1005</v>
      </c>
      <c r="G1110" s="9">
        <f>_xlfn.XLOOKUP(B1110,customers!$A$1:$A$195,customers!$C$1:$C$195)</f>
        <v>44986</v>
      </c>
      <c r="H1110" s="13" t="s">
        <v>1519</v>
      </c>
      <c r="I1110">
        <v>4</v>
      </c>
      <c r="J1110">
        <v>76.24</v>
      </c>
      <c r="K1110">
        <v>47.87</v>
      </c>
      <c r="L1110">
        <f>_xlfn.XLOOKUP(F1110,Products!$A$2:$A$51,Products!$D$2:$D$51,0)</f>
        <v>19.06</v>
      </c>
      <c r="M1110">
        <f t="shared" si="17"/>
        <v>28.37</v>
      </c>
    </row>
    <row r="1111" spans="1:13">
      <c r="A1111" t="s">
        <v>1532</v>
      </c>
      <c r="B1111" t="s">
        <v>179</v>
      </c>
      <c r="C1111" t="str">
        <f>_xlfn.XLOOKUP(F1111,Products!$A$2:$A$51,Products!$C$2:$C$51,0)</f>
        <v>Grinders &amp; Brewers</v>
      </c>
      <c r="D1111" t="str">
        <f>_xlfn.XLOOKUP(F1111,Products!$A$2:$A$51,Products!$B$2:$B$51,0)</f>
        <v>Pour-Over Starter Kit</v>
      </c>
      <c r="E1111" t="str">
        <f>_xlfn.XLOOKUP(B1111,customers!$A$2:$A$195,customers!$B$2:$B$195,,0)</f>
        <v>South</v>
      </c>
      <c r="F1111">
        <v>1035</v>
      </c>
      <c r="G1111" s="9">
        <f>_xlfn.XLOOKUP(B1111,customers!$A$1:$A$195,customers!$C$1:$C$195)</f>
        <v>45221</v>
      </c>
      <c r="H1111" s="13" t="s">
        <v>1519</v>
      </c>
      <c r="I1111">
        <v>2</v>
      </c>
      <c r="J1111">
        <v>210.46</v>
      </c>
      <c r="K1111">
        <v>149.49</v>
      </c>
      <c r="L1111">
        <f>_xlfn.XLOOKUP(F1111,Products!$A$2:$A$51,Products!$D$2:$D$51,0)</f>
        <v>105.23</v>
      </c>
      <c r="M1111">
        <f t="shared" si="17"/>
        <v>60.97</v>
      </c>
    </row>
    <row r="1112" spans="1:13">
      <c r="A1112" t="s">
        <v>1533</v>
      </c>
      <c r="B1112" t="s">
        <v>180</v>
      </c>
      <c r="C1112" t="str">
        <f>_xlfn.XLOOKUP(F1112,Products!$A$2:$A$51,Products!$C$2:$C$51,0)</f>
        <v>Merchandise</v>
      </c>
      <c r="D1112" t="str">
        <f>_xlfn.XLOOKUP(F1112,Products!$A$2:$A$51,Products!$B$2:$B$51,0)</f>
        <v>Logo Hoodie (Black)</v>
      </c>
      <c r="E1112" t="str">
        <f>_xlfn.XLOOKUP(B1112,customers!$A$2:$A$195,customers!$B$2:$B$195,,0)</f>
        <v>South</v>
      </c>
      <c r="F1112">
        <v>1017</v>
      </c>
      <c r="G1112" s="9">
        <f>_xlfn.XLOOKUP(B1112,customers!$A$1:$A$195,customers!$C$1:$C$195)</f>
        <v>45215</v>
      </c>
      <c r="H1112" s="13" t="s">
        <v>1519</v>
      </c>
      <c r="I1112">
        <v>3</v>
      </c>
      <c r="J1112">
        <v>45.69</v>
      </c>
      <c r="K1112">
        <v>40.19</v>
      </c>
      <c r="L1112">
        <f>_xlfn.XLOOKUP(F1112,Products!$A$2:$A$51,Products!$D$2:$D$51,0)</f>
        <v>15.23</v>
      </c>
      <c r="M1112">
        <f t="shared" si="17"/>
        <v>5.5</v>
      </c>
    </row>
    <row r="1113" spans="1:13">
      <c r="A1113" t="s">
        <v>1534</v>
      </c>
      <c r="B1113" t="s">
        <v>3</v>
      </c>
      <c r="C1113" t="str">
        <f>_xlfn.XLOOKUP(F1113,Products!$A$2:$A$51,Products!$C$2:$C$51,0)</f>
        <v>Subscriptions</v>
      </c>
      <c r="D1113" t="str">
        <f>_xlfn.XLOOKUP(F1113,Products!$A$2:$A$51,Products!$B$2:$B$51,0)</f>
        <v>Three-Month Gift Subscription</v>
      </c>
      <c r="E1113" t="str">
        <f>_xlfn.XLOOKUP(B1113,customers!$A$2:$A$195,customers!$B$2:$B$195,,0)</f>
        <v>East</v>
      </c>
      <c r="F1113">
        <v>1048</v>
      </c>
      <c r="G1113" s="9">
        <f>_xlfn.XLOOKUP(B1113,customers!$A$1:$A$195,customers!$C$1:$C$195)</f>
        <v>45141</v>
      </c>
      <c r="H1113" s="13" t="s">
        <v>1535</v>
      </c>
      <c r="I1113">
        <v>1</v>
      </c>
      <c r="J1113">
        <v>65.21</v>
      </c>
      <c r="K1113">
        <v>27.61</v>
      </c>
      <c r="L1113">
        <f>_xlfn.XLOOKUP(F1113,Products!$A$2:$A$51,Products!$D$2:$D$51,0)</f>
        <v>65.21</v>
      </c>
      <c r="M1113">
        <f t="shared" si="17"/>
        <v>37.6</v>
      </c>
    </row>
    <row r="1114" spans="1:13">
      <c r="A1114" t="s">
        <v>1536</v>
      </c>
      <c r="B1114" t="s">
        <v>34</v>
      </c>
      <c r="C1114" t="str">
        <f>_xlfn.XLOOKUP(F1114,Products!$A$2:$A$51,Products!$C$2:$C$51,0)</f>
        <v>Subscriptions</v>
      </c>
      <c r="D1114" t="str">
        <f>_xlfn.XLOOKUP(F1114,Products!$A$2:$A$51,Products!$B$2:$B$51,0)</f>
        <v>Three-Month Gift Subscription</v>
      </c>
      <c r="E1114" t="str">
        <f>_xlfn.XLOOKUP(B1114,customers!$A$2:$A$195,customers!$B$2:$B$195,,0)</f>
        <v>West</v>
      </c>
      <c r="F1114">
        <v>1023</v>
      </c>
      <c r="G1114" s="9">
        <f>_xlfn.XLOOKUP(B1114,customers!$A$1:$A$195,customers!$C$1:$C$195)</f>
        <v>45028</v>
      </c>
      <c r="H1114" s="13" t="s">
        <v>1535</v>
      </c>
      <c r="I1114">
        <v>1</v>
      </c>
      <c r="J1114">
        <v>65.21</v>
      </c>
      <c r="K1114">
        <v>27.61</v>
      </c>
      <c r="L1114">
        <f>_xlfn.XLOOKUP(F1114,Products!$A$2:$A$51,Products!$D$2:$D$51,0)</f>
        <v>65.21</v>
      </c>
      <c r="M1114">
        <f t="shared" si="17"/>
        <v>37.6</v>
      </c>
    </row>
    <row r="1115" spans="1:13">
      <c r="A1115" t="s">
        <v>1537</v>
      </c>
      <c r="B1115" t="s">
        <v>64</v>
      </c>
      <c r="C1115" t="str">
        <f>_xlfn.XLOOKUP(F1115,Products!$A$2:$A$51,Products!$C$2:$C$51,0)</f>
        <v>Accessories</v>
      </c>
      <c r="D1115" t="str">
        <f>_xlfn.XLOOKUP(F1115,Products!$A$2:$A$51,Products!$B$2:$B$51,0)</f>
        <v>Digital Coffee Scale</v>
      </c>
      <c r="E1115" t="str">
        <f>_xlfn.XLOOKUP(B1115,customers!$A$2:$A$195,customers!$B$2:$B$195,,0)</f>
        <v>East</v>
      </c>
      <c r="F1115">
        <v>1011</v>
      </c>
      <c r="G1115" s="9">
        <f>_xlfn.XLOOKUP(B1115,customers!$A$1:$A$195,customers!$C$1:$C$195)</f>
        <v>44933</v>
      </c>
      <c r="H1115" s="13" t="s">
        <v>1535</v>
      </c>
      <c r="I1115">
        <v>1</v>
      </c>
      <c r="J1115">
        <v>26.83</v>
      </c>
      <c r="K1115">
        <v>14.65</v>
      </c>
      <c r="L1115">
        <f>_xlfn.XLOOKUP(F1115,Products!$A$2:$A$51,Products!$D$2:$D$51,0)</f>
        <v>26.83</v>
      </c>
      <c r="M1115">
        <f t="shared" si="17"/>
        <v>12.18</v>
      </c>
    </row>
    <row r="1116" spans="1:13">
      <c r="A1116" t="s">
        <v>1538</v>
      </c>
      <c r="B1116" t="s">
        <v>64</v>
      </c>
      <c r="C1116" t="str">
        <f>_xlfn.XLOOKUP(F1116,Products!$A$2:$A$51,Products!$C$2:$C$51,0)</f>
        <v>Subscriptions</v>
      </c>
      <c r="D1116" t="str">
        <f>_xlfn.XLOOKUP(F1116,Products!$A$2:$A$51,Products!$B$2:$B$51,0)</f>
        <v>Monthly Dark Roast Subscription</v>
      </c>
      <c r="E1116" t="str">
        <f>_xlfn.XLOOKUP(B1116,customers!$A$2:$A$195,customers!$B$2:$B$195,,0)</f>
        <v>East</v>
      </c>
      <c r="F1116">
        <v>1046</v>
      </c>
      <c r="G1116" s="9">
        <f>_xlfn.XLOOKUP(B1116,customers!$A$1:$A$195,customers!$C$1:$C$195)</f>
        <v>44933</v>
      </c>
      <c r="H1116" s="13" t="s">
        <v>1535</v>
      </c>
      <c r="I1116">
        <v>1</v>
      </c>
      <c r="J1116">
        <v>61.26</v>
      </c>
      <c r="K1116">
        <v>35.15</v>
      </c>
      <c r="L1116">
        <f>_xlfn.XLOOKUP(F1116,Products!$A$2:$A$51,Products!$D$2:$D$51,0)</f>
        <v>61.26</v>
      </c>
      <c r="M1116">
        <f t="shared" si="17"/>
        <v>26.11</v>
      </c>
    </row>
    <row r="1117" spans="1:13">
      <c r="A1117" t="s">
        <v>1539</v>
      </c>
      <c r="B1117" t="s">
        <v>70</v>
      </c>
      <c r="C1117" t="str">
        <f>_xlfn.XLOOKUP(F1117,Products!$A$2:$A$51,Products!$C$2:$C$51,0)</f>
        <v>Grinders &amp; Brewers</v>
      </c>
      <c r="D1117" t="str">
        <f>_xlfn.XLOOKUP(F1117,Products!$A$2:$A$51,Products!$B$2:$B$51,0)</f>
        <v>Precision Electric Grinder</v>
      </c>
      <c r="E1117" t="str">
        <f>_xlfn.XLOOKUP(B1117,customers!$A$2:$A$195,customers!$B$2:$B$195,,0)</f>
        <v>West</v>
      </c>
      <c r="F1117">
        <v>1006</v>
      </c>
      <c r="G1117" s="9">
        <f>_xlfn.XLOOKUP(B1117,customers!$A$1:$A$195,customers!$C$1:$C$195)</f>
        <v>45269</v>
      </c>
      <c r="H1117" s="13" t="s">
        <v>1535</v>
      </c>
      <c r="I1117">
        <v>1</v>
      </c>
      <c r="J1117">
        <v>232.2</v>
      </c>
      <c r="K1117">
        <v>78.39</v>
      </c>
      <c r="L1117">
        <f>_xlfn.XLOOKUP(F1117,Products!$A$2:$A$51,Products!$D$2:$D$51,0)</f>
        <v>232.2</v>
      </c>
      <c r="M1117">
        <f t="shared" si="17"/>
        <v>153.81</v>
      </c>
    </row>
    <row r="1118" spans="1:13">
      <c r="A1118" t="s">
        <v>1540</v>
      </c>
      <c r="B1118" t="s">
        <v>80</v>
      </c>
      <c r="C1118" t="str">
        <f>_xlfn.XLOOKUP(F1118,Products!$A$2:$A$51,Products!$C$2:$C$51,0)</f>
        <v>Grinders &amp; Brewers</v>
      </c>
      <c r="D1118" t="str">
        <f>_xlfn.XLOOKUP(F1118,Products!$A$2:$A$51,Products!$B$2:$B$51,0)</f>
        <v>Precision Electric Grinder</v>
      </c>
      <c r="E1118" t="str">
        <f>_xlfn.XLOOKUP(B1118,customers!$A$2:$A$195,customers!$B$2:$B$195,,0)</f>
        <v>West</v>
      </c>
      <c r="F1118">
        <v>1031</v>
      </c>
      <c r="G1118" s="9">
        <f>_xlfn.XLOOKUP(B1118,customers!$A$1:$A$195,customers!$C$1:$C$195)</f>
        <v>45200</v>
      </c>
      <c r="H1118" s="13" t="s">
        <v>1535</v>
      </c>
      <c r="I1118">
        <v>1</v>
      </c>
      <c r="J1118">
        <v>232.2</v>
      </c>
      <c r="K1118">
        <v>78.39</v>
      </c>
      <c r="L1118">
        <f>_xlfn.XLOOKUP(F1118,Products!$A$2:$A$51,Products!$D$2:$D$51,0)</f>
        <v>232.2</v>
      </c>
      <c r="M1118">
        <f t="shared" si="17"/>
        <v>153.81</v>
      </c>
    </row>
    <row r="1119" spans="1:13">
      <c r="A1119" t="s">
        <v>1541</v>
      </c>
      <c r="B1119" t="s">
        <v>88</v>
      </c>
      <c r="C1119" t="str">
        <f>_xlfn.XLOOKUP(F1119,Products!$A$2:$A$51,Products!$C$2:$C$51,0)</f>
        <v>Accessories</v>
      </c>
      <c r="D1119" t="str">
        <f>_xlfn.XLOOKUP(F1119,Products!$A$2:$A$51,Products!$B$2:$B$51,0)</f>
        <v>Chemex Filters (100 pack)</v>
      </c>
      <c r="E1119" t="str">
        <f>_xlfn.XLOOKUP(B1119,customers!$A$2:$A$195,customers!$B$2:$B$195,,0)</f>
        <v>East</v>
      </c>
      <c r="F1119">
        <v>1014</v>
      </c>
      <c r="G1119" s="9">
        <f>_xlfn.XLOOKUP(B1119,customers!$A$1:$A$195,customers!$C$1:$C$195)</f>
        <v>45042</v>
      </c>
      <c r="H1119" s="13" t="s">
        <v>1535</v>
      </c>
      <c r="I1119">
        <v>2</v>
      </c>
      <c r="J1119">
        <v>48.2</v>
      </c>
      <c r="K1119">
        <v>42.42</v>
      </c>
      <c r="L1119">
        <f>_xlfn.XLOOKUP(F1119,Products!$A$2:$A$51,Products!$D$2:$D$51,0)</f>
        <v>24.1</v>
      </c>
      <c r="M1119">
        <f t="shared" si="17"/>
        <v>5.78</v>
      </c>
    </row>
    <row r="1120" spans="1:13">
      <c r="A1120" t="s">
        <v>1542</v>
      </c>
      <c r="B1120" t="s">
        <v>102</v>
      </c>
      <c r="C1120" t="str">
        <f>_xlfn.XLOOKUP(F1120,Products!$A$2:$A$51,Products!$C$2:$C$51,0)</f>
        <v>Merchandise</v>
      </c>
      <c r="D1120" t="str">
        <f>_xlfn.XLOOKUP(F1120,Products!$A$2:$A$51,Products!$B$2:$B$51,0)</f>
        <v>Insulated Travel Tumbler</v>
      </c>
      <c r="E1120" t="str">
        <f>_xlfn.XLOOKUP(B1120,customers!$A$2:$A$195,customers!$B$2:$B$195,,0)</f>
        <v>East</v>
      </c>
      <c r="F1120">
        <v>1018</v>
      </c>
      <c r="G1120" s="9">
        <f>_xlfn.XLOOKUP(B1120,customers!$A$1:$A$195,customers!$C$1:$C$195)</f>
        <v>45149</v>
      </c>
      <c r="H1120" s="13" t="s">
        <v>1535</v>
      </c>
      <c r="I1120">
        <v>4</v>
      </c>
      <c r="J1120">
        <v>173.12</v>
      </c>
      <c r="K1120">
        <v>83.29</v>
      </c>
      <c r="L1120">
        <f>_xlfn.XLOOKUP(F1120,Products!$A$2:$A$51,Products!$D$2:$D$51,0)</f>
        <v>43.28</v>
      </c>
      <c r="M1120">
        <f t="shared" si="17"/>
        <v>89.83</v>
      </c>
    </row>
    <row r="1121" spans="1:13">
      <c r="A1121" t="s">
        <v>1543</v>
      </c>
      <c r="B1121" t="s">
        <v>117</v>
      </c>
      <c r="C1121" t="str">
        <f>_xlfn.XLOOKUP(F1121,Products!$A$2:$A$51,Products!$C$2:$C$51,0)</f>
        <v>Consumables</v>
      </c>
      <c r="D1121" t="str">
        <f>_xlfn.XLOOKUP(F1121,Products!$A$2:$A$51,Products!$B$2:$B$51,0)</f>
        <v>Seasonal Blend Light Roast</v>
      </c>
      <c r="E1121" t="str">
        <f>_xlfn.XLOOKUP(B1121,customers!$A$2:$A$195,customers!$B$2:$B$195,,0)</f>
        <v>East</v>
      </c>
      <c r="F1121">
        <v>1027</v>
      </c>
      <c r="G1121" s="9">
        <f>_xlfn.XLOOKUP(B1121,customers!$A$1:$A$195,customers!$C$1:$C$195)</f>
        <v>45139</v>
      </c>
      <c r="H1121" s="13" t="s">
        <v>1535</v>
      </c>
      <c r="I1121">
        <v>3</v>
      </c>
      <c r="J1121">
        <v>106.59</v>
      </c>
      <c r="K1121">
        <v>17.79</v>
      </c>
      <c r="L1121">
        <f>_xlfn.XLOOKUP(F1121,Products!$A$2:$A$51,Products!$D$2:$D$51,0)</f>
        <v>35.53</v>
      </c>
      <c r="M1121">
        <f t="shared" si="17"/>
        <v>88.8</v>
      </c>
    </row>
    <row r="1122" spans="1:13">
      <c r="A1122" t="s">
        <v>1544</v>
      </c>
      <c r="B1122" t="s">
        <v>130</v>
      </c>
      <c r="C1122" t="str">
        <f>_xlfn.XLOOKUP(F1122,Products!$A$2:$A$51,Products!$C$2:$C$51,0)</f>
        <v>Consumables</v>
      </c>
      <c r="D1122" t="str">
        <f>_xlfn.XLOOKUP(F1122,Products!$A$2:$A$51,Products!$B$2:$B$51,0)</f>
        <v>Decaf Blend (1kg)</v>
      </c>
      <c r="E1122" t="str">
        <f>_xlfn.XLOOKUP(B1122,customers!$A$2:$A$195,customers!$B$2:$B$195,,0)</f>
        <v>East</v>
      </c>
      <c r="F1122">
        <v>1028</v>
      </c>
      <c r="G1122" s="9">
        <f>_xlfn.XLOOKUP(B1122,customers!$A$1:$A$195,customers!$C$1:$C$195)</f>
        <v>45241</v>
      </c>
      <c r="H1122" s="13" t="s">
        <v>1535</v>
      </c>
      <c r="I1122">
        <v>2</v>
      </c>
      <c r="J1122">
        <v>80.7</v>
      </c>
      <c r="K1122">
        <v>25.72</v>
      </c>
      <c r="L1122">
        <f>_xlfn.XLOOKUP(F1122,Products!$A$2:$A$51,Products!$D$2:$D$51,0)</f>
        <v>40.35</v>
      </c>
      <c r="M1122">
        <f t="shared" si="17"/>
        <v>54.98</v>
      </c>
    </row>
    <row r="1123" spans="1:13">
      <c r="A1123" t="s">
        <v>1545</v>
      </c>
      <c r="B1123" t="s">
        <v>144</v>
      </c>
      <c r="C1123" t="str">
        <f>_xlfn.XLOOKUP(F1123,Products!$A$2:$A$51,Products!$C$2:$C$51,0)</f>
        <v>Subscriptions</v>
      </c>
      <c r="D1123" t="str">
        <f>_xlfn.XLOOKUP(F1123,Products!$A$2:$A$51,Products!$B$2:$B$51,0)</f>
        <v>Subscription Renewal Service</v>
      </c>
      <c r="E1123" t="str">
        <f>_xlfn.XLOOKUP(B1123,customers!$A$2:$A$195,customers!$B$2:$B$195,,0)</f>
        <v>South</v>
      </c>
      <c r="F1123">
        <v>1050</v>
      </c>
      <c r="G1123" s="9">
        <f>_xlfn.XLOOKUP(B1123,customers!$A$1:$A$195,customers!$C$1:$C$195)</f>
        <v>45085</v>
      </c>
      <c r="H1123" s="13" t="s">
        <v>1535</v>
      </c>
      <c r="I1123">
        <v>3</v>
      </c>
      <c r="J1123">
        <v>220.23</v>
      </c>
      <c r="K1123">
        <v>81.87</v>
      </c>
      <c r="L1123">
        <f>_xlfn.XLOOKUP(F1123,Products!$A$2:$A$51,Products!$D$2:$D$51,0)</f>
        <v>73.41</v>
      </c>
      <c r="M1123">
        <f t="shared" si="17"/>
        <v>138.36</v>
      </c>
    </row>
    <row r="1124" spans="1:13">
      <c r="A1124" t="s">
        <v>1546</v>
      </c>
      <c r="B1124" t="s">
        <v>153</v>
      </c>
      <c r="C1124" t="str">
        <f>_xlfn.XLOOKUP(F1124,Products!$A$2:$A$51,Products!$C$2:$C$51,0)</f>
        <v>Accessories</v>
      </c>
      <c r="D1124" t="str">
        <f>_xlfn.XLOOKUP(F1124,Products!$A$2:$A$51,Products!$B$2:$B$51,0)</f>
        <v>Refillable Coffee Pods</v>
      </c>
      <c r="E1124" t="str">
        <f>_xlfn.XLOOKUP(B1124,customers!$A$2:$A$195,customers!$B$2:$B$195,,0)</f>
        <v>East</v>
      </c>
      <c r="F1124">
        <v>1015</v>
      </c>
      <c r="G1124" s="9">
        <f>_xlfn.XLOOKUP(B1124,customers!$A$1:$A$195,customers!$C$1:$C$195)</f>
        <v>44999</v>
      </c>
      <c r="H1124" s="13" t="s">
        <v>1535</v>
      </c>
      <c r="I1124">
        <v>3</v>
      </c>
      <c r="J1124">
        <v>72.39</v>
      </c>
      <c r="K1124">
        <v>27.88</v>
      </c>
      <c r="L1124">
        <f>_xlfn.XLOOKUP(F1124,Products!$A$2:$A$51,Products!$D$2:$D$51,0)</f>
        <v>24.13</v>
      </c>
      <c r="M1124">
        <f t="shared" si="17"/>
        <v>44.51</v>
      </c>
    </row>
    <row r="1125" spans="1:13">
      <c r="A1125" t="s">
        <v>1547</v>
      </c>
      <c r="B1125" t="s">
        <v>177</v>
      </c>
      <c r="C1125" t="str">
        <f>_xlfn.XLOOKUP(F1125,Products!$A$2:$A$51,Products!$C$2:$C$51,0)</f>
        <v>Accessories</v>
      </c>
      <c r="D1125" t="str">
        <f>_xlfn.XLOOKUP(F1125,Products!$A$2:$A$51,Products!$B$2:$B$51,0)</f>
        <v>Chemex Filters (100 pack)</v>
      </c>
      <c r="E1125" t="str">
        <f>_xlfn.XLOOKUP(B1125,customers!$A$2:$A$195,customers!$B$2:$B$195,,0)</f>
        <v>East</v>
      </c>
      <c r="F1125">
        <v>1014</v>
      </c>
      <c r="G1125" s="9">
        <f>_xlfn.XLOOKUP(B1125,customers!$A$1:$A$195,customers!$C$1:$C$195)</f>
        <v>44986</v>
      </c>
      <c r="H1125" s="13" t="s">
        <v>1535</v>
      </c>
      <c r="I1125">
        <v>3</v>
      </c>
      <c r="J1125">
        <v>72.3</v>
      </c>
      <c r="K1125">
        <v>63.62</v>
      </c>
      <c r="L1125">
        <f>_xlfn.XLOOKUP(F1125,Products!$A$2:$A$51,Products!$D$2:$D$51,0)</f>
        <v>24.1</v>
      </c>
      <c r="M1125">
        <f t="shared" si="17"/>
        <v>8.68</v>
      </c>
    </row>
    <row r="1126" spans="1:13">
      <c r="A1126" t="s">
        <v>1548</v>
      </c>
      <c r="B1126" t="s">
        <v>181</v>
      </c>
      <c r="C1126" t="str">
        <f>_xlfn.XLOOKUP(F1126,Products!$A$2:$A$51,Products!$C$2:$C$51,0)</f>
        <v>Consumables</v>
      </c>
      <c r="D1126" t="str">
        <f>_xlfn.XLOOKUP(F1126,Products!$A$2:$A$51,Products!$B$2:$B$51,0)</f>
        <v>Espresso Bean Sampler Pack</v>
      </c>
      <c r="E1126" t="str">
        <f>_xlfn.XLOOKUP(B1126,customers!$A$2:$A$195,customers!$B$2:$B$195,,0)</f>
        <v>East</v>
      </c>
      <c r="F1126">
        <v>1030</v>
      </c>
      <c r="G1126" s="9">
        <f>_xlfn.XLOOKUP(B1126,customers!$A$1:$A$195,customers!$C$1:$C$195)</f>
        <v>45125</v>
      </c>
      <c r="H1126" s="13" t="s">
        <v>1535</v>
      </c>
      <c r="I1126">
        <v>1</v>
      </c>
      <c r="J1126">
        <v>19.06</v>
      </c>
      <c r="K1126">
        <v>11.97</v>
      </c>
      <c r="L1126">
        <f>_xlfn.XLOOKUP(F1126,Products!$A$2:$A$51,Products!$D$2:$D$51,0)</f>
        <v>19.06</v>
      </c>
      <c r="M1126">
        <f t="shared" si="17"/>
        <v>7.09</v>
      </c>
    </row>
    <row r="1127" spans="1:13">
      <c r="A1127" t="s">
        <v>1549</v>
      </c>
      <c r="B1127" t="s">
        <v>200</v>
      </c>
      <c r="C1127" t="str">
        <f>_xlfn.XLOOKUP(F1127,Products!$A$2:$A$51,Products!$C$2:$C$51,0)</f>
        <v>Grinders &amp; Brewers</v>
      </c>
      <c r="D1127" t="str">
        <f>_xlfn.XLOOKUP(F1127,Products!$A$2:$A$51,Products!$B$2:$B$51,0)</f>
        <v>High-Capacity French Press</v>
      </c>
      <c r="E1127" t="str">
        <f>_xlfn.XLOOKUP(B1127,customers!$A$2:$A$195,customers!$B$2:$B$195,,0)</f>
        <v>North</v>
      </c>
      <c r="F1127">
        <v>1034</v>
      </c>
      <c r="G1127" s="9">
        <f>_xlfn.XLOOKUP(B1127,customers!$A$1:$A$195,customers!$C$1:$C$195)</f>
        <v>44947</v>
      </c>
      <c r="H1127" s="13" t="s">
        <v>1535</v>
      </c>
      <c r="I1127">
        <v>1</v>
      </c>
      <c r="J1127">
        <v>338.36</v>
      </c>
      <c r="K1127">
        <v>148.17</v>
      </c>
      <c r="L1127">
        <f>_xlfn.XLOOKUP(F1127,Products!$A$2:$A$51,Products!$D$2:$D$51,0)</f>
        <v>338.36</v>
      </c>
      <c r="M1127">
        <f t="shared" si="17"/>
        <v>190.19</v>
      </c>
    </row>
    <row r="1128" spans="1:13">
      <c r="A1128" t="s">
        <v>1550</v>
      </c>
      <c r="B1128" t="s">
        <v>12</v>
      </c>
      <c r="C1128" t="str">
        <f>_xlfn.XLOOKUP(F1128,Products!$A$2:$A$51,Products!$C$2:$C$51,0)</f>
        <v>Subscriptions</v>
      </c>
      <c r="D1128" t="str">
        <f>_xlfn.XLOOKUP(F1128,Products!$A$2:$A$51,Products!$B$2:$B$51,0)</f>
        <v>Three-Month Gift Subscription</v>
      </c>
      <c r="E1128" t="str">
        <f>_xlfn.XLOOKUP(B1128,customers!$A$2:$A$195,customers!$B$2:$B$195,,0)</f>
        <v>West</v>
      </c>
      <c r="F1128">
        <v>1048</v>
      </c>
      <c r="G1128" s="9">
        <f>_xlfn.XLOOKUP(B1128,customers!$A$1:$A$195,customers!$C$1:$C$195)</f>
        <v>45106</v>
      </c>
      <c r="H1128" s="13" t="s">
        <v>1551</v>
      </c>
      <c r="I1128">
        <v>4</v>
      </c>
      <c r="J1128">
        <v>260.84</v>
      </c>
      <c r="K1128">
        <v>110.44</v>
      </c>
      <c r="L1128">
        <f>_xlfn.XLOOKUP(F1128,Products!$A$2:$A$51,Products!$D$2:$D$51,0)</f>
        <v>65.21</v>
      </c>
      <c r="M1128">
        <f t="shared" si="17"/>
        <v>150.4</v>
      </c>
    </row>
    <row r="1129" spans="1:13">
      <c r="A1129" t="s">
        <v>1552</v>
      </c>
      <c r="B1129" t="s">
        <v>13</v>
      </c>
      <c r="C1129" t="str">
        <f>_xlfn.XLOOKUP(F1129,Products!$A$2:$A$51,Products!$C$2:$C$51,0)</f>
        <v>Accessories</v>
      </c>
      <c r="D1129" t="str">
        <f>_xlfn.XLOOKUP(F1129,Products!$A$2:$A$51,Products!$B$2:$B$51,0)</f>
        <v>Digital Coffee Scale</v>
      </c>
      <c r="E1129" t="str">
        <f>_xlfn.XLOOKUP(B1129,customers!$A$2:$A$195,customers!$B$2:$B$195,,0)</f>
        <v>East</v>
      </c>
      <c r="F1129">
        <v>1011</v>
      </c>
      <c r="G1129" s="9">
        <f>_xlfn.XLOOKUP(B1129,customers!$A$1:$A$195,customers!$C$1:$C$195)</f>
        <v>45214</v>
      </c>
      <c r="H1129" s="13" t="s">
        <v>1551</v>
      </c>
      <c r="I1129">
        <v>2</v>
      </c>
      <c r="J1129">
        <v>53.66</v>
      </c>
      <c r="K1129">
        <v>29.3</v>
      </c>
      <c r="L1129">
        <f>_xlfn.XLOOKUP(F1129,Products!$A$2:$A$51,Products!$D$2:$D$51,0)</f>
        <v>26.83</v>
      </c>
      <c r="M1129">
        <f t="shared" si="17"/>
        <v>24.36</v>
      </c>
    </row>
    <row r="1130" spans="1:13">
      <c r="A1130" t="s">
        <v>1553</v>
      </c>
      <c r="B1130" t="s">
        <v>16</v>
      </c>
      <c r="C1130" t="str">
        <f>_xlfn.XLOOKUP(F1130,Products!$A$2:$A$51,Products!$C$2:$C$51,0)</f>
        <v>Accessories</v>
      </c>
      <c r="D1130" t="str">
        <f>_xlfn.XLOOKUP(F1130,Products!$A$2:$A$51,Products!$B$2:$B$51,0)</f>
        <v>Digital Coffee Scale</v>
      </c>
      <c r="E1130" t="str">
        <f>_xlfn.XLOOKUP(B1130,customers!$A$2:$A$195,customers!$B$2:$B$195,,0)</f>
        <v>East</v>
      </c>
      <c r="F1130">
        <v>1036</v>
      </c>
      <c r="G1130" s="9">
        <f>_xlfn.XLOOKUP(B1130,customers!$A$1:$A$195,customers!$C$1:$C$195)</f>
        <v>45182</v>
      </c>
      <c r="H1130" s="13" t="s">
        <v>1551</v>
      </c>
      <c r="I1130">
        <v>3</v>
      </c>
      <c r="J1130">
        <v>80.49</v>
      </c>
      <c r="K1130">
        <v>43.96</v>
      </c>
      <c r="L1130">
        <f>_xlfn.XLOOKUP(F1130,Products!$A$2:$A$51,Products!$D$2:$D$51,0)</f>
        <v>26.83</v>
      </c>
      <c r="M1130">
        <f t="shared" si="17"/>
        <v>36.53</v>
      </c>
    </row>
    <row r="1131" spans="1:13">
      <c r="A1131" t="s">
        <v>1554</v>
      </c>
      <c r="B1131" t="s">
        <v>28</v>
      </c>
      <c r="C1131" t="str">
        <f>_xlfn.XLOOKUP(F1131,Products!$A$2:$A$51,Products!$C$2:$C$51,0)</f>
        <v>Accessories</v>
      </c>
      <c r="D1131" t="str">
        <f>_xlfn.XLOOKUP(F1131,Products!$A$2:$A$51,Products!$B$2:$B$51,0)</f>
        <v>Digital Coffee Scale</v>
      </c>
      <c r="E1131" t="str">
        <f>_xlfn.XLOOKUP(B1131,customers!$A$2:$A$195,customers!$B$2:$B$195,,0)</f>
        <v>East</v>
      </c>
      <c r="F1131">
        <v>1011</v>
      </c>
      <c r="G1131" s="9">
        <f>_xlfn.XLOOKUP(B1131,customers!$A$1:$A$195,customers!$C$1:$C$195)</f>
        <v>45273</v>
      </c>
      <c r="H1131" s="13" t="s">
        <v>1551</v>
      </c>
      <c r="I1131">
        <v>4</v>
      </c>
      <c r="J1131">
        <v>107.32</v>
      </c>
      <c r="K1131">
        <v>58.61</v>
      </c>
      <c r="L1131">
        <f>_xlfn.XLOOKUP(F1131,Products!$A$2:$A$51,Products!$D$2:$D$51,0)</f>
        <v>26.83</v>
      </c>
      <c r="M1131">
        <f t="shared" si="17"/>
        <v>48.71</v>
      </c>
    </row>
    <row r="1132" spans="1:13">
      <c r="A1132" t="s">
        <v>1555</v>
      </c>
      <c r="B1132" t="s">
        <v>52</v>
      </c>
      <c r="C1132" t="str">
        <f>_xlfn.XLOOKUP(F1132,Products!$A$2:$A$51,Products!$C$2:$C$51,0)</f>
        <v>Accessories</v>
      </c>
      <c r="D1132" t="str">
        <f>_xlfn.XLOOKUP(F1132,Products!$A$2:$A$51,Products!$B$2:$B$51,0)</f>
        <v>Airtight Storage Container</v>
      </c>
      <c r="E1132" t="str">
        <f>_xlfn.XLOOKUP(B1132,customers!$A$2:$A$195,customers!$B$2:$B$195,,0)</f>
        <v>East</v>
      </c>
      <c r="F1132">
        <v>1013</v>
      </c>
      <c r="G1132" s="9">
        <f>_xlfn.XLOOKUP(B1132,customers!$A$1:$A$195,customers!$C$1:$C$195)</f>
        <v>45129</v>
      </c>
      <c r="H1132" s="13" t="s">
        <v>1551</v>
      </c>
      <c r="I1132">
        <v>2</v>
      </c>
      <c r="J1132">
        <v>122.08</v>
      </c>
      <c r="K1132">
        <v>51.41</v>
      </c>
      <c r="L1132">
        <f>_xlfn.XLOOKUP(F1132,Products!$A$2:$A$51,Products!$D$2:$D$51,0)</f>
        <v>61.04</v>
      </c>
      <c r="M1132">
        <f t="shared" si="17"/>
        <v>70.67</v>
      </c>
    </row>
    <row r="1133" spans="1:13">
      <c r="A1133" t="s">
        <v>1556</v>
      </c>
      <c r="B1133" t="s">
        <v>55</v>
      </c>
      <c r="C1133" t="str">
        <f>_xlfn.XLOOKUP(F1133,Products!$A$2:$A$51,Products!$C$2:$C$51,0)</f>
        <v>Merchandise</v>
      </c>
      <c r="D1133" t="str">
        <f>_xlfn.XLOOKUP(F1133,Products!$A$2:$A$51,Products!$B$2:$B$51,0)</f>
        <v>Daily Grind T-Shirt</v>
      </c>
      <c r="E1133" t="str">
        <f>_xlfn.XLOOKUP(B1133,customers!$A$2:$A$195,customers!$B$2:$B$195,,0)</f>
        <v>South</v>
      </c>
      <c r="F1133">
        <v>1019</v>
      </c>
      <c r="G1133" s="9">
        <f>_xlfn.XLOOKUP(B1133,customers!$A$1:$A$195,customers!$C$1:$C$195)</f>
        <v>45223</v>
      </c>
      <c r="H1133" s="13" t="s">
        <v>1551</v>
      </c>
      <c r="I1133">
        <v>1</v>
      </c>
      <c r="J1133">
        <v>21.37</v>
      </c>
      <c r="K1133">
        <v>8.26</v>
      </c>
      <c r="L1133">
        <f>_xlfn.XLOOKUP(F1133,Products!$A$2:$A$51,Products!$D$2:$D$51,0)</f>
        <v>21.37</v>
      </c>
      <c r="M1133">
        <f t="shared" si="17"/>
        <v>13.11</v>
      </c>
    </row>
    <row r="1134" spans="1:13">
      <c r="A1134" t="s">
        <v>1557</v>
      </c>
      <c r="B1134" t="s">
        <v>55</v>
      </c>
      <c r="C1134" t="str">
        <f>_xlfn.XLOOKUP(F1134,Products!$A$2:$A$51,Products!$C$2:$C$51,0)</f>
        <v>Consumables</v>
      </c>
      <c r="D1134" t="str">
        <f>_xlfn.XLOOKUP(F1134,Products!$A$2:$A$51,Products!$B$2:$B$51,0)</f>
        <v>Decaf Blend (1kg)</v>
      </c>
      <c r="E1134" t="str">
        <f>_xlfn.XLOOKUP(B1134,customers!$A$2:$A$195,customers!$B$2:$B$195,,0)</f>
        <v>South</v>
      </c>
      <c r="F1134">
        <v>1003</v>
      </c>
      <c r="G1134" s="9">
        <f>_xlfn.XLOOKUP(B1134,customers!$A$1:$A$195,customers!$C$1:$C$195)</f>
        <v>45223</v>
      </c>
      <c r="H1134" s="13" t="s">
        <v>1551</v>
      </c>
      <c r="I1134">
        <v>3</v>
      </c>
      <c r="J1134">
        <v>121.05</v>
      </c>
      <c r="K1134">
        <v>38.58</v>
      </c>
      <c r="L1134">
        <f>_xlfn.XLOOKUP(F1134,Products!$A$2:$A$51,Products!$D$2:$D$51,0)</f>
        <v>40.35</v>
      </c>
      <c r="M1134">
        <f t="shared" si="17"/>
        <v>82.47</v>
      </c>
    </row>
    <row r="1135" spans="1:13">
      <c r="A1135" t="s">
        <v>1558</v>
      </c>
      <c r="B1135" t="s">
        <v>58</v>
      </c>
      <c r="C1135" t="str">
        <f>_xlfn.XLOOKUP(F1135,Products!$A$2:$A$51,Products!$C$2:$C$51,0)</f>
        <v>Grinders &amp; Brewers</v>
      </c>
      <c r="D1135" t="str">
        <f>_xlfn.XLOOKUP(F1135,Products!$A$2:$A$51,Products!$B$2:$B$51,0)</f>
        <v>Automated Drip Brewer</v>
      </c>
      <c r="E1135" t="str">
        <f>_xlfn.XLOOKUP(B1135,customers!$A$2:$A$195,customers!$B$2:$B$195,,0)</f>
        <v>East</v>
      </c>
      <c r="F1135">
        <v>1008</v>
      </c>
      <c r="G1135" s="9">
        <f>_xlfn.XLOOKUP(B1135,customers!$A$1:$A$195,customers!$C$1:$C$195)</f>
        <v>45287</v>
      </c>
      <c r="H1135" s="13" t="s">
        <v>1551</v>
      </c>
      <c r="I1135">
        <v>4</v>
      </c>
      <c r="J1135">
        <v>943.04</v>
      </c>
      <c r="K1135">
        <v>529.94</v>
      </c>
      <c r="L1135">
        <f>_xlfn.XLOOKUP(F1135,Products!$A$2:$A$51,Products!$D$2:$D$51,0)</f>
        <v>235.76</v>
      </c>
      <c r="M1135">
        <f t="shared" si="17"/>
        <v>413.1</v>
      </c>
    </row>
    <row r="1136" spans="1:13">
      <c r="A1136" t="s">
        <v>1559</v>
      </c>
      <c r="B1136" t="s">
        <v>87</v>
      </c>
      <c r="C1136" t="str">
        <f>_xlfn.XLOOKUP(F1136,Products!$A$2:$A$51,Products!$C$2:$C$51,0)</f>
        <v>Accessories</v>
      </c>
      <c r="D1136" t="str">
        <f>_xlfn.XLOOKUP(F1136,Products!$A$2:$A$51,Products!$B$2:$B$51,0)</f>
        <v>Refillable Coffee Pods</v>
      </c>
      <c r="E1136" t="str">
        <f>_xlfn.XLOOKUP(B1136,customers!$A$2:$A$195,customers!$B$2:$B$195,,0)</f>
        <v>South</v>
      </c>
      <c r="F1136">
        <v>1040</v>
      </c>
      <c r="G1136" s="9">
        <f>_xlfn.XLOOKUP(B1136,customers!$A$1:$A$195,customers!$C$1:$C$195)</f>
        <v>45019</v>
      </c>
      <c r="H1136" s="13" t="s">
        <v>1551</v>
      </c>
      <c r="I1136">
        <v>4</v>
      </c>
      <c r="J1136">
        <v>96.52</v>
      </c>
      <c r="K1136">
        <v>37.18</v>
      </c>
      <c r="L1136">
        <f>_xlfn.XLOOKUP(F1136,Products!$A$2:$A$51,Products!$D$2:$D$51,0)</f>
        <v>24.13</v>
      </c>
      <c r="M1136">
        <f t="shared" si="17"/>
        <v>59.34</v>
      </c>
    </row>
    <row r="1137" spans="1:13">
      <c r="A1137" t="s">
        <v>1560</v>
      </c>
      <c r="B1137" t="s">
        <v>92</v>
      </c>
      <c r="C1137" t="str">
        <f>_xlfn.XLOOKUP(F1137,Products!$A$2:$A$51,Products!$C$2:$C$51,0)</f>
        <v>Grinders &amp; Brewers</v>
      </c>
      <c r="D1137" t="str">
        <f>_xlfn.XLOOKUP(F1137,Products!$A$2:$A$51,Products!$B$2:$B$51,0)</f>
        <v>High-Capacity French Press</v>
      </c>
      <c r="E1137" t="str">
        <f>_xlfn.XLOOKUP(B1137,customers!$A$2:$A$195,customers!$B$2:$B$195,,0)</f>
        <v>South</v>
      </c>
      <c r="F1137">
        <v>1009</v>
      </c>
      <c r="G1137" s="9">
        <f>_xlfn.XLOOKUP(B1137,customers!$A$1:$A$195,customers!$C$1:$C$195)</f>
        <v>45125</v>
      </c>
      <c r="H1137" s="13" t="s">
        <v>1551</v>
      </c>
      <c r="I1137">
        <v>1</v>
      </c>
      <c r="J1137">
        <v>338.36</v>
      </c>
      <c r="K1137">
        <v>148.17</v>
      </c>
      <c r="L1137">
        <f>_xlfn.XLOOKUP(F1137,Products!$A$2:$A$51,Products!$D$2:$D$51,0)</f>
        <v>338.36</v>
      </c>
      <c r="M1137">
        <f t="shared" si="17"/>
        <v>190.19</v>
      </c>
    </row>
    <row r="1138" spans="1:13">
      <c r="A1138" t="s">
        <v>1561</v>
      </c>
      <c r="B1138" t="s">
        <v>94</v>
      </c>
      <c r="C1138" t="str">
        <f>_xlfn.XLOOKUP(F1138,Products!$A$2:$A$51,Products!$C$2:$C$51,0)</f>
        <v>Merchandise</v>
      </c>
      <c r="D1138" t="str">
        <f>_xlfn.XLOOKUP(F1138,Products!$A$2:$A$51,Products!$B$2:$B$51,0)</f>
        <v>Minimalist Keychain</v>
      </c>
      <c r="E1138" t="str">
        <f>_xlfn.XLOOKUP(B1138,customers!$A$2:$A$195,customers!$B$2:$B$195,,0)</f>
        <v>East</v>
      </c>
      <c r="F1138">
        <v>1020</v>
      </c>
      <c r="G1138" s="9">
        <f>_xlfn.XLOOKUP(B1138,customers!$A$1:$A$195,customers!$C$1:$C$195)</f>
        <v>44956</v>
      </c>
      <c r="H1138" s="13" t="s">
        <v>1551</v>
      </c>
      <c r="I1138">
        <v>1</v>
      </c>
      <c r="J1138">
        <v>27.37</v>
      </c>
      <c r="K1138">
        <v>24.09</v>
      </c>
      <c r="L1138">
        <f>_xlfn.XLOOKUP(F1138,Products!$A$2:$A$51,Products!$D$2:$D$51,0)</f>
        <v>27.37</v>
      </c>
      <c r="M1138">
        <f t="shared" si="17"/>
        <v>3.28</v>
      </c>
    </row>
    <row r="1139" spans="1:13">
      <c r="A1139" t="s">
        <v>1562</v>
      </c>
      <c r="B1139" t="s">
        <v>95</v>
      </c>
      <c r="C1139" t="str">
        <f>_xlfn.XLOOKUP(F1139,Products!$A$2:$A$51,Products!$C$2:$C$51,0)</f>
        <v>Merchandise</v>
      </c>
      <c r="D1139" t="str">
        <f>_xlfn.XLOOKUP(F1139,Products!$A$2:$A$51,Products!$B$2:$B$51,0)</f>
        <v>Logo Hoodie (Black)</v>
      </c>
      <c r="E1139" t="str">
        <f>_xlfn.XLOOKUP(B1139,customers!$A$2:$A$195,customers!$B$2:$B$195,,0)</f>
        <v>West</v>
      </c>
      <c r="F1139">
        <v>1017</v>
      </c>
      <c r="G1139" s="9">
        <f>_xlfn.XLOOKUP(B1139,customers!$A$1:$A$195,customers!$C$1:$C$195)</f>
        <v>44941</v>
      </c>
      <c r="H1139" s="13" t="s">
        <v>1551</v>
      </c>
      <c r="I1139">
        <v>1</v>
      </c>
      <c r="J1139">
        <v>15.23</v>
      </c>
      <c r="K1139">
        <v>13.4</v>
      </c>
      <c r="L1139">
        <f>_xlfn.XLOOKUP(F1139,Products!$A$2:$A$51,Products!$D$2:$D$51,0)</f>
        <v>15.23</v>
      </c>
      <c r="M1139">
        <f t="shared" si="17"/>
        <v>1.83</v>
      </c>
    </row>
    <row r="1140" spans="1:13">
      <c r="A1140" t="s">
        <v>1563</v>
      </c>
      <c r="B1140" t="s">
        <v>97</v>
      </c>
      <c r="C1140" t="str">
        <f>_xlfn.XLOOKUP(F1140,Products!$A$2:$A$51,Products!$C$2:$C$51,0)</f>
        <v>Merchandise</v>
      </c>
      <c r="D1140" t="str">
        <f>_xlfn.XLOOKUP(F1140,Products!$A$2:$A$51,Products!$B$2:$B$51,0)</f>
        <v>Daily Grind T-Shirt</v>
      </c>
      <c r="E1140" t="str">
        <f>_xlfn.XLOOKUP(B1140,customers!$A$2:$A$195,customers!$B$2:$B$195,,0)</f>
        <v>East</v>
      </c>
      <c r="F1140">
        <v>1044</v>
      </c>
      <c r="G1140" s="9">
        <f>_xlfn.XLOOKUP(B1140,customers!$A$1:$A$195,customers!$C$1:$C$195)</f>
        <v>45151</v>
      </c>
      <c r="H1140" s="13" t="s">
        <v>1551</v>
      </c>
      <c r="I1140">
        <v>1</v>
      </c>
      <c r="J1140">
        <v>21.37</v>
      </c>
      <c r="K1140">
        <v>8.26</v>
      </c>
      <c r="L1140">
        <f>_xlfn.XLOOKUP(F1140,Products!$A$2:$A$51,Products!$D$2:$D$51,0)</f>
        <v>21.37</v>
      </c>
      <c r="M1140">
        <f t="shared" si="17"/>
        <v>13.11</v>
      </c>
    </row>
    <row r="1141" spans="1:13">
      <c r="A1141" t="s">
        <v>1564</v>
      </c>
      <c r="B1141" t="s">
        <v>103</v>
      </c>
      <c r="C1141" t="str">
        <f>_xlfn.XLOOKUP(F1141,Products!$A$2:$A$51,Products!$C$2:$C$51,0)</f>
        <v>Subscriptions</v>
      </c>
      <c r="D1141" t="str">
        <f>_xlfn.XLOOKUP(F1141,Products!$A$2:$A$51,Products!$B$2:$B$51,0)</f>
        <v>Espresso Lovers Quarterly Pack</v>
      </c>
      <c r="E1141" t="str">
        <f>_xlfn.XLOOKUP(B1141,customers!$A$2:$A$195,customers!$B$2:$B$195,,0)</f>
        <v>West</v>
      </c>
      <c r="F1141">
        <v>1024</v>
      </c>
      <c r="G1141" s="9">
        <f>_xlfn.XLOOKUP(B1141,customers!$A$1:$A$195,customers!$C$1:$C$195)</f>
        <v>45132</v>
      </c>
      <c r="H1141" s="13" t="s">
        <v>1551</v>
      </c>
      <c r="I1141">
        <v>1</v>
      </c>
      <c r="J1141">
        <v>74.87</v>
      </c>
      <c r="K1141">
        <v>19.2</v>
      </c>
      <c r="L1141">
        <f>_xlfn.XLOOKUP(F1141,Products!$A$2:$A$51,Products!$D$2:$D$51,0)</f>
        <v>74.87</v>
      </c>
      <c r="M1141">
        <f t="shared" si="17"/>
        <v>55.67</v>
      </c>
    </row>
    <row r="1142" spans="1:13">
      <c r="A1142" t="s">
        <v>1565</v>
      </c>
      <c r="B1142" t="s">
        <v>134</v>
      </c>
      <c r="C1142" t="str">
        <f>_xlfn.XLOOKUP(F1142,Products!$A$2:$A$51,Products!$C$2:$C$51,0)</f>
        <v>Consumables</v>
      </c>
      <c r="D1142" t="str">
        <f>_xlfn.XLOOKUP(F1142,Products!$A$2:$A$51,Products!$B$2:$B$51,0)</f>
        <v>Decaf Blend (1kg)</v>
      </c>
      <c r="E1142" t="str">
        <f>_xlfn.XLOOKUP(B1142,customers!$A$2:$A$195,customers!$B$2:$B$195,,0)</f>
        <v>West</v>
      </c>
      <c r="F1142">
        <v>1003</v>
      </c>
      <c r="G1142" s="9">
        <f>_xlfn.XLOOKUP(B1142,customers!$A$1:$A$195,customers!$C$1:$C$195)</f>
        <v>45241</v>
      </c>
      <c r="H1142" s="13" t="s">
        <v>1551</v>
      </c>
      <c r="I1142">
        <v>3</v>
      </c>
      <c r="J1142">
        <v>121.05</v>
      </c>
      <c r="K1142">
        <v>38.58</v>
      </c>
      <c r="L1142">
        <f>_xlfn.XLOOKUP(F1142,Products!$A$2:$A$51,Products!$D$2:$D$51,0)</f>
        <v>40.35</v>
      </c>
      <c r="M1142">
        <f t="shared" si="17"/>
        <v>82.47</v>
      </c>
    </row>
    <row r="1143" spans="1:13">
      <c r="A1143" t="s">
        <v>1566</v>
      </c>
      <c r="B1143" t="s">
        <v>136</v>
      </c>
      <c r="C1143" t="str">
        <f>_xlfn.XLOOKUP(F1143,Products!$A$2:$A$51,Products!$C$2:$C$51,0)</f>
        <v>Subscriptions</v>
      </c>
      <c r="D1143" t="str">
        <f>_xlfn.XLOOKUP(F1143,Products!$A$2:$A$51,Products!$B$2:$B$51,0)</f>
        <v>Bi-Weekly Sampler Box</v>
      </c>
      <c r="E1143" t="str">
        <f>_xlfn.XLOOKUP(B1143,customers!$A$2:$A$195,customers!$B$2:$B$195,,0)</f>
        <v>South</v>
      </c>
      <c r="F1143">
        <v>1047</v>
      </c>
      <c r="G1143" s="9">
        <f>_xlfn.XLOOKUP(B1143,customers!$A$1:$A$195,customers!$C$1:$C$195)</f>
        <v>45181</v>
      </c>
      <c r="H1143" s="13" t="s">
        <v>1551</v>
      </c>
      <c r="I1143">
        <v>3</v>
      </c>
      <c r="J1143">
        <v>266.31</v>
      </c>
      <c r="K1143">
        <v>71.58</v>
      </c>
      <c r="L1143">
        <f>_xlfn.XLOOKUP(F1143,Products!$A$2:$A$51,Products!$D$2:$D$51,0)</f>
        <v>88.77</v>
      </c>
      <c r="M1143">
        <f t="shared" si="17"/>
        <v>194.73</v>
      </c>
    </row>
    <row r="1144" spans="1:13">
      <c r="A1144" t="s">
        <v>1567</v>
      </c>
      <c r="B1144" t="s">
        <v>149</v>
      </c>
      <c r="C1144" t="str">
        <f>_xlfn.XLOOKUP(F1144,Products!$A$2:$A$51,Products!$C$2:$C$51,0)</f>
        <v>Merchandise</v>
      </c>
      <c r="D1144" t="str">
        <f>_xlfn.XLOOKUP(F1144,Products!$A$2:$A$51,Products!$B$2:$B$51,0)</f>
        <v>Insulated Travel Tumbler</v>
      </c>
      <c r="E1144" t="str">
        <f>_xlfn.XLOOKUP(B1144,customers!$A$2:$A$195,customers!$B$2:$B$195,,0)</f>
        <v>South</v>
      </c>
      <c r="F1144">
        <v>1043</v>
      </c>
      <c r="G1144" s="9">
        <f>_xlfn.XLOOKUP(B1144,customers!$A$1:$A$195,customers!$C$1:$C$195)</f>
        <v>45054</v>
      </c>
      <c r="H1144" s="13" t="s">
        <v>1551</v>
      </c>
      <c r="I1144">
        <v>4</v>
      </c>
      <c r="J1144">
        <v>173.12</v>
      </c>
      <c r="K1144">
        <v>83.29</v>
      </c>
      <c r="L1144">
        <f>_xlfn.XLOOKUP(F1144,Products!$A$2:$A$51,Products!$D$2:$D$51,0)</f>
        <v>43.28</v>
      </c>
      <c r="M1144">
        <f t="shared" si="17"/>
        <v>89.83</v>
      </c>
    </row>
    <row r="1145" spans="1:13">
      <c r="A1145" t="s">
        <v>1568</v>
      </c>
      <c r="B1145" t="s">
        <v>180</v>
      </c>
      <c r="C1145" t="str">
        <f>_xlfn.XLOOKUP(F1145,Products!$A$2:$A$51,Products!$C$2:$C$51,0)</f>
        <v>Consumables</v>
      </c>
      <c r="D1145" t="str">
        <f>_xlfn.XLOOKUP(F1145,Products!$A$2:$A$51,Products!$B$2:$B$51,0)</f>
        <v>Decaf Blend (1kg)</v>
      </c>
      <c r="E1145" t="str">
        <f>_xlfn.XLOOKUP(B1145,customers!$A$2:$A$195,customers!$B$2:$B$195,,0)</f>
        <v>South</v>
      </c>
      <c r="F1145">
        <v>1003</v>
      </c>
      <c r="G1145" s="9">
        <f>_xlfn.XLOOKUP(B1145,customers!$A$1:$A$195,customers!$C$1:$C$195)</f>
        <v>45215</v>
      </c>
      <c r="H1145" s="13" t="s">
        <v>1551</v>
      </c>
      <c r="I1145">
        <v>1</v>
      </c>
      <c r="J1145">
        <v>40.35</v>
      </c>
      <c r="K1145">
        <v>12.86</v>
      </c>
      <c r="L1145">
        <f>_xlfn.XLOOKUP(F1145,Products!$A$2:$A$51,Products!$D$2:$D$51,0)</f>
        <v>40.35</v>
      </c>
      <c r="M1145">
        <f t="shared" si="17"/>
        <v>27.49</v>
      </c>
    </row>
    <row r="1146" spans="1:13">
      <c r="A1146" t="s">
        <v>1569</v>
      </c>
      <c r="B1146" t="s">
        <v>183</v>
      </c>
      <c r="C1146" t="str">
        <f>_xlfn.XLOOKUP(F1146,Products!$A$2:$A$51,Products!$C$2:$C$51,0)</f>
        <v>Consumables</v>
      </c>
      <c r="D1146" t="str">
        <f>_xlfn.XLOOKUP(F1146,Products!$A$2:$A$51,Products!$B$2:$B$51,0)</f>
        <v>Single-Origin Ethiopian (250g)</v>
      </c>
      <c r="E1146" t="str">
        <f>_xlfn.XLOOKUP(B1146,customers!$A$2:$A$195,customers!$B$2:$B$195,,0)</f>
        <v>West</v>
      </c>
      <c r="F1146">
        <v>1026</v>
      </c>
      <c r="G1146" s="9">
        <f>_xlfn.XLOOKUP(B1146,customers!$A$1:$A$195,customers!$C$1:$C$195)</f>
        <v>45237</v>
      </c>
      <c r="H1146" s="13" t="s">
        <v>1551</v>
      </c>
      <c r="I1146">
        <v>2</v>
      </c>
      <c r="J1146">
        <v>38.98</v>
      </c>
      <c r="K1146">
        <v>25.41</v>
      </c>
      <c r="L1146">
        <f>_xlfn.XLOOKUP(F1146,Products!$A$2:$A$51,Products!$D$2:$D$51,0)</f>
        <v>19.49</v>
      </c>
      <c r="M1146">
        <f t="shared" si="17"/>
        <v>13.57</v>
      </c>
    </row>
    <row r="1147" spans="1:13">
      <c r="A1147" t="s">
        <v>1570</v>
      </c>
      <c r="B1147" t="s">
        <v>193</v>
      </c>
      <c r="C1147" t="str">
        <f>_xlfn.XLOOKUP(F1147,Products!$A$2:$A$51,Products!$C$2:$C$51,0)</f>
        <v>Subscriptions</v>
      </c>
      <c r="D1147" t="str">
        <f>_xlfn.XLOOKUP(F1147,Products!$A$2:$A$51,Products!$B$2:$B$51,0)</f>
        <v>Espresso Lovers Quarterly Pack</v>
      </c>
      <c r="E1147" t="str">
        <f>_xlfn.XLOOKUP(B1147,customers!$A$2:$A$195,customers!$B$2:$B$195,,0)</f>
        <v>East</v>
      </c>
      <c r="F1147">
        <v>1049</v>
      </c>
      <c r="G1147" s="9">
        <f>_xlfn.XLOOKUP(B1147,customers!$A$1:$A$195,customers!$C$1:$C$195)</f>
        <v>45255</v>
      </c>
      <c r="H1147" s="13" t="s">
        <v>1551</v>
      </c>
      <c r="I1147">
        <v>4</v>
      </c>
      <c r="J1147">
        <v>299.48</v>
      </c>
      <c r="K1147">
        <v>76.78</v>
      </c>
      <c r="L1147">
        <f>_xlfn.XLOOKUP(F1147,Products!$A$2:$A$51,Products!$D$2:$D$51,0)</f>
        <v>74.87</v>
      </c>
      <c r="M1147">
        <f t="shared" si="17"/>
        <v>222.7</v>
      </c>
    </row>
    <row r="1148" spans="1:13">
      <c r="A1148" t="s">
        <v>1571</v>
      </c>
      <c r="B1148" t="s">
        <v>197</v>
      </c>
      <c r="C1148" t="str">
        <f>_xlfn.XLOOKUP(F1148,Products!$A$2:$A$51,Products!$C$2:$C$51,0)</f>
        <v>Consumables</v>
      </c>
      <c r="D1148" t="str">
        <f>_xlfn.XLOOKUP(F1148,Products!$A$2:$A$51,Products!$B$2:$B$51,0)</f>
        <v>Seasonal Blend Light Roast</v>
      </c>
      <c r="E1148" t="str">
        <f>_xlfn.XLOOKUP(B1148,customers!$A$2:$A$195,customers!$B$2:$B$195,,0)</f>
        <v>East</v>
      </c>
      <c r="F1148">
        <v>1002</v>
      </c>
      <c r="G1148" s="9">
        <f>_xlfn.XLOOKUP(B1148,customers!$A$1:$A$195,customers!$C$1:$C$195)</f>
        <v>45251</v>
      </c>
      <c r="H1148" s="13" t="s">
        <v>1551</v>
      </c>
      <c r="I1148">
        <v>4</v>
      </c>
      <c r="J1148">
        <v>142.12</v>
      </c>
      <c r="K1148">
        <v>23.72</v>
      </c>
      <c r="L1148">
        <f>_xlfn.XLOOKUP(F1148,Products!$A$2:$A$51,Products!$D$2:$D$51,0)</f>
        <v>35.53</v>
      </c>
      <c r="M1148">
        <f t="shared" si="17"/>
        <v>118.4</v>
      </c>
    </row>
    <row r="1149" spans="1:13">
      <c r="A1149" t="s">
        <v>1572</v>
      </c>
      <c r="B1149" t="s">
        <v>22</v>
      </c>
      <c r="C1149" t="str">
        <f>_xlfn.XLOOKUP(F1149,Products!$A$2:$A$51,Products!$C$2:$C$51,0)</f>
        <v>Subscriptions</v>
      </c>
      <c r="D1149" t="str">
        <f>_xlfn.XLOOKUP(F1149,Products!$A$2:$A$51,Products!$B$2:$B$51,0)</f>
        <v>Espresso Lovers Quarterly Pack</v>
      </c>
      <c r="E1149" t="str">
        <f>_xlfn.XLOOKUP(B1149,customers!$A$2:$A$195,customers!$B$2:$B$195,,0)</f>
        <v>West</v>
      </c>
      <c r="F1149">
        <v>1024</v>
      </c>
      <c r="G1149" s="9">
        <f>_xlfn.XLOOKUP(B1149,customers!$A$1:$A$195,customers!$C$1:$C$195)</f>
        <v>45010</v>
      </c>
      <c r="H1149" s="13" t="s">
        <v>1573</v>
      </c>
      <c r="I1149">
        <v>2</v>
      </c>
      <c r="J1149">
        <v>149.74</v>
      </c>
      <c r="K1149">
        <v>38.39</v>
      </c>
      <c r="L1149">
        <f>_xlfn.XLOOKUP(F1149,Products!$A$2:$A$51,Products!$D$2:$D$51,0)</f>
        <v>74.87</v>
      </c>
      <c r="M1149">
        <f t="shared" si="17"/>
        <v>111.35</v>
      </c>
    </row>
    <row r="1150" spans="1:13">
      <c r="A1150" t="s">
        <v>1574</v>
      </c>
      <c r="B1150" t="s">
        <v>45</v>
      </c>
      <c r="C1150" t="str">
        <f>_xlfn.XLOOKUP(F1150,Products!$A$2:$A$51,Products!$C$2:$C$51,0)</f>
        <v>Accessories</v>
      </c>
      <c r="D1150" t="str">
        <f>_xlfn.XLOOKUP(F1150,Products!$A$2:$A$51,Products!$B$2:$B$51,0)</f>
        <v>Airtight Storage Container</v>
      </c>
      <c r="E1150" t="str">
        <f>_xlfn.XLOOKUP(B1150,customers!$A$2:$A$195,customers!$B$2:$B$195,,0)</f>
        <v>West</v>
      </c>
      <c r="F1150">
        <v>1038</v>
      </c>
      <c r="G1150" s="9">
        <f>_xlfn.XLOOKUP(B1150,customers!$A$1:$A$195,customers!$C$1:$C$195)</f>
        <v>45006</v>
      </c>
      <c r="H1150" s="13" t="s">
        <v>1573</v>
      </c>
      <c r="I1150">
        <v>3</v>
      </c>
      <c r="J1150">
        <v>183.12</v>
      </c>
      <c r="K1150">
        <v>77.12</v>
      </c>
      <c r="L1150">
        <f>_xlfn.XLOOKUP(F1150,Products!$A$2:$A$51,Products!$D$2:$D$51,0)</f>
        <v>61.04</v>
      </c>
      <c r="M1150">
        <f t="shared" si="17"/>
        <v>106</v>
      </c>
    </row>
    <row r="1151" spans="1:13">
      <c r="A1151" t="s">
        <v>1575</v>
      </c>
      <c r="B1151" t="s">
        <v>126</v>
      </c>
      <c r="C1151" t="str">
        <f>_xlfn.XLOOKUP(F1151,Products!$A$2:$A$51,Products!$C$2:$C$51,0)</f>
        <v>Grinders &amp; Brewers</v>
      </c>
      <c r="D1151" t="str">
        <f>_xlfn.XLOOKUP(F1151,Products!$A$2:$A$51,Products!$B$2:$B$51,0)</f>
        <v>Hand Grinder (Travel Size)</v>
      </c>
      <c r="E1151" t="str">
        <f>_xlfn.XLOOKUP(B1151,customers!$A$2:$A$195,customers!$B$2:$B$195,,0)</f>
        <v>North</v>
      </c>
      <c r="F1151">
        <v>1007</v>
      </c>
      <c r="G1151" s="9">
        <f>_xlfn.XLOOKUP(B1151,customers!$A$1:$A$195,customers!$C$1:$C$195)</f>
        <v>45192</v>
      </c>
      <c r="H1151" s="13" t="s">
        <v>1573</v>
      </c>
      <c r="I1151">
        <v>3</v>
      </c>
      <c r="J1151">
        <v>764.16</v>
      </c>
      <c r="K1151">
        <v>390.85</v>
      </c>
      <c r="L1151">
        <f>_xlfn.XLOOKUP(F1151,Products!$A$2:$A$51,Products!$D$2:$D$51,0)</f>
        <v>254.72</v>
      </c>
      <c r="M1151">
        <f t="shared" si="17"/>
        <v>373.31</v>
      </c>
    </row>
    <row r="1152" spans="1:13">
      <c r="A1152" t="s">
        <v>1576</v>
      </c>
      <c r="B1152" t="s">
        <v>135</v>
      </c>
      <c r="C1152" t="str">
        <f>_xlfn.XLOOKUP(F1152,Products!$A$2:$A$51,Products!$C$2:$C$51,0)</f>
        <v>Grinders &amp; Brewers</v>
      </c>
      <c r="D1152" t="str">
        <f>_xlfn.XLOOKUP(F1152,Products!$A$2:$A$51,Products!$B$2:$B$51,0)</f>
        <v>Precision Electric Grinder</v>
      </c>
      <c r="E1152" t="str">
        <f>_xlfn.XLOOKUP(B1152,customers!$A$2:$A$195,customers!$B$2:$B$195,,0)</f>
        <v>East</v>
      </c>
      <c r="F1152">
        <v>1031</v>
      </c>
      <c r="G1152" s="9">
        <f>_xlfn.XLOOKUP(B1152,customers!$A$1:$A$195,customers!$C$1:$C$195)</f>
        <v>45286</v>
      </c>
      <c r="H1152" s="13" t="s">
        <v>1573</v>
      </c>
      <c r="I1152">
        <v>1</v>
      </c>
      <c r="J1152">
        <v>232.2</v>
      </c>
      <c r="K1152">
        <v>78.39</v>
      </c>
      <c r="L1152">
        <f>_xlfn.XLOOKUP(F1152,Products!$A$2:$A$51,Products!$D$2:$D$51,0)</f>
        <v>232.2</v>
      </c>
      <c r="M1152">
        <f t="shared" si="17"/>
        <v>153.81</v>
      </c>
    </row>
    <row r="1153" spans="1:13">
      <c r="A1153" t="s">
        <v>1577</v>
      </c>
      <c r="B1153" t="s">
        <v>152</v>
      </c>
      <c r="C1153" t="str">
        <f>_xlfn.XLOOKUP(F1153,Products!$A$2:$A$51,Products!$C$2:$C$51,0)</f>
        <v>Consumables</v>
      </c>
      <c r="D1153" t="str">
        <f>_xlfn.XLOOKUP(F1153,Products!$A$2:$A$51,Products!$B$2:$B$51,0)</f>
        <v>Single-Origin Ethiopian (250g)</v>
      </c>
      <c r="E1153" t="str">
        <f>_xlfn.XLOOKUP(B1153,customers!$A$2:$A$195,customers!$B$2:$B$195,,0)</f>
        <v>East</v>
      </c>
      <c r="F1153">
        <v>1001</v>
      </c>
      <c r="G1153" s="9">
        <f>_xlfn.XLOOKUP(B1153,customers!$A$1:$A$195,customers!$C$1:$C$195)</f>
        <v>44949</v>
      </c>
      <c r="H1153" s="13" t="s">
        <v>1573</v>
      </c>
      <c r="I1153">
        <v>3</v>
      </c>
      <c r="J1153">
        <v>58.47</v>
      </c>
      <c r="K1153">
        <v>38.12</v>
      </c>
      <c r="L1153">
        <f>_xlfn.XLOOKUP(F1153,Products!$A$2:$A$51,Products!$D$2:$D$51,0)</f>
        <v>19.49</v>
      </c>
      <c r="M1153">
        <f t="shared" si="17"/>
        <v>20.35</v>
      </c>
    </row>
    <row r="1154" spans="1:13">
      <c r="A1154" t="s">
        <v>1578</v>
      </c>
      <c r="B1154" t="s">
        <v>167</v>
      </c>
      <c r="C1154" t="str">
        <f>_xlfn.XLOOKUP(F1154,Products!$A$2:$A$51,Products!$C$2:$C$51,0)</f>
        <v>Grinders &amp; Brewers</v>
      </c>
      <c r="D1154" t="str">
        <f>_xlfn.XLOOKUP(F1154,Products!$A$2:$A$51,Products!$B$2:$B$51,0)</f>
        <v>High-Capacity French Press</v>
      </c>
      <c r="E1154" t="str">
        <f>_xlfn.XLOOKUP(B1154,customers!$A$2:$A$195,customers!$B$2:$B$195,,0)</f>
        <v>North</v>
      </c>
      <c r="F1154">
        <v>1034</v>
      </c>
      <c r="G1154" s="9">
        <f>_xlfn.XLOOKUP(B1154,customers!$A$1:$A$195,customers!$C$1:$C$195)</f>
        <v>45168</v>
      </c>
      <c r="H1154" s="13" t="s">
        <v>1573</v>
      </c>
      <c r="I1154">
        <v>1</v>
      </c>
      <c r="J1154">
        <v>338.36</v>
      </c>
      <c r="K1154">
        <v>148.17</v>
      </c>
      <c r="L1154">
        <f>_xlfn.XLOOKUP(F1154,Products!$A$2:$A$51,Products!$D$2:$D$51,0)</f>
        <v>338.36</v>
      </c>
      <c r="M1154">
        <f t="shared" si="17"/>
        <v>190.19</v>
      </c>
    </row>
    <row r="1155" spans="1:13">
      <c r="A1155" t="s">
        <v>1579</v>
      </c>
      <c r="B1155" t="s">
        <v>81</v>
      </c>
      <c r="C1155" t="str">
        <f>_xlfn.XLOOKUP(F1155,Products!$A$2:$A$51,Products!$C$2:$C$51,0)</f>
        <v>Grinders &amp; Brewers</v>
      </c>
      <c r="D1155" t="str">
        <f>_xlfn.XLOOKUP(F1155,Products!$A$2:$A$51,Products!$B$2:$B$51,0)</f>
        <v>High-Capacity French Press</v>
      </c>
      <c r="E1155" t="str">
        <f>_xlfn.XLOOKUP(B1155,customers!$A$2:$A$195,customers!$B$2:$B$195,,0)</f>
        <v>West</v>
      </c>
      <c r="F1155">
        <v>1009</v>
      </c>
      <c r="G1155" s="9">
        <f>_xlfn.XLOOKUP(B1155,customers!$A$1:$A$195,customers!$C$1:$C$195)</f>
        <v>45041</v>
      </c>
      <c r="H1155" s="13" t="s">
        <v>1580</v>
      </c>
      <c r="I1155">
        <v>3</v>
      </c>
      <c r="J1155">
        <v>1015.08</v>
      </c>
      <c r="K1155">
        <v>444.51</v>
      </c>
      <c r="L1155">
        <f>_xlfn.XLOOKUP(F1155,Products!$A$2:$A$51,Products!$D$2:$D$51,0)</f>
        <v>338.36</v>
      </c>
      <c r="M1155">
        <f>J1155-K1155</f>
        <v>570.57</v>
      </c>
    </row>
    <row r="1156" spans="1:13">
      <c r="A1156" t="s">
        <v>1581</v>
      </c>
      <c r="B1156" t="s">
        <v>93</v>
      </c>
      <c r="C1156" t="str">
        <f>_xlfn.XLOOKUP(F1156,Products!$A$2:$A$51,Products!$C$2:$C$51,0)</f>
        <v>Merchandise</v>
      </c>
      <c r="D1156" t="str">
        <f>_xlfn.XLOOKUP(F1156,Products!$A$2:$A$51,Products!$B$2:$B$51,0)</f>
        <v>Logo Hoodie (Black)</v>
      </c>
      <c r="E1156" t="str">
        <f>_xlfn.XLOOKUP(B1156,customers!$A$2:$A$195,customers!$B$2:$B$195,,0)</f>
        <v>West</v>
      </c>
      <c r="F1156">
        <v>1017</v>
      </c>
      <c r="G1156" s="9">
        <f>_xlfn.XLOOKUP(B1156,customers!$A$1:$A$195,customers!$C$1:$C$195)</f>
        <v>45244</v>
      </c>
      <c r="H1156" s="13" t="s">
        <v>1580</v>
      </c>
      <c r="I1156">
        <v>3</v>
      </c>
      <c r="J1156">
        <v>45.69</v>
      </c>
      <c r="K1156">
        <v>40.19</v>
      </c>
      <c r="L1156">
        <f>_xlfn.XLOOKUP(F1156,Products!$A$2:$A$51,Products!$D$2:$D$51,0)</f>
        <v>15.23</v>
      </c>
      <c r="M1156">
        <f>J1156-K1156</f>
        <v>5.5</v>
      </c>
    </row>
    <row r="1157" spans="1:13">
      <c r="A1157" t="s">
        <v>1582</v>
      </c>
      <c r="B1157" t="s">
        <v>180</v>
      </c>
      <c r="C1157" t="str">
        <f>_xlfn.XLOOKUP(F1157,Products!$A$2:$A$51,Products!$C$2:$C$51,0)</f>
        <v>Accessories</v>
      </c>
      <c r="D1157" t="str">
        <f>_xlfn.XLOOKUP(F1157,Products!$A$2:$A$51,Products!$B$2:$B$51,0)</f>
        <v>Digital Coffee Scale</v>
      </c>
      <c r="E1157" t="str">
        <f>_xlfn.XLOOKUP(B1157,customers!$A$2:$A$195,customers!$B$2:$B$195,,0)</f>
        <v>South</v>
      </c>
      <c r="F1157">
        <v>1036</v>
      </c>
      <c r="G1157" s="9">
        <f>_xlfn.XLOOKUP(B1157,customers!$A$1:$A$195,customers!$C$1:$C$195)</f>
        <v>45215</v>
      </c>
      <c r="H1157" s="13" t="s">
        <v>1580</v>
      </c>
      <c r="I1157">
        <v>3</v>
      </c>
      <c r="J1157">
        <v>80.49</v>
      </c>
      <c r="K1157">
        <v>43.96</v>
      </c>
      <c r="L1157">
        <f>_xlfn.XLOOKUP(F1157,Products!$A$2:$A$51,Products!$D$2:$D$51,0)</f>
        <v>26.83</v>
      </c>
      <c r="M1157">
        <f>J1157-K1157</f>
        <v>36.53</v>
      </c>
    </row>
    <row r="1158" spans="1:13">
      <c r="A1158" t="s">
        <v>1583</v>
      </c>
      <c r="B1158" t="s">
        <v>50</v>
      </c>
      <c r="C1158" t="str">
        <f>_xlfn.XLOOKUP(F1158,Products!$A$2:$A$51,Products!$C$2:$C$51,0)</f>
        <v>Accessories</v>
      </c>
      <c r="D1158" t="str">
        <f>_xlfn.XLOOKUP(F1158,Products!$A$2:$A$51,Products!$B$2:$B$51,0)</f>
        <v>Airtight Storage Container</v>
      </c>
      <c r="E1158" t="str">
        <f>_xlfn.XLOOKUP(B1158,customers!$A$2:$A$195,customers!$B$2:$B$195,,0)</f>
        <v>West</v>
      </c>
      <c r="F1158">
        <v>1013</v>
      </c>
      <c r="G1158" s="9">
        <f>_xlfn.XLOOKUP(B1158,customers!$A$1:$A$195,customers!$C$1:$C$195)</f>
        <v>44999</v>
      </c>
      <c r="H1158" s="13" t="s">
        <v>1584</v>
      </c>
      <c r="I1158">
        <v>3</v>
      </c>
      <c r="J1158">
        <v>183.12</v>
      </c>
      <c r="K1158">
        <v>77.12</v>
      </c>
      <c r="L1158">
        <f>_xlfn.XLOOKUP(F1158,Products!$A$2:$A$51,Products!$D$2:$D$51,0)</f>
        <v>61.04</v>
      </c>
      <c r="M1158">
        <f>J1158-K1158</f>
        <v>106</v>
      </c>
    </row>
    <row r="1159" spans="1:13">
      <c r="A1159" t="s">
        <v>1585</v>
      </c>
      <c r="B1159" t="s">
        <v>80</v>
      </c>
      <c r="C1159" t="str">
        <f>_xlfn.XLOOKUP(F1159,Products!$A$2:$A$51,Products!$C$2:$C$51,0)</f>
        <v>Accessories</v>
      </c>
      <c r="D1159" t="str">
        <f>_xlfn.XLOOKUP(F1159,Products!$A$2:$A$51,Products!$B$2:$B$51,0)</f>
        <v>Airtight Storage Container</v>
      </c>
      <c r="E1159" t="str">
        <f>_xlfn.XLOOKUP(B1159,customers!$A$2:$A$195,customers!$B$2:$B$195,,0)</f>
        <v>West</v>
      </c>
      <c r="F1159">
        <v>1013</v>
      </c>
      <c r="G1159" s="9">
        <f>_xlfn.XLOOKUP(B1159,customers!$A$1:$A$195,customers!$C$1:$C$195)</f>
        <v>45200</v>
      </c>
      <c r="H1159" s="13" t="s">
        <v>1584</v>
      </c>
      <c r="I1159">
        <v>2</v>
      </c>
      <c r="J1159">
        <v>122.08</v>
      </c>
      <c r="K1159">
        <v>51.41</v>
      </c>
      <c r="L1159">
        <f>_xlfn.XLOOKUP(F1159,Products!$A$2:$A$51,Products!$D$2:$D$51,0)</f>
        <v>61.04</v>
      </c>
      <c r="M1159">
        <f>J1159-K1159</f>
        <v>70.67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83"/>
  <sheetViews>
    <sheetView workbookViewId="0">
      <selection activeCell="A36" sqref="A36"/>
    </sheetView>
  </sheetViews>
  <sheetFormatPr defaultColWidth="9" defaultRowHeight="16.8" outlineLevelCol="3"/>
  <cols>
    <col min="1" max="1" width="39.4375"/>
    <col min="2" max="4" width="22.5625"/>
  </cols>
  <sheetData>
    <row r="3" spans="1:4">
      <c r="A3" t="s">
        <v>0</v>
      </c>
      <c r="B3" s="9" t="s">
        <v>1586</v>
      </c>
      <c r="C3" t="s">
        <v>1587</v>
      </c>
      <c r="D3" t="s">
        <v>236</v>
      </c>
    </row>
    <row r="4" spans="1:4">
      <c r="A4" t="s">
        <v>152</v>
      </c>
      <c r="B4" s="9">
        <v>45785</v>
      </c>
      <c r="C4">
        <v>8</v>
      </c>
      <c r="D4">
        <v>1248.55</v>
      </c>
    </row>
    <row r="5" spans="1:4">
      <c r="A5" t="s">
        <v>65</v>
      </c>
      <c r="B5" s="9">
        <v>45843</v>
      </c>
      <c r="C5">
        <v>10</v>
      </c>
      <c r="D5">
        <v>825.56</v>
      </c>
    </row>
    <row r="6" spans="1:4">
      <c r="A6" t="s">
        <v>129</v>
      </c>
      <c r="B6" s="9">
        <v>45969</v>
      </c>
      <c r="C6">
        <v>8</v>
      </c>
      <c r="D6">
        <v>1953.64</v>
      </c>
    </row>
    <row r="7" spans="1:4">
      <c r="A7" t="s">
        <v>165</v>
      </c>
      <c r="B7" s="9">
        <v>45932</v>
      </c>
      <c r="C7">
        <v>6</v>
      </c>
      <c r="D7">
        <v>1068.08</v>
      </c>
    </row>
    <row r="8" spans="1:4">
      <c r="A8" t="s">
        <v>161</v>
      </c>
      <c r="B8" s="9">
        <v>46000</v>
      </c>
      <c r="C8">
        <v>9</v>
      </c>
      <c r="D8">
        <v>874.11</v>
      </c>
    </row>
    <row r="9" spans="1:4">
      <c r="A9" t="s">
        <v>190</v>
      </c>
      <c r="B9" s="9">
        <v>45844</v>
      </c>
      <c r="C9">
        <v>4</v>
      </c>
      <c r="D9">
        <v>547.76</v>
      </c>
    </row>
    <row r="10" spans="1:4">
      <c r="A10" t="s">
        <v>150</v>
      </c>
      <c r="B10" s="9">
        <v>45964</v>
      </c>
      <c r="C10">
        <v>3</v>
      </c>
      <c r="D10">
        <v>884.9</v>
      </c>
    </row>
    <row r="11" spans="1:4">
      <c r="A11" t="s">
        <v>16</v>
      </c>
      <c r="B11" s="9">
        <v>45845</v>
      </c>
      <c r="C11">
        <v>9</v>
      </c>
      <c r="D11">
        <v>1149.37</v>
      </c>
    </row>
    <row r="12" spans="1:4">
      <c r="A12" t="s">
        <v>97</v>
      </c>
      <c r="B12" s="9">
        <v>45873</v>
      </c>
      <c r="C12">
        <v>4</v>
      </c>
      <c r="D12">
        <v>392.22</v>
      </c>
    </row>
    <row r="13" spans="1:4">
      <c r="A13" t="s">
        <v>160</v>
      </c>
      <c r="B13" s="9">
        <v>45756</v>
      </c>
      <c r="C13">
        <v>7</v>
      </c>
      <c r="D13">
        <v>1515.61</v>
      </c>
    </row>
    <row r="14" spans="1:4">
      <c r="A14" t="s">
        <v>85</v>
      </c>
      <c r="B14" s="9">
        <v>45843</v>
      </c>
      <c r="C14">
        <v>7</v>
      </c>
      <c r="D14">
        <v>2506.47</v>
      </c>
    </row>
    <row r="15" spans="1:4">
      <c r="A15" t="s">
        <v>183</v>
      </c>
      <c r="B15" s="9">
        <v>45970</v>
      </c>
      <c r="C15">
        <v>8</v>
      </c>
      <c r="D15">
        <v>943.09</v>
      </c>
    </row>
    <row r="16" spans="1:4">
      <c r="A16" t="s">
        <v>135</v>
      </c>
      <c r="B16" s="9">
        <v>45939</v>
      </c>
      <c r="C16">
        <v>8</v>
      </c>
      <c r="D16">
        <v>1568.25</v>
      </c>
    </row>
    <row r="17" spans="1:4">
      <c r="A17" t="s">
        <v>98</v>
      </c>
      <c r="B17" s="9">
        <v>45936</v>
      </c>
      <c r="C17">
        <v>4</v>
      </c>
      <c r="D17">
        <v>1757.01</v>
      </c>
    </row>
    <row r="18" spans="1:4">
      <c r="A18" t="s">
        <v>80</v>
      </c>
      <c r="B18" s="9">
        <v>45941</v>
      </c>
      <c r="C18">
        <v>6</v>
      </c>
      <c r="D18">
        <v>749.75</v>
      </c>
    </row>
    <row r="19" spans="1:4">
      <c r="A19" t="s">
        <v>163</v>
      </c>
      <c r="B19" s="9">
        <v>45968</v>
      </c>
      <c r="C19">
        <v>5</v>
      </c>
      <c r="D19">
        <v>575.21</v>
      </c>
    </row>
    <row r="20" spans="1:4">
      <c r="A20" t="s">
        <v>62</v>
      </c>
      <c r="B20" s="9">
        <v>45936</v>
      </c>
      <c r="C20">
        <v>5</v>
      </c>
      <c r="D20">
        <v>634.88</v>
      </c>
    </row>
    <row r="21" spans="1:4">
      <c r="A21" t="s">
        <v>137</v>
      </c>
      <c r="B21" s="9">
        <v>45870</v>
      </c>
      <c r="C21">
        <v>4</v>
      </c>
      <c r="D21">
        <v>258.35</v>
      </c>
    </row>
    <row r="22" spans="1:4">
      <c r="A22" t="s">
        <v>192</v>
      </c>
      <c r="B22" s="9">
        <v>45879</v>
      </c>
      <c r="C22">
        <v>8</v>
      </c>
      <c r="D22">
        <v>1279.48</v>
      </c>
    </row>
    <row r="23" spans="1:4">
      <c r="A23" t="s">
        <v>186</v>
      </c>
      <c r="B23" s="9">
        <v>45931</v>
      </c>
      <c r="C23">
        <v>6</v>
      </c>
      <c r="D23">
        <v>2116.6</v>
      </c>
    </row>
    <row r="24" spans="1:4">
      <c r="A24" t="s">
        <v>56</v>
      </c>
      <c r="B24" s="9">
        <v>45693</v>
      </c>
      <c r="C24">
        <v>5</v>
      </c>
      <c r="D24">
        <v>608.05</v>
      </c>
    </row>
    <row r="25" spans="1:4">
      <c r="A25" t="s">
        <v>7</v>
      </c>
      <c r="B25" s="9">
        <v>45972</v>
      </c>
      <c r="C25">
        <v>7</v>
      </c>
      <c r="D25">
        <v>1879.4</v>
      </c>
    </row>
    <row r="26" spans="1:4">
      <c r="A26" t="s">
        <v>40</v>
      </c>
      <c r="B26" s="9">
        <v>45754</v>
      </c>
      <c r="C26">
        <v>3</v>
      </c>
      <c r="D26">
        <v>462.66</v>
      </c>
    </row>
    <row r="27" spans="1:4">
      <c r="A27" t="s">
        <v>171</v>
      </c>
      <c r="B27" s="9">
        <v>45940</v>
      </c>
      <c r="C27">
        <v>4</v>
      </c>
      <c r="D27">
        <v>776.5</v>
      </c>
    </row>
    <row r="28" spans="1:4">
      <c r="A28" t="s">
        <v>182</v>
      </c>
      <c r="B28" s="9">
        <v>45999</v>
      </c>
      <c r="C28">
        <v>10</v>
      </c>
      <c r="D28">
        <v>1628.7</v>
      </c>
    </row>
    <row r="29" spans="1:4">
      <c r="A29" t="s">
        <v>13</v>
      </c>
      <c r="B29" s="9">
        <v>45813</v>
      </c>
      <c r="C29">
        <v>9</v>
      </c>
      <c r="D29">
        <v>2017.67</v>
      </c>
    </row>
    <row r="30" spans="1:4">
      <c r="A30" t="s">
        <v>169</v>
      </c>
      <c r="B30" s="9">
        <v>45968</v>
      </c>
      <c r="C30">
        <v>5</v>
      </c>
      <c r="D30">
        <v>516.57</v>
      </c>
    </row>
    <row r="31" spans="1:4">
      <c r="A31" t="s">
        <v>140</v>
      </c>
      <c r="B31" s="9">
        <v>45940</v>
      </c>
      <c r="C31">
        <v>3</v>
      </c>
      <c r="D31">
        <v>1018.41</v>
      </c>
    </row>
    <row r="32" spans="1:4">
      <c r="A32" t="s">
        <v>104</v>
      </c>
      <c r="B32" s="9">
        <v>45878</v>
      </c>
      <c r="C32">
        <v>1</v>
      </c>
      <c r="D32">
        <v>77.96</v>
      </c>
    </row>
    <row r="33" spans="1:4">
      <c r="A33" t="s">
        <v>81</v>
      </c>
      <c r="B33" s="9">
        <v>45874</v>
      </c>
      <c r="C33">
        <v>9</v>
      </c>
      <c r="D33">
        <v>1622.59</v>
      </c>
    </row>
    <row r="34" spans="1:4">
      <c r="A34" t="s">
        <v>50</v>
      </c>
      <c r="B34" s="9">
        <v>45937</v>
      </c>
      <c r="C34">
        <v>6</v>
      </c>
      <c r="D34">
        <v>1456.66</v>
      </c>
    </row>
    <row r="35" spans="1:4">
      <c r="A35" t="s">
        <v>27</v>
      </c>
      <c r="B35" s="9">
        <v>45938</v>
      </c>
      <c r="C35">
        <v>4</v>
      </c>
      <c r="D35">
        <v>1644.59</v>
      </c>
    </row>
    <row r="36" spans="1:4">
      <c r="A36" t="s">
        <v>58</v>
      </c>
      <c r="B36" s="9">
        <v>45751</v>
      </c>
      <c r="C36">
        <v>6</v>
      </c>
      <c r="D36">
        <v>2202.47</v>
      </c>
    </row>
    <row r="37" spans="1:4">
      <c r="A37" t="s">
        <v>9</v>
      </c>
      <c r="B37" s="9">
        <v>45781</v>
      </c>
      <c r="C37">
        <v>4</v>
      </c>
      <c r="D37">
        <v>354.46</v>
      </c>
    </row>
    <row r="38" spans="1:4">
      <c r="A38" t="s">
        <v>44</v>
      </c>
      <c r="B38" s="9">
        <v>45755</v>
      </c>
      <c r="C38">
        <v>8</v>
      </c>
      <c r="D38">
        <v>1110.2</v>
      </c>
    </row>
    <row r="39" spans="1:4">
      <c r="A39" t="s">
        <v>148</v>
      </c>
      <c r="B39" s="9">
        <v>45783</v>
      </c>
      <c r="C39">
        <v>6</v>
      </c>
      <c r="D39">
        <v>1767.8</v>
      </c>
    </row>
    <row r="40" spans="1:4">
      <c r="A40" t="s">
        <v>96</v>
      </c>
      <c r="B40" s="9">
        <v>45818</v>
      </c>
      <c r="C40">
        <v>6</v>
      </c>
      <c r="D40">
        <v>1172.68</v>
      </c>
    </row>
    <row r="41" spans="1:4">
      <c r="A41" t="s">
        <v>196</v>
      </c>
      <c r="B41" s="9">
        <v>45970</v>
      </c>
      <c r="C41">
        <v>8</v>
      </c>
      <c r="D41">
        <v>1167.49</v>
      </c>
    </row>
    <row r="42" spans="1:4">
      <c r="A42" t="s">
        <v>112</v>
      </c>
      <c r="B42" s="9">
        <v>45754</v>
      </c>
      <c r="C42">
        <v>4</v>
      </c>
      <c r="D42">
        <v>530.26</v>
      </c>
    </row>
    <row r="43" spans="1:4">
      <c r="A43" t="s">
        <v>3</v>
      </c>
      <c r="B43" s="9">
        <v>45904</v>
      </c>
      <c r="C43">
        <v>8</v>
      </c>
      <c r="D43">
        <v>809.75</v>
      </c>
    </row>
    <row r="44" spans="1:4">
      <c r="A44" t="s">
        <v>118</v>
      </c>
      <c r="B44" s="9">
        <v>45786</v>
      </c>
      <c r="C44">
        <v>6</v>
      </c>
      <c r="D44">
        <v>639.78</v>
      </c>
    </row>
    <row r="45" spans="1:4">
      <c r="A45" t="s">
        <v>128</v>
      </c>
      <c r="B45" s="9">
        <v>45901</v>
      </c>
      <c r="C45">
        <v>7</v>
      </c>
      <c r="D45">
        <v>2003.89</v>
      </c>
    </row>
    <row r="46" spans="1:4">
      <c r="A46" t="s">
        <v>170</v>
      </c>
      <c r="B46" s="9">
        <v>45842</v>
      </c>
      <c r="C46">
        <v>5</v>
      </c>
      <c r="D46">
        <v>1067.23</v>
      </c>
    </row>
    <row r="47" spans="1:4">
      <c r="A47" t="s">
        <v>168</v>
      </c>
      <c r="B47" s="9">
        <v>45972</v>
      </c>
      <c r="C47">
        <v>8</v>
      </c>
      <c r="D47">
        <v>875.56</v>
      </c>
    </row>
    <row r="48" spans="1:4">
      <c r="A48" t="s">
        <v>120</v>
      </c>
      <c r="B48" s="9">
        <v>45910</v>
      </c>
      <c r="C48">
        <v>4</v>
      </c>
      <c r="D48">
        <v>310.24</v>
      </c>
    </row>
    <row r="49" spans="1:4">
      <c r="A49" t="s">
        <v>145</v>
      </c>
      <c r="B49" s="9">
        <v>45996</v>
      </c>
      <c r="C49">
        <v>6</v>
      </c>
      <c r="D49">
        <v>1157.26</v>
      </c>
    </row>
    <row r="50" spans="1:4">
      <c r="A50" t="s">
        <v>107</v>
      </c>
      <c r="B50" s="9">
        <v>45965</v>
      </c>
      <c r="C50">
        <v>7</v>
      </c>
      <c r="D50">
        <v>1647.85</v>
      </c>
    </row>
    <row r="51" spans="1:4">
      <c r="A51" t="s">
        <v>52</v>
      </c>
      <c r="B51" s="9">
        <v>46001</v>
      </c>
      <c r="C51">
        <v>4</v>
      </c>
      <c r="D51">
        <v>357.72</v>
      </c>
    </row>
    <row r="52" spans="1:4">
      <c r="A52" t="s">
        <v>149</v>
      </c>
      <c r="B52" s="9">
        <v>45910</v>
      </c>
      <c r="C52">
        <v>9</v>
      </c>
      <c r="D52">
        <v>1464.58</v>
      </c>
    </row>
    <row r="53" spans="1:4">
      <c r="A53" t="s">
        <v>175</v>
      </c>
      <c r="B53" s="9">
        <v>45665</v>
      </c>
      <c r="C53">
        <v>6</v>
      </c>
      <c r="D53">
        <v>598.74</v>
      </c>
    </row>
    <row r="54" spans="1:4">
      <c r="A54" t="s">
        <v>93</v>
      </c>
      <c r="B54" s="9">
        <v>45972</v>
      </c>
      <c r="C54">
        <v>4</v>
      </c>
      <c r="D54">
        <v>629.78</v>
      </c>
    </row>
    <row r="55" spans="1:4">
      <c r="A55" t="s">
        <v>180</v>
      </c>
      <c r="B55" s="9">
        <v>45842</v>
      </c>
      <c r="C55">
        <v>8</v>
      </c>
      <c r="D55">
        <v>1477.56</v>
      </c>
    </row>
    <row r="56" spans="1:4">
      <c r="A56" t="s">
        <v>29</v>
      </c>
      <c r="B56" s="9">
        <v>45873</v>
      </c>
      <c r="C56">
        <v>7</v>
      </c>
      <c r="D56">
        <v>2501.16</v>
      </c>
    </row>
    <row r="57" spans="1:4">
      <c r="A57" t="s">
        <v>90</v>
      </c>
      <c r="B57" s="9">
        <v>46002</v>
      </c>
      <c r="C57">
        <v>7</v>
      </c>
      <c r="D57">
        <v>1226.64</v>
      </c>
    </row>
    <row r="58" spans="1:4">
      <c r="A58" t="s">
        <v>78</v>
      </c>
      <c r="B58" s="9">
        <v>45848</v>
      </c>
      <c r="C58">
        <v>7</v>
      </c>
      <c r="D58">
        <v>604.15</v>
      </c>
    </row>
    <row r="59" spans="1:4">
      <c r="A59" t="s">
        <v>123</v>
      </c>
      <c r="B59" s="9">
        <v>45726</v>
      </c>
      <c r="C59">
        <v>5</v>
      </c>
      <c r="D59">
        <v>829.21</v>
      </c>
    </row>
    <row r="60" spans="1:4">
      <c r="A60" t="s">
        <v>47</v>
      </c>
      <c r="B60" s="9">
        <v>45933</v>
      </c>
      <c r="C60">
        <v>8</v>
      </c>
      <c r="D60">
        <v>2471.4</v>
      </c>
    </row>
    <row r="61" spans="1:4">
      <c r="A61" t="s">
        <v>77</v>
      </c>
      <c r="B61" s="9">
        <v>45908</v>
      </c>
      <c r="C61">
        <v>6</v>
      </c>
      <c r="D61">
        <v>1349.35</v>
      </c>
    </row>
    <row r="62" spans="1:4">
      <c r="A62" t="s">
        <v>162</v>
      </c>
      <c r="B62" s="9">
        <v>45909</v>
      </c>
      <c r="C62">
        <v>6</v>
      </c>
      <c r="D62">
        <v>424.36</v>
      </c>
    </row>
    <row r="63" spans="1:4">
      <c r="A63" t="s">
        <v>119</v>
      </c>
      <c r="B63" s="9">
        <v>46000</v>
      </c>
      <c r="C63">
        <v>8</v>
      </c>
      <c r="D63">
        <v>1738.43</v>
      </c>
    </row>
    <row r="64" spans="1:4">
      <c r="A64" t="s">
        <v>133</v>
      </c>
      <c r="B64" s="9">
        <v>45873</v>
      </c>
      <c r="C64">
        <v>7</v>
      </c>
      <c r="D64">
        <v>1482.68</v>
      </c>
    </row>
    <row r="65" spans="1:4">
      <c r="A65" t="s">
        <v>187</v>
      </c>
      <c r="B65" s="9">
        <v>45993</v>
      </c>
      <c r="C65">
        <v>8</v>
      </c>
      <c r="D65">
        <v>2467.28</v>
      </c>
    </row>
    <row r="66" spans="1:4">
      <c r="A66" t="s">
        <v>141</v>
      </c>
      <c r="B66" s="9">
        <v>45843</v>
      </c>
      <c r="C66">
        <v>7</v>
      </c>
      <c r="D66">
        <v>1431.47</v>
      </c>
    </row>
    <row r="67" spans="1:4">
      <c r="A67" t="s">
        <v>136</v>
      </c>
      <c r="B67" s="9">
        <v>45873</v>
      </c>
      <c r="C67">
        <v>6</v>
      </c>
      <c r="D67">
        <v>694.9</v>
      </c>
    </row>
    <row r="68" spans="1:4">
      <c r="A68" t="s">
        <v>92</v>
      </c>
      <c r="B68" s="9">
        <v>45753</v>
      </c>
      <c r="C68">
        <v>4</v>
      </c>
      <c r="D68">
        <v>596.26</v>
      </c>
    </row>
    <row r="69" spans="1:4">
      <c r="A69" t="s">
        <v>12</v>
      </c>
      <c r="B69" s="9">
        <v>45845</v>
      </c>
      <c r="C69">
        <v>5</v>
      </c>
      <c r="D69">
        <v>1347.27</v>
      </c>
    </row>
    <row r="70" spans="1:4">
      <c r="A70" t="s">
        <v>102</v>
      </c>
      <c r="B70" s="9">
        <v>45966</v>
      </c>
      <c r="C70">
        <v>9</v>
      </c>
      <c r="D70">
        <v>2070.74</v>
      </c>
    </row>
    <row r="71" spans="1:4">
      <c r="A71" t="s">
        <v>185</v>
      </c>
      <c r="B71" s="9">
        <v>45874</v>
      </c>
      <c r="C71">
        <v>7</v>
      </c>
      <c r="D71">
        <v>2651.61</v>
      </c>
    </row>
    <row r="72" spans="1:4">
      <c r="A72" t="s">
        <v>79</v>
      </c>
      <c r="B72" s="9">
        <v>46002</v>
      </c>
      <c r="C72">
        <v>5</v>
      </c>
      <c r="D72">
        <v>1152.51</v>
      </c>
    </row>
    <row r="73" spans="1:4">
      <c r="A73" t="s">
        <v>75</v>
      </c>
      <c r="B73" s="9">
        <v>46002</v>
      </c>
      <c r="C73">
        <v>2</v>
      </c>
      <c r="D73">
        <v>313.38</v>
      </c>
    </row>
    <row r="74" spans="1:4">
      <c r="A74" t="s">
        <v>159</v>
      </c>
      <c r="B74" s="9">
        <v>45941</v>
      </c>
      <c r="C74">
        <v>4</v>
      </c>
      <c r="D74">
        <v>660.31</v>
      </c>
    </row>
    <row r="75" spans="1:4">
      <c r="A75" t="s">
        <v>143</v>
      </c>
      <c r="B75" s="9">
        <v>45932</v>
      </c>
      <c r="C75">
        <v>6</v>
      </c>
      <c r="D75">
        <v>691.07</v>
      </c>
    </row>
    <row r="76" spans="1:4">
      <c r="A76" t="s">
        <v>114</v>
      </c>
      <c r="B76" s="9">
        <v>45814</v>
      </c>
      <c r="C76">
        <v>6</v>
      </c>
      <c r="D76">
        <v>3091.27</v>
      </c>
    </row>
    <row r="77" spans="1:4">
      <c r="A77" t="s">
        <v>33</v>
      </c>
      <c r="B77" s="9">
        <v>45904</v>
      </c>
      <c r="C77">
        <v>6</v>
      </c>
      <c r="D77">
        <v>1001.34</v>
      </c>
    </row>
    <row r="78" spans="1:4">
      <c r="A78" t="s">
        <v>139</v>
      </c>
      <c r="B78" s="9">
        <v>45963</v>
      </c>
      <c r="C78">
        <v>6</v>
      </c>
      <c r="D78">
        <v>403.87</v>
      </c>
    </row>
    <row r="79" spans="1:4">
      <c r="A79" t="s">
        <v>25</v>
      </c>
      <c r="B79" s="9">
        <v>45842</v>
      </c>
      <c r="C79">
        <v>7</v>
      </c>
      <c r="D79">
        <v>1262.78</v>
      </c>
    </row>
    <row r="80" spans="1:4">
      <c r="A80" t="s">
        <v>31</v>
      </c>
      <c r="B80" s="9">
        <v>45993</v>
      </c>
      <c r="C80">
        <v>4</v>
      </c>
      <c r="D80">
        <v>1377.41</v>
      </c>
    </row>
    <row r="81" spans="1:4">
      <c r="A81" t="s">
        <v>199</v>
      </c>
      <c r="B81" s="9">
        <v>45667</v>
      </c>
      <c r="C81">
        <v>8</v>
      </c>
      <c r="D81">
        <v>1559.65</v>
      </c>
    </row>
    <row r="82" spans="1:4">
      <c r="A82" t="s">
        <v>134</v>
      </c>
      <c r="B82" s="9">
        <v>45932</v>
      </c>
      <c r="C82">
        <v>7</v>
      </c>
      <c r="D82">
        <v>2081.31</v>
      </c>
    </row>
    <row r="83" spans="1:4">
      <c r="A83" t="s">
        <v>60</v>
      </c>
      <c r="B83" s="9">
        <v>45818</v>
      </c>
      <c r="C83">
        <v>6</v>
      </c>
      <c r="D83">
        <v>520.07</v>
      </c>
    </row>
    <row r="84" spans="1:4">
      <c r="A84" t="s">
        <v>197</v>
      </c>
      <c r="B84" s="9">
        <v>45969</v>
      </c>
      <c r="C84">
        <v>5</v>
      </c>
      <c r="D84">
        <v>646.32</v>
      </c>
    </row>
    <row r="85" spans="1:4">
      <c r="A85" t="s">
        <v>35</v>
      </c>
      <c r="B85" s="9">
        <v>45931</v>
      </c>
      <c r="C85">
        <v>6</v>
      </c>
      <c r="D85">
        <v>772.27</v>
      </c>
    </row>
    <row r="86" spans="1:4">
      <c r="A86" t="s">
        <v>121</v>
      </c>
      <c r="B86" s="9">
        <v>45993</v>
      </c>
      <c r="C86">
        <v>5</v>
      </c>
      <c r="D86">
        <v>2011.8</v>
      </c>
    </row>
    <row r="87" spans="1:4">
      <c r="A87" t="s">
        <v>177</v>
      </c>
      <c r="B87" s="9">
        <v>45726</v>
      </c>
      <c r="C87">
        <v>6</v>
      </c>
      <c r="D87">
        <v>1330.15</v>
      </c>
    </row>
    <row r="88" spans="1:4">
      <c r="A88" t="s">
        <v>41</v>
      </c>
      <c r="B88" s="9">
        <v>45963</v>
      </c>
      <c r="C88">
        <v>10</v>
      </c>
      <c r="D88">
        <v>3128.79</v>
      </c>
    </row>
    <row r="89" spans="1:4">
      <c r="A89" t="s">
        <v>36</v>
      </c>
      <c r="B89" s="9">
        <v>45994</v>
      </c>
      <c r="C89">
        <v>6</v>
      </c>
      <c r="D89">
        <v>642.16</v>
      </c>
    </row>
    <row r="90" spans="1:4">
      <c r="A90" t="s">
        <v>142</v>
      </c>
      <c r="B90" s="9">
        <v>45658</v>
      </c>
      <c r="C90">
        <v>4</v>
      </c>
      <c r="D90">
        <v>661.28</v>
      </c>
    </row>
    <row r="91" spans="1:4">
      <c r="A91" t="s">
        <v>88</v>
      </c>
      <c r="B91" s="9">
        <v>45809</v>
      </c>
      <c r="C91">
        <v>6</v>
      </c>
      <c r="D91">
        <v>774.04</v>
      </c>
    </row>
    <row r="92" spans="1:4">
      <c r="A92" t="s">
        <v>30</v>
      </c>
      <c r="B92" s="9">
        <v>45998</v>
      </c>
      <c r="C92">
        <v>7</v>
      </c>
      <c r="D92">
        <v>1351.7</v>
      </c>
    </row>
    <row r="93" spans="1:4">
      <c r="A93" t="s">
        <v>19</v>
      </c>
      <c r="B93" s="9">
        <v>45692</v>
      </c>
      <c r="C93">
        <v>3</v>
      </c>
      <c r="D93">
        <v>1350.81</v>
      </c>
    </row>
    <row r="94" spans="1:4">
      <c r="A94" t="s">
        <v>51</v>
      </c>
      <c r="B94" s="9">
        <v>45874</v>
      </c>
      <c r="C94">
        <v>9</v>
      </c>
      <c r="D94">
        <v>2677.25</v>
      </c>
    </row>
    <row r="95" spans="1:4">
      <c r="A95" t="s">
        <v>59</v>
      </c>
      <c r="B95" s="9">
        <v>45874</v>
      </c>
      <c r="C95">
        <v>5</v>
      </c>
      <c r="D95">
        <v>581.38</v>
      </c>
    </row>
    <row r="96" spans="1:4">
      <c r="A96" t="s">
        <v>8</v>
      </c>
      <c r="B96" s="9">
        <v>45968</v>
      </c>
      <c r="C96">
        <v>4</v>
      </c>
      <c r="D96">
        <v>657.43</v>
      </c>
    </row>
    <row r="97" spans="1:4">
      <c r="A97" t="s">
        <v>76</v>
      </c>
      <c r="B97" s="9">
        <v>45848</v>
      </c>
      <c r="C97">
        <v>5</v>
      </c>
      <c r="D97">
        <v>506.57</v>
      </c>
    </row>
    <row r="98" spans="1:4">
      <c r="A98" t="s">
        <v>49</v>
      </c>
      <c r="B98" s="9">
        <v>45964</v>
      </c>
      <c r="C98">
        <v>8</v>
      </c>
      <c r="D98">
        <v>2927.46</v>
      </c>
    </row>
    <row r="99" spans="1:4">
      <c r="A99" t="s">
        <v>110</v>
      </c>
      <c r="B99" s="9">
        <v>45788</v>
      </c>
      <c r="C99">
        <v>8</v>
      </c>
      <c r="D99">
        <v>1673.85</v>
      </c>
    </row>
    <row r="100" spans="1:4">
      <c r="A100" t="s">
        <v>83</v>
      </c>
      <c r="B100" s="9">
        <v>46000</v>
      </c>
      <c r="C100">
        <v>9</v>
      </c>
      <c r="D100">
        <v>1036.29</v>
      </c>
    </row>
    <row r="101" spans="1:4">
      <c r="A101" t="s">
        <v>101</v>
      </c>
      <c r="B101" s="9">
        <v>45998</v>
      </c>
      <c r="C101">
        <v>5</v>
      </c>
      <c r="D101">
        <v>1748.76</v>
      </c>
    </row>
    <row r="102" spans="1:4">
      <c r="A102" t="s">
        <v>179</v>
      </c>
      <c r="B102" s="9">
        <v>45995</v>
      </c>
      <c r="C102">
        <v>7</v>
      </c>
      <c r="D102">
        <v>1533.74</v>
      </c>
    </row>
    <row r="103" spans="1:4">
      <c r="A103" t="s">
        <v>189</v>
      </c>
      <c r="B103" s="9">
        <v>45940</v>
      </c>
      <c r="C103">
        <v>4</v>
      </c>
      <c r="D103">
        <v>582.35</v>
      </c>
    </row>
    <row r="104" spans="1:4">
      <c r="A104" t="s">
        <v>158</v>
      </c>
      <c r="B104" s="9">
        <v>45872</v>
      </c>
      <c r="C104">
        <v>8</v>
      </c>
      <c r="D104">
        <v>2447.7</v>
      </c>
    </row>
    <row r="105" spans="1:4">
      <c r="A105" t="s">
        <v>111</v>
      </c>
      <c r="B105" s="9">
        <v>45723</v>
      </c>
      <c r="C105">
        <v>2</v>
      </c>
      <c r="D105">
        <v>323.58</v>
      </c>
    </row>
    <row r="106" spans="1:4">
      <c r="A106" t="s">
        <v>64</v>
      </c>
      <c r="B106" s="9">
        <v>45968</v>
      </c>
      <c r="C106">
        <v>8</v>
      </c>
      <c r="D106">
        <v>1549.77</v>
      </c>
    </row>
    <row r="107" spans="1:4">
      <c r="A107" t="s">
        <v>188</v>
      </c>
      <c r="B107" s="9">
        <v>45849</v>
      </c>
      <c r="C107">
        <v>6</v>
      </c>
      <c r="D107">
        <v>2399.5</v>
      </c>
    </row>
    <row r="108" spans="1:4">
      <c r="A108" t="s">
        <v>11</v>
      </c>
      <c r="B108" s="9">
        <v>45970</v>
      </c>
      <c r="C108">
        <v>5</v>
      </c>
      <c r="D108">
        <v>1186.21</v>
      </c>
    </row>
    <row r="109" spans="1:4">
      <c r="A109" t="s">
        <v>17</v>
      </c>
      <c r="B109" s="9">
        <v>46002</v>
      </c>
      <c r="C109">
        <v>7</v>
      </c>
      <c r="D109">
        <v>865.42</v>
      </c>
    </row>
    <row r="110" spans="1:4">
      <c r="A110" t="s">
        <v>14</v>
      </c>
      <c r="B110" s="9">
        <v>45967</v>
      </c>
      <c r="C110">
        <v>9</v>
      </c>
      <c r="D110">
        <v>542.88</v>
      </c>
    </row>
    <row r="111" spans="1:4">
      <c r="A111" t="s">
        <v>108</v>
      </c>
      <c r="B111" s="9">
        <v>45904</v>
      </c>
      <c r="C111">
        <v>8</v>
      </c>
      <c r="D111">
        <v>1070.32</v>
      </c>
    </row>
    <row r="112" spans="1:4">
      <c r="A112" t="s">
        <v>70</v>
      </c>
      <c r="B112" s="9">
        <v>45758</v>
      </c>
      <c r="C112">
        <v>8</v>
      </c>
      <c r="D112">
        <v>1338.59</v>
      </c>
    </row>
    <row r="113" spans="1:4">
      <c r="A113" t="s">
        <v>71</v>
      </c>
      <c r="B113" s="9">
        <v>45999</v>
      </c>
      <c r="C113">
        <v>6</v>
      </c>
      <c r="D113">
        <v>785.42</v>
      </c>
    </row>
    <row r="114" spans="1:4">
      <c r="A114" t="s">
        <v>122</v>
      </c>
      <c r="B114" s="9">
        <v>45849</v>
      </c>
      <c r="C114">
        <v>6</v>
      </c>
      <c r="D114">
        <v>1216.13</v>
      </c>
    </row>
    <row r="115" spans="1:4">
      <c r="A115" t="s">
        <v>18</v>
      </c>
      <c r="B115" s="9">
        <v>46000</v>
      </c>
      <c r="C115">
        <v>8</v>
      </c>
      <c r="D115">
        <v>934.77</v>
      </c>
    </row>
    <row r="116" spans="1:4">
      <c r="A116" t="s">
        <v>89</v>
      </c>
      <c r="B116" s="9">
        <v>45999</v>
      </c>
      <c r="C116">
        <v>5</v>
      </c>
      <c r="D116">
        <v>1607.03</v>
      </c>
    </row>
    <row r="117" spans="1:4">
      <c r="A117" t="s">
        <v>54</v>
      </c>
      <c r="B117" s="9">
        <v>45849</v>
      </c>
      <c r="C117">
        <v>7</v>
      </c>
      <c r="D117">
        <v>3070.94</v>
      </c>
    </row>
    <row r="118" spans="1:4">
      <c r="A118" t="s">
        <v>106</v>
      </c>
      <c r="B118" s="9">
        <v>45965</v>
      </c>
      <c r="C118">
        <v>9</v>
      </c>
      <c r="D118">
        <v>2342.37</v>
      </c>
    </row>
    <row r="119" spans="1:4">
      <c r="A119" t="s">
        <v>194</v>
      </c>
      <c r="B119" s="9">
        <v>45814</v>
      </c>
      <c r="C119">
        <v>6</v>
      </c>
      <c r="D119">
        <v>1598.92</v>
      </c>
    </row>
    <row r="120" spans="1:4">
      <c r="A120" t="s">
        <v>21</v>
      </c>
      <c r="B120" s="9">
        <v>45819</v>
      </c>
      <c r="C120">
        <v>9</v>
      </c>
      <c r="D120">
        <v>2581.8</v>
      </c>
    </row>
    <row r="121" spans="1:4">
      <c r="A121" t="s">
        <v>57</v>
      </c>
      <c r="B121" s="9">
        <v>46001</v>
      </c>
      <c r="C121">
        <v>6</v>
      </c>
      <c r="D121">
        <v>1318.48</v>
      </c>
    </row>
    <row r="122" spans="1:4">
      <c r="A122" t="s">
        <v>166</v>
      </c>
      <c r="B122" s="9">
        <v>45819</v>
      </c>
      <c r="C122">
        <v>10</v>
      </c>
      <c r="D122">
        <v>2882.8</v>
      </c>
    </row>
    <row r="123" spans="1:4">
      <c r="A123" t="s">
        <v>193</v>
      </c>
      <c r="B123" s="9">
        <v>45969</v>
      </c>
      <c r="C123">
        <v>7</v>
      </c>
      <c r="D123">
        <v>2560.71</v>
      </c>
    </row>
    <row r="124" spans="1:4">
      <c r="A124" t="s">
        <v>24</v>
      </c>
      <c r="B124" s="9">
        <v>45874</v>
      </c>
      <c r="C124">
        <v>4</v>
      </c>
      <c r="D124">
        <v>385.4</v>
      </c>
    </row>
    <row r="125" spans="1:4">
      <c r="A125" t="s">
        <v>153</v>
      </c>
      <c r="B125" s="9">
        <v>45970</v>
      </c>
      <c r="C125">
        <v>4</v>
      </c>
      <c r="D125">
        <v>230.02</v>
      </c>
    </row>
    <row r="126" spans="1:4">
      <c r="A126" t="s">
        <v>46</v>
      </c>
      <c r="B126" s="9">
        <v>45935</v>
      </c>
      <c r="C126">
        <v>6</v>
      </c>
      <c r="D126">
        <v>715.78</v>
      </c>
    </row>
    <row r="127" spans="1:4">
      <c r="A127" t="s">
        <v>184</v>
      </c>
      <c r="B127" s="9">
        <v>45720</v>
      </c>
      <c r="C127">
        <v>7</v>
      </c>
      <c r="D127">
        <v>1047.6</v>
      </c>
    </row>
    <row r="128" spans="1:4">
      <c r="A128" t="s">
        <v>547</v>
      </c>
      <c r="B128" s="9">
        <v>45905</v>
      </c>
      <c r="C128">
        <v>2</v>
      </c>
      <c r="D128">
        <v>574.12</v>
      </c>
    </row>
    <row r="129" spans="1:4">
      <c r="A129" t="s">
        <v>22</v>
      </c>
      <c r="B129" s="9">
        <v>45840</v>
      </c>
      <c r="C129">
        <v>10</v>
      </c>
      <c r="D129">
        <v>1859.96</v>
      </c>
    </row>
    <row r="130" spans="1:4">
      <c r="A130" t="s">
        <v>43</v>
      </c>
      <c r="B130" s="9">
        <v>45994</v>
      </c>
      <c r="C130">
        <v>9</v>
      </c>
      <c r="D130">
        <v>1200.88</v>
      </c>
    </row>
    <row r="131" spans="1:4">
      <c r="A131" t="s">
        <v>154</v>
      </c>
      <c r="B131" s="9">
        <v>45964</v>
      </c>
      <c r="C131">
        <v>4</v>
      </c>
      <c r="D131">
        <v>1077.62</v>
      </c>
    </row>
    <row r="132" spans="1:4">
      <c r="A132" t="s">
        <v>95</v>
      </c>
      <c r="B132" s="9">
        <v>45939</v>
      </c>
      <c r="C132">
        <v>9</v>
      </c>
      <c r="D132">
        <v>2674.51</v>
      </c>
    </row>
    <row r="133" spans="1:4">
      <c r="A133" t="s">
        <v>55</v>
      </c>
      <c r="B133" s="9">
        <v>45849</v>
      </c>
      <c r="C133">
        <v>7</v>
      </c>
      <c r="D133">
        <v>452.71</v>
      </c>
    </row>
    <row r="134" spans="1:4">
      <c r="A134" t="s">
        <v>195</v>
      </c>
      <c r="B134" s="9">
        <v>45999</v>
      </c>
      <c r="C134">
        <v>8</v>
      </c>
      <c r="D134">
        <v>2031.62</v>
      </c>
    </row>
    <row r="135" spans="1:4">
      <c r="A135" t="s">
        <v>69</v>
      </c>
      <c r="B135" s="9">
        <v>45967</v>
      </c>
      <c r="C135">
        <v>4</v>
      </c>
      <c r="D135">
        <v>996.36</v>
      </c>
    </row>
    <row r="136" spans="1:4">
      <c r="A136" t="s">
        <v>28</v>
      </c>
      <c r="B136" s="9">
        <v>45931</v>
      </c>
      <c r="C136">
        <v>11</v>
      </c>
      <c r="D136">
        <v>1833.51</v>
      </c>
    </row>
    <row r="137" spans="1:4">
      <c r="A137" t="s">
        <v>176</v>
      </c>
      <c r="B137" s="9">
        <v>45934</v>
      </c>
      <c r="C137">
        <v>9</v>
      </c>
      <c r="D137">
        <v>2959.01</v>
      </c>
    </row>
    <row r="138" spans="1:4">
      <c r="A138" t="s">
        <v>147</v>
      </c>
      <c r="B138" s="9">
        <v>45910</v>
      </c>
      <c r="C138">
        <v>6</v>
      </c>
      <c r="D138">
        <v>782.91</v>
      </c>
    </row>
    <row r="139" spans="1:4">
      <c r="A139" t="s">
        <v>124</v>
      </c>
      <c r="B139" s="9">
        <v>45692</v>
      </c>
      <c r="C139">
        <v>4</v>
      </c>
      <c r="D139">
        <v>1283.82</v>
      </c>
    </row>
    <row r="140" spans="1:4">
      <c r="A140" t="s">
        <v>113</v>
      </c>
      <c r="B140" s="9">
        <v>45965</v>
      </c>
      <c r="C140">
        <v>5</v>
      </c>
      <c r="D140">
        <v>695.33</v>
      </c>
    </row>
    <row r="141" spans="1:4">
      <c r="A141" t="s">
        <v>72</v>
      </c>
      <c r="B141" s="9">
        <v>45993</v>
      </c>
      <c r="C141">
        <v>5</v>
      </c>
      <c r="D141">
        <v>968.09</v>
      </c>
    </row>
    <row r="142" spans="1:4">
      <c r="A142" t="s">
        <v>74</v>
      </c>
      <c r="B142" s="9">
        <v>45999</v>
      </c>
      <c r="C142">
        <v>10</v>
      </c>
      <c r="D142">
        <v>1938.54</v>
      </c>
    </row>
    <row r="143" spans="1:4">
      <c r="A143" t="s">
        <v>116</v>
      </c>
      <c r="B143" s="9">
        <v>45753</v>
      </c>
      <c r="C143">
        <v>8</v>
      </c>
      <c r="D143">
        <v>1171.82</v>
      </c>
    </row>
    <row r="144" spans="1:4">
      <c r="A144" t="s">
        <v>200</v>
      </c>
      <c r="B144" s="9">
        <v>45783</v>
      </c>
      <c r="C144">
        <v>7</v>
      </c>
      <c r="D144">
        <v>752.68</v>
      </c>
    </row>
    <row r="145" spans="1:4">
      <c r="A145" t="s">
        <v>91</v>
      </c>
      <c r="B145" s="9">
        <v>45965</v>
      </c>
      <c r="C145">
        <v>6</v>
      </c>
      <c r="D145">
        <v>1221.02</v>
      </c>
    </row>
    <row r="146" spans="1:4">
      <c r="A146" t="s">
        <v>87</v>
      </c>
      <c r="B146" s="9">
        <v>45993</v>
      </c>
      <c r="C146">
        <v>10</v>
      </c>
      <c r="D146">
        <v>3078.09</v>
      </c>
    </row>
    <row r="147" spans="1:4">
      <c r="A147" t="s">
        <v>181</v>
      </c>
      <c r="B147" s="9">
        <v>45878</v>
      </c>
      <c r="C147">
        <v>10</v>
      </c>
      <c r="D147">
        <v>1108.84</v>
      </c>
    </row>
    <row r="148" spans="1:4">
      <c r="A148" t="s">
        <v>53</v>
      </c>
      <c r="B148" s="9">
        <v>45871</v>
      </c>
      <c r="C148">
        <v>5</v>
      </c>
      <c r="D148">
        <v>1719.44</v>
      </c>
    </row>
    <row r="149" spans="1:4">
      <c r="A149" t="s">
        <v>5</v>
      </c>
      <c r="B149" s="9">
        <v>45841</v>
      </c>
      <c r="C149">
        <v>5</v>
      </c>
      <c r="D149">
        <v>547.09</v>
      </c>
    </row>
    <row r="150" spans="1:4">
      <c r="A150" t="s">
        <v>157</v>
      </c>
      <c r="B150" s="9">
        <v>45994</v>
      </c>
      <c r="C150">
        <v>6</v>
      </c>
      <c r="D150">
        <v>2154.57</v>
      </c>
    </row>
    <row r="151" spans="1:4">
      <c r="A151" t="s">
        <v>167</v>
      </c>
      <c r="B151" s="9">
        <v>45879</v>
      </c>
      <c r="C151">
        <v>8</v>
      </c>
      <c r="D151">
        <v>1776.83</v>
      </c>
    </row>
    <row r="152" spans="1:4">
      <c r="A152" t="s">
        <v>73</v>
      </c>
      <c r="B152" s="9">
        <v>45993</v>
      </c>
      <c r="C152">
        <v>5</v>
      </c>
      <c r="D152">
        <v>1760.4</v>
      </c>
    </row>
    <row r="153" spans="1:4">
      <c r="A153" t="s">
        <v>10</v>
      </c>
      <c r="B153" s="9">
        <v>45909</v>
      </c>
      <c r="C153">
        <v>5</v>
      </c>
      <c r="D153">
        <v>956.06</v>
      </c>
    </row>
    <row r="154" spans="1:4">
      <c r="A154" t="s">
        <v>84</v>
      </c>
      <c r="B154" s="9">
        <v>45939</v>
      </c>
      <c r="C154">
        <v>9</v>
      </c>
      <c r="D154">
        <v>3022.36</v>
      </c>
    </row>
    <row r="155" spans="1:4">
      <c r="A155" t="s">
        <v>146</v>
      </c>
      <c r="B155" s="9">
        <v>45901</v>
      </c>
      <c r="C155">
        <v>9</v>
      </c>
      <c r="D155">
        <v>2324.47</v>
      </c>
    </row>
    <row r="156" spans="1:4">
      <c r="A156" t="s">
        <v>155</v>
      </c>
      <c r="B156" s="9">
        <v>45903</v>
      </c>
      <c r="C156">
        <v>7</v>
      </c>
      <c r="D156">
        <v>794.68</v>
      </c>
    </row>
    <row r="157" spans="1:4">
      <c r="A157" t="s">
        <v>138</v>
      </c>
      <c r="B157" s="9">
        <v>45839</v>
      </c>
      <c r="C157">
        <v>7</v>
      </c>
      <c r="D157">
        <v>633.4</v>
      </c>
    </row>
    <row r="158" spans="1:4">
      <c r="A158" t="s">
        <v>127</v>
      </c>
      <c r="B158" s="9">
        <v>45993</v>
      </c>
      <c r="C158">
        <v>9</v>
      </c>
      <c r="D158">
        <v>1006.13</v>
      </c>
    </row>
    <row r="159" spans="1:4">
      <c r="A159" t="s">
        <v>39</v>
      </c>
      <c r="B159" s="9">
        <v>45999</v>
      </c>
      <c r="C159">
        <v>9</v>
      </c>
      <c r="D159">
        <v>829.48</v>
      </c>
    </row>
    <row r="160" spans="1:4">
      <c r="A160" t="s">
        <v>67</v>
      </c>
      <c r="B160" s="9">
        <v>45940</v>
      </c>
      <c r="C160">
        <v>8</v>
      </c>
      <c r="D160">
        <v>617.65</v>
      </c>
    </row>
    <row r="161" spans="1:4">
      <c r="A161" t="s">
        <v>103</v>
      </c>
      <c r="B161" s="9">
        <v>45967</v>
      </c>
      <c r="C161">
        <v>7</v>
      </c>
      <c r="D161">
        <v>1242.77</v>
      </c>
    </row>
    <row r="162" spans="1:4">
      <c r="A162" t="s">
        <v>37</v>
      </c>
      <c r="B162" s="9">
        <v>45814</v>
      </c>
      <c r="C162">
        <v>7</v>
      </c>
      <c r="D162">
        <v>1438.07</v>
      </c>
    </row>
    <row r="163" spans="1:4">
      <c r="A163" t="s">
        <v>34</v>
      </c>
      <c r="B163" s="9">
        <v>45996</v>
      </c>
      <c r="C163">
        <v>8</v>
      </c>
      <c r="D163">
        <v>2078.99</v>
      </c>
    </row>
    <row r="164" spans="1:4">
      <c r="A164" t="s">
        <v>86</v>
      </c>
      <c r="B164" s="9">
        <v>45813</v>
      </c>
      <c r="C164">
        <v>9</v>
      </c>
      <c r="D164">
        <v>1456.39</v>
      </c>
    </row>
    <row r="165" spans="1:4">
      <c r="A165" t="s">
        <v>174</v>
      </c>
      <c r="B165" s="9">
        <v>45999</v>
      </c>
      <c r="C165">
        <v>4</v>
      </c>
      <c r="D165">
        <v>578.47</v>
      </c>
    </row>
    <row r="166" spans="1:4">
      <c r="A166" t="s">
        <v>151</v>
      </c>
      <c r="B166" s="9">
        <v>45998</v>
      </c>
      <c r="C166">
        <v>6</v>
      </c>
      <c r="D166">
        <v>2011.41</v>
      </c>
    </row>
    <row r="167" spans="1:4">
      <c r="A167" t="s">
        <v>100</v>
      </c>
      <c r="B167" s="9">
        <v>45967</v>
      </c>
      <c r="C167">
        <v>3</v>
      </c>
      <c r="D167">
        <v>405.17</v>
      </c>
    </row>
    <row r="168" spans="1:4">
      <c r="A168" t="s">
        <v>99</v>
      </c>
      <c r="B168" s="9">
        <v>45932</v>
      </c>
      <c r="C168">
        <v>7</v>
      </c>
      <c r="D168">
        <v>1970.21</v>
      </c>
    </row>
    <row r="169" spans="1:4">
      <c r="A169" t="s">
        <v>20</v>
      </c>
      <c r="B169" s="9">
        <v>46001</v>
      </c>
      <c r="C169">
        <v>7</v>
      </c>
      <c r="D169">
        <v>2811.65</v>
      </c>
    </row>
    <row r="170" spans="1:4">
      <c r="A170" t="s">
        <v>126</v>
      </c>
      <c r="B170" s="9">
        <v>45849</v>
      </c>
      <c r="C170">
        <v>9</v>
      </c>
      <c r="D170">
        <v>1369.63</v>
      </c>
    </row>
    <row r="171" spans="1:4">
      <c r="A171" t="s">
        <v>173</v>
      </c>
      <c r="B171" s="9">
        <v>45972</v>
      </c>
      <c r="C171">
        <v>6</v>
      </c>
      <c r="D171">
        <v>742.42</v>
      </c>
    </row>
    <row r="172" spans="1:4">
      <c r="A172" t="s">
        <v>48</v>
      </c>
      <c r="B172" s="9">
        <v>45994</v>
      </c>
      <c r="C172">
        <v>7</v>
      </c>
      <c r="D172">
        <v>1268.7</v>
      </c>
    </row>
    <row r="173" spans="1:4">
      <c r="A173" t="s">
        <v>198</v>
      </c>
      <c r="B173" s="9">
        <v>45931</v>
      </c>
      <c r="C173">
        <v>6</v>
      </c>
      <c r="D173">
        <v>1321.11</v>
      </c>
    </row>
    <row r="174" spans="1:4">
      <c r="A174" t="s">
        <v>130</v>
      </c>
      <c r="B174" s="9">
        <v>45905</v>
      </c>
      <c r="C174">
        <v>8</v>
      </c>
      <c r="D174">
        <v>2116.98</v>
      </c>
    </row>
    <row r="175" spans="1:4">
      <c r="A175" t="s">
        <v>94</v>
      </c>
      <c r="B175" s="9">
        <v>45970</v>
      </c>
      <c r="C175">
        <v>8</v>
      </c>
      <c r="D175">
        <v>546.26</v>
      </c>
    </row>
    <row r="176" spans="1:4">
      <c r="A176" t="s">
        <v>32</v>
      </c>
      <c r="B176" s="9">
        <v>45874</v>
      </c>
      <c r="C176">
        <v>7</v>
      </c>
      <c r="D176">
        <v>2429.09</v>
      </c>
    </row>
    <row r="177" spans="1:4">
      <c r="A177" t="s">
        <v>117</v>
      </c>
      <c r="B177" s="9">
        <v>45967</v>
      </c>
      <c r="C177">
        <v>8</v>
      </c>
      <c r="D177">
        <v>1514.58</v>
      </c>
    </row>
    <row r="178" spans="1:4">
      <c r="A178" t="s">
        <v>45</v>
      </c>
      <c r="B178" s="9">
        <v>45908</v>
      </c>
      <c r="C178">
        <v>5</v>
      </c>
      <c r="D178">
        <v>609.43</v>
      </c>
    </row>
    <row r="179" spans="1:4">
      <c r="A179" t="s">
        <v>132</v>
      </c>
      <c r="B179" s="9">
        <v>45840</v>
      </c>
      <c r="C179">
        <v>2</v>
      </c>
      <c r="D179">
        <v>104.19</v>
      </c>
    </row>
    <row r="180" spans="1:4">
      <c r="A180" t="s">
        <v>109</v>
      </c>
      <c r="B180" s="9">
        <v>45966</v>
      </c>
      <c r="C180">
        <v>9</v>
      </c>
      <c r="D180">
        <v>2824.15</v>
      </c>
    </row>
    <row r="181" spans="1:4">
      <c r="A181" t="s">
        <v>23</v>
      </c>
      <c r="B181" s="9">
        <v>45726</v>
      </c>
      <c r="C181">
        <v>4</v>
      </c>
      <c r="D181">
        <v>325.88</v>
      </c>
    </row>
    <row r="182" spans="1:4">
      <c r="A182" t="s">
        <v>144</v>
      </c>
      <c r="B182" s="9">
        <v>45814</v>
      </c>
      <c r="C182">
        <v>9</v>
      </c>
      <c r="D182">
        <v>2266.37</v>
      </c>
    </row>
    <row r="183" spans="1:4">
      <c r="A183" t="s">
        <v>237</v>
      </c>
      <c r="B183" s="9">
        <v>46002</v>
      </c>
      <c r="C183">
        <v>1158</v>
      </c>
      <c r="D183">
        <v>235738.29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2"/>
  <sheetViews>
    <sheetView tabSelected="1" topLeftCell="B1" workbookViewId="0">
      <selection activeCell="A36" sqref="A36"/>
    </sheetView>
  </sheetViews>
  <sheetFormatPr defaultColWidth="9" defaultRowHeight="16.8"/>
  <cols>
    <col min="1" max="1" width="29.6875" customWidth="1"/>
    <col min="2" max="2" width="21.875" customWidth="1"/>
    <col min="3" max="4" width="13.1484375" customWidth="1"/>
    <col min="5" max="5" width="19.6640625" customWidth="1"/>
    <col min="6" max="6" width="10.2734375" customWidth="1"/>
    <col min="7" max="7" width="10.9375" customWidth="1"/>
    <col min="8" max="8" width="10.8046875" customWidth="1"/>
    <col min="9" max="9" width="17.578125" customWidth="1"/>
    <col min="10" max="10" width="18.234375" customWidth="1"/>
    <col min="12" max="12" width="13.40625" customWidth="1"/>
    <col min="13" max="13" width="19.140625" customWidth="1"/>
  </cols>
  <sheetData>
    <row r="1" spans="2:3">
      <c r="B1" t="s">
        <v>1588</v>
      </c>
      <c r="C1" s="6">
        <f>DATE(2025,12,15)</f>
        <v>46006</v>
      </c>
    </row>
    <row r="3" spans="1:10">
      <c r="A3" s="7" t="s">
        <v>0</v>
      </c>
      <c r="B3" s="8" t="s">
        <v>1589</v>
      </c>
      <c r="C3" s="7" t="s">
        <v>1590</v>
      </c>
      <c r="D3" s="7" t="s">
        <v>1591</v>
      </c>
      <c r="E3" s="7" t="s">
        <v>1592</v>
      </c>
      <c r="F3" t="s">
        <v>1593</v>
      </c>
      <c r="G3" t="s">
        <v>1594</v>
      </c>
      <c r="H3" t="s">
        <v>1595</v>
      </c>
      <c r="I3" t="s">
        <v>1596</v>
      </c>
      <c r="J3" t="s">
        <v>1597</v>
      </c>
    </row>
    <row r="4" spans="1:10">
      <c r="A4" t="s">
        <v>152</v>
      </c>
      <c r="B4" s="9">
        <v>45785</v>
      </c>
      <c r="C4" s="10">
        <f>DATEDIF(B4,$C$1,"d")</f>
        <v>221</v>
      </c>
      <c r="D4">
        <v>8</v>
      </c>
      <c r="E4">
        <v>1248.55</v>
      </c>
      <c r="F4" s="10">
        <f>ROUND((1-_xlfn.PERCENTRANK.INC($C$4:$C$182,C4))*9,0)</f>
        <v>1</v>
      </c>
      <c r="G4" s="10">
        <f>ROUND((1-_xlfn.PERCENTRANK.INC($D$4:$D$182,D4))*9,0)</f>
        <v>3</v>
      </c>
      <c r="H4" s="10">
        <f>ROUND((1-_xlfn.PERCENTRANK.INC($E$4:$E$182,E4))*9,0)</f>
        <v>4</v>
      </c>
      <c r="I4" s="10" t="str">
        <f t="shared" ref="I4:I67" si="0">CONCATENATE(F4,G4,H4)</f>
        <v>134</v>
      </c>
      <c r="J4" s="10" t="str" cm="1">
        <f t="array" ref="J4">_xlfn.IFS(AND(F4&gt;=8,G4&gt;=8,H4&gt;=8),"Champion",AND(F4&gt;=6,G4&gt;=7,H4&gt;=6),"Loyal Customer",AND(F4&gt;=6,G4&gt;=5,H4&gt;=5),"Potential Loyalist",AND(F4&gt;=8,G4&gt;=2,H4&gt;=5),"New Customers",AND(F4&gt;=6,G4&gt;=2,H4&gt;=3),"Promising",AND(F4&gt;=3,G4&gt;=3,H4&gt;=3),"Need Attention",AND(F4&gt;=4,G4&gt;=6,H4&gt;=6),"At Risk",AND(F4&gt;=2,G4&gt;=8,H4&gt;=8),"Can't Lose Them",AND(F4&gt;=2,G4&gt;=2,H4&gt;=2),"Hibernating",TRUE,"Other")</f>
        <v>Other</v>
      </c>
    </row>
    <row r="5" spans="1:10">
      <c r="A5" t="s">
        <v>65</v>
      </c>
      <c r="B5" s="9">
        <v>45843</v>
      </c>
      <c r="C5" s="10">
        <f>DATEDIF(B5,$C$1,"d")</f>
        <v>163</v>
      </c>
      <c r="D5">
        <v>10</v>
      </c>
      <c r="E5">
        <v>825.56</v>
      </c>
      <c r="F5" s="10">
        <f>ROUND((1-_xlfn.PERCENTRANK.INC($C$4:$C$182,C5))*9,0)</f>
        <v>2</v>
      </c>
      <c r="G5" s="10">
        <f>ROUND((1-_xlfn.PERCENTRANK.INC($D$4:$D$182,D5))*9,0)</f>
        <v>0</v>
      </c>
      <c r="H5" s="10">
        <f>ROUND((1-_xlfn.PERCENTRANK.INC($E$4:$E$182,E5))*9,0)</f>
        <v>6</v>
      </c>
      <c r="I5" s="10" t="str">
        <f t="shared" si="0"/>
        <v>206</v>
      </c>
      <c r="J5" s="10" t="str" cm="1">
        <f t="array" ref="J5">_xlfn.IFS(AND(F5&gt;=8,G5&gt;=8,H5&gt;=8),"Champion",AND(F5&gt;=6,G5&gt;=7,H5&gt;=6),"Loyal Customer",AND(F5&gt;=6,G5&gt;=5,H5&gt;=5),"Potential Loyalist",AND(F5&gt;=8,G5&gt;=2,H5&gt;=5),"New Customers",AND(F5&gt;=6,G5&gt;=2,H5&gt;=3),"Promising",AND(F5&gt;=3,G5&gt;=3,H5&gt;=3),"Need Attention",AND(F5&gt;=4,G5&gt;=6,H5&gt;=6),"At Risk",AND(F5&gt;=2,G5&gt;=8,H5&gt;=8),"Can't Lose Them",AND(F5&gt;=2,G5&gt;=2,H5&gt;=2),"Hibernating",TRUE,"Other")</f>
        <v>Other</v>
      </c>
    </row>
    <row r="6" spans="1:10">
      <c r="A6" t="s">
        <v>129</v>
      </c>
      <c r="B6" s="9">
        <v>45969</v>
      </c>
      <c r="C6" s="10">
        <f>DATEDIF(B6,$C$1,"d")</f>
        <v>37</v>
      </c>
      <c r="D6">
        <v>8</v>
      </c>
      <c r="E6">
        <v>1953.64</v>
      </c>
      <c r="F6" s="10">
        <f>ROUND((1-_xlfn.PERCENTRANK.INC($C$4:$C$182,C6))*9,0)</f>
        <v>7</v>
      </c>
      <c r="G6" s="10">
        <f>ROUND((1-_xlfn.PERCENTRANK.INC($D$4:$D$182,D6))*9,0)</f>
        <v>3</v>
      </c>
      <c r="H6" s="10">
        <f>ROUND((1-_xlfn.PERCENTRANK.INC($E$4:$E$182,E6))*9,0)</f>
        <v>2</v>
      </c>
      <c r="I6" s="10" t="str">
        <f t="shared" si="0"/>
        <v>732</v>
      </c>
      <c r="J6" s="10" t="str" cm="1">
        <f t="array" ref="J6">_xlfn.IFS(AND(F6&gt;=8,G6&gt;=8,H6&gt;=8),"Champion",AND(F6&gt;=6,G6&gt;=7,H6&gt;=6),"Loyal Customer",AND(F6&gt;=6,G6&gt;=5,H6&gt;=5),"Potential Loyalist",AND(F6&gt;=8,G6&gt;=2,H6&gt;=5),"New Customers",AND(F6&gt;=6,G6&gt;=2,H6&gt;=3),"Promising",AND(F6&gt;=3,G6&gt;=3,H6&gt;=3),"Need Attention",AND(F6&gt;=4,G6&gt;=6,H6&gt;=6),"At Risk",AND(F6&gt;=2,G6&gt;=8,H6&gt;=8),"Can't Lose Them",AND(F6&gt;=2,G6&gt;=2,H6&gt;=2),"Hibernating",TRUE,"Other")</f>
        <v>Hibernating</v>
      </c>
    </row>
    <row r="7" spans="1:10">
      <c r="A7" t="s">
        <v>165</v>
      </c>
      <c r="B7" s="9">
        <v>45932</v>
      </c>
      <c r="C7" s="10">
        <f>DATEDIF(B7,$C$1,"d")</f>
        <v>74</v>
      </c>
      <c r="D7">
        <v>6</v>
      </c>
      <c r="E7">
        <v>1068.08</v>
      </c>
      <c r="F7" s="10">
        <f>ROUND((1-_xlfn.PERCENTRANK.INC($C$4:$C$182,C7))*9,0)</f>
        <v>5</v>
      </c>
      <c r="G7" s="10">
        <f>ROUND((1-_xlfn.PERCENTRANK.INC($D$4:$D$182,D7))*9,0)</f>
        <v>6</v>
      </c>
      <c r="H7" s="10">
        <f>ROUND((1-_xlfn.PERCENTRANK.INC($E$4:$E$182,E7))*9,0)</f>
        <v>5</v>
      </c>
      <c r="I7" s="10" t="str">
        <f t="shared" si="0"/>
        <v>565</v>
      </c>
      <c r="J7" s="10" t="str" cm="1">
        <f t="array" ref="J7">_xlfn.IFS(AND(F7&gt;=8,G7&gt;=8,H7&gt;=8),"Champion",AND(F7&gt;=6,G7&gt;=7,H7&gt;=6),"Loyal Customer",AND(F7&gt;=6,G7&gt;=5,H7&gt;=5),"Potential Loyalist",AND(F7&gt;=8,G7&gt;=2,H7&gt;=5),"New Customers",AND(F7&gt;=6,G7&gt;=2,H7&gt;=3),"Promising",AND(F7&gt;=3,G7&gt;=3,H7&gt;=3),"Need Attention",AND(F7&gt;=4,G7&gt;=6,H7&gt;=6),"At Risk",AND(F7&gt;=2,G7&gt;=8,H7&gt;=8),"Can't Lose Them",AND(F7&gt;=2,G7&gt;=2,H7&gt;=2),"Hibernating",TRUE,"Other")</f>
        <v>Need Attention</v>
      </c>
    </row>
    <row r="8" spans="1:10">
      <c r="A8" t="s">
        <v>161</v>
      </c>
      <c r="B8" s="9">
        <v>46000</v>
      </c>
      <c r="C8" s="10">
        <f>DATEDIF(B8,$C$1,"d")</f>
        <v>6</v>
      </c>
      <c r="D8">
        <v>9</v>
      </c>
      <c r="E8">
        <v>874.11</v>
      </c>
      <c r="F8" s="10">
        <f>ROUND((1-_xlfn.PERCENTRANK.INC($C$4:$C$182,C8))*9,0)</f>
        <v>9</v>
      </c>
      <c r="G8" s="10">
        <f>ROUND((1-_xlfn.PERCENTRANK.INC($D$4:$D$182,D8))*9,0)</f>
        <v>2</v>
      </c>
      <c r="H8" s="10">
        <f>ROUND((1-_xlfn.PERCENTRANK.INC($E$4:$E$182,E8))*9,0)</f>
        <v>6</v>
      </c>
      <c r="I8" s="10" t="str">
        <f t="shared" si="0"/>
        <v>926</v>
      </c>
      <c r="J8" s="10" t="str" cm="1">
        <f t="array" ref="J8">_xlfn.IFS(AND(F8&gt;=8,G8&gt;=8,H8&gt;=8),"Champion",AND(F8&gt;=6,G8&gt;=7,H8&gt;=6),"Loyal Customer",AND(F8&gt;=6,G8&gt;=5,H8&gt;=5),"Potential Loyalist",AND(F8&gt;=8,G8&gt;=2,H8&gt;=5),"New Customers",AND(F8&gt;=6,G8&gt;=2,H8&gt;=3),"Promising",AND(F8&gt;=3,G8&gt;=3,H8&gt;=3),"Need Attention",AND(F8&gt;=4,G8&gt;=6,H8&gt;=6),"At Risk",AND(F8&gt;=2,G8&gt;=8,H8&gt;=8),"Can't Lose Them",AND(F8&gt;=2,G8&gt;=2,H8&gt;=2),"Hibernating",TRUE,"Other")</f>
        <v>New Customers</v>
      </c>
    </row>
    <row r="9" spans="1:10">
      <c r="A9" t="s">
        <v>190</v>
      </c>
      <c r="B9" s="9">
        <v>45844</v>
      </c>
      <c r="C9" s="10">
        <f>DATEDIF(B9,$C$1,"d")</f>
        <v>162</v>
      </c>
      <c r="D9">
        <v>4</v>
      </c>
      <c r="E9">
        <v>547.76</v>
      </c>
      <c r="F9" s="10">
        <f>ROUND((1-_xlfn.PERCENTRANK.INC($C$4:$C$182,C9))*9,0)</f>
        <v>2</v>
      </c>
      <c r="G9" s="10">
        <f>ROUND((1-_xlfn.PERCENTRANK.INC($D$4:$D$182,D9))*9,0)</f>
        <v>8</v>
      </c>
      <c r="H9" s="10">
        <f>ROUND((1-_xlfn.PERCENTRANK.INC($E$4:$E$182,E9))*9,0)</f>
        <v>8</v>
      </c>
      <c r="I9" s="10" t="str">
        <f t="shared" si="0"/>
        <v>288</v>
      </c>
      <c r="J9" s="10" t="str" cm="1">
        <f t="array" ref="J9">_xlfn.IFS(AND(F9&gt;=8,G9&gt;=8,H9&gt;=8),"Champion",AND(F9&gt;=6,G9&gt;=7,H9&gt;=6),"Loyal Customer",AND(F9&gt;=6,G9&gt;=5,H9&gt;=5),"Potential Loyalist",AND(F9&gt;=8,G9&gt;=2,H9&gt;=5),"New Customers",AND(F9&gt;=6,G9&gt;=2,H9&gt;=3),"Promising",AND(F9&gt;=3,G9&gt;=3,H9&gt;=3),"Need Attention",AND(F9&gt;=4,G9&gt;=6,H9&gt;=6),"At Risk",AND(F9&gt;=2,G9&gt;=8,H9&gt;=8),"Can't Lose Them",AND(F9&gt;=2,G9&gt;=2,H9&gt;=2),"Hibernating",TRUE,"Other")</f>
        <v>Can't Lose Them</v>
      </c>
    </row>
    <row r="10" spans="1:10">
      <c r="A10" t="s">
        <v>150</v>
      </c>
      <c r="B10" s="9">
        <v>45964</v>
      </c>
      <c r="C10" s="10">
        <f>DATEDIF(B10,$C$1,"d")</f>
        <v>42</v>
      </c>
      <c r="D10">
        <v>3</v>
      </c>
      <c r="E10">
        <v>884.9</v>
      </c>
      <c r="F10" s="10">
        <f>ROUND((1-_xlfn.PERCENTRANK.INC($C$4:$C$182,C10))*9,0)</f>
        <v>6</v>
      </c>
      <c r="G10" s="10">
        <f>ROUND((1-_xlfn.PERCENTRANK.INC($D$4:$D$182,D10))*9,0)</f>
        <v>9</v>
      </c>
      <c r="H10" s="10">
        <f>ROUND((1-_xlfn.PERCENTRANK.INC($E$4:$E$182,E10))*9,0)</f>
        <v>6</v>
      </c>
      <c r="I10" s="10" t="str">
        <f t="shared" si="0"/>
        <v>696</v>
      </c>
      <c r="J10" s="10" t="str" cm="1">
        <f t="array" ref="J10">_xlfn.IFS(AND(F10&gt;=8,G10&gt;=8,H10&gt;=8),"Champion",AND(F10&gt;=6,G10&gt;=7,H10&gt;=6),"Loyal Customer",AND(F10&gt;=6,G10&gt;=5,H10&gt;=5),"Potential Loyalist",AND(F10&gt;=8,G10&gt;=2,H10&gt;=5),"New Customers",AND(F10&gt;=6,G10&gt;=2,H10&gt;=3),"Promising",AND(F10&gt;=3,G10&gt;=3,H10&gt;=3),"Need Attention",AND(F10&gt;=4,G10&gt;=6,H10&gt;=6),"At Risk",AND(F10&gt;=2,G10&gt;=8,H10&gt;=8),"Can't Lose Them",AND(F10&gt;=2,G10&gt;=2,H10&gt;=2),"Hibernating",TRUE,"Other")</f>
        <v>Loyal Customer</v>
      </c>
    </row>
    <row r="11" spans="1:10">
      <c r="A11" t="s">
        <v>16</v>
      </c>
      <c r="B11" s="9">
        <v>45845</v>
      </c>
      <c r="C11" s="10">
        <f>DATEDIF(B11,$C$1,"d")</f>
        <v>161</v>
      </c>
      <c r="D11">
        <v>9</v>
      </c>
      <c r="E11">
        <v>1149.37</v>
      </c>
      <c r="F11" s="10">
        <f>ROUND((1-_xlfn.PERCENTRANK.INC($C$4:$C$182,C11))*9,0)</f>
        <v>2</v>
      </c>
      <c r="G11" s="10">
        <f>ROUND((1-_xlfn.PERCENTRANK.INC($D$4:$D$182,D11))*9,0)</f>
        <v>2</v>
      </c>
      <c r="H11" s="10">
        <f>ROUND((1-_xlfn.PERCENTRANK.INC($E$4:$E$182,E11))*9,0)</f>
        <v>5</v>
      </c>
      <c r="I11" s="10" t="str">
        <f t="shared" si="0"/>
        <v>225</v>
      </c>
      <c r="J11" s="10" t="str" cm="1">
        <f t="array" ref="J11">_xlfn.IFS(AND(F11&gt;=8,G11&gt;=8,H11&gt;=8),"Champion",AND(F11&gt;=6,G11&gt;=7,H11&gt;=6),"Loyal Customer",AND(F11&gt;=6,G11&gt;=5,H11&gt;=5),"Potential Loyalist",AND(F11&gt;=8,G11&gt;=2,H11&gt;=5),"New Customers",AND(F11&gt;=6,G11&gt;=2,H11&gt;=3),"Promising",AND(F11&gt;=3,G11&gt;=3,H11&gt;=3),"Need Attention",AND(F11&gt;=4,G11&gt;=6,H11&gt;=6),"At Risk",AND(F11&gt;=2,G11&gt;=8,H11&gt;=8),"Can't Lose Them",AND(F11&gt;=2,G11&gt;=2,H11&gt;=2),"Hibernating",TRUE,"Other")</f>
        <v>Hibernating</v>
      </c>
    </row>
    <row r="12" spans="1:10">
      <c r="A12" t="s">
        <v>97</v>
      </c>
      <c r="B12" s="9">
        <v>45873</v>
      </c>
      <c r="C12" s="10">
        <f>DATEDIF(B12,$C$1,"d")</f>
        <v>133</v>
      </c>
      <c r="D12">
        <v>4</v>
      </c>
      <c r="E12">
        <v>392.22</v>
      </c>
      <c r="F12" s="10">
        <f>ROUND((1-_xlfn.PERCENTRANK.INC($C$4:$C$182,C12))*9,0)</f>
        <v>3</v>
      </c>
      <c r="G12" s="10">
        <f>ROUND((1-_xlfn.PERCENTRANK.INC($D$4:$D$182,D12))*9,0)</f>
        <v>8</v>
      </c>
      <c r="H12" s="10">
        <f>ROUND((1-_xlfn.PERCENTRANK.INC($E$4:$E$182,E12))*9,0)</f>
        <v>8</v>
      </c>
      <c r="I12" s="10" t="str">
        <f t="shared" si="0"/>
        <v>388</v>
      </c>
      <c r="J12" s="10" t="str" cm="1">
        <f t="array" ref="J12">_xlfn.IFS(AND(F12&gt;=8,G12&gt;=8,H12&gt;=8),"Champion",AND(F12&gt;=6,G12&gt;=7,H12&gt;=6),"Loyal Customer",AND(F12&gt;=6,G12&gt;=5,H12&gt;=5),"Potential Loyalist",AND(F12&gt;=8,G12&gt;=2,H12&gt;=5),"New Customers",AND(F12&gt;=6,G12&gt;=2,H12&gt;=3),"Promising",AND(F12&gt;=3,G12&gt;=3,H12&gt;=3),"Need Attention",AND(F12&gt;=4,G12&gt;=6,H12&gt;=6),"At Risk",AND(F12&gt;=2,G12&gt;=8,H12&gt;=8),"Can't Lose Them",AND(F12&gt;=2,G12&gt;=2,H12&gt;=2),"Hibernating",TRUE,"Other")</f>
        <v>Need Attention</v>
      </c>
    </row>
    <row r="13" spans="1:10">
      <c r="A13" t="s">
        <v>160</v>
      </c>
      <c r="B13" s="9">
        <v>45756</v>
      </c>
      <c r="C13" s="10">
        <f>DATEDIF(B13,$C$1,"d")</f>
        <v>250</v>
      </c>
      <c r="D13">
        <v>7</v>
      </c>
      <c r="E13">
        <v>1515.61</v>
      </c>
      <c r="F13" s="10">
        <f>ROUND((1-_xlfn.PERCENTRANK.INC($C$4:$C$182,C13))*9,0)</f>
        <v>1</v>
      </c>
      <c r="G13" s="10">
        <f>ROUND((1-_xlfn.PERCENTRANK.INC($D$4:$D$182,D13))*9,0)</f>
        <v>4</v>
      </c>
      <c r="H13" s="10">
        <f>ROUND((1-_xlfn.PERCENTRANK.INC($E$4:$E$182,E13))*9,0)</f>
        <v>3</v>
      </c>
      <c r="I13" s="10" t="str">
        <f t="shared" si="0"/>
        <v>143</v>
      </c>
      <c r="J13" s="10" t="str" cm="1">
        <f t="array" ref="J13">_xlfn.IFS(AND(F13&gt;=8,G13&gt;=8,H13&gt;=8),"Champion",AND(F13&gt;=6,G13&gt;=7,H13&gt;=6),"Loyal Customer",AND(F13&gt;=6,G13&gt;=5,H13&gt;=5),"Potential Loyalist",AND(F13&gt;=8,G13&gt;=2,H13&gt;=5),"New Customers",AND(F13&gt;=6,G13&gt;=2,H13&gt;=3),"Promising",AND(F13&gt;=3,G13&gt;=3,H13&gt;=3),"Need Attention",AND(F13&gt;=4,G13&gt;=6,H13&gt;=6),"At Risk",AND(F13&gt;=2,G13&gt;=8,H13&gt;=8),"Can't Lose Them",AND(F13&gt;=2,G13&gt;=2,H13&gt;=2),"Hibernating",TRUE,"Other")</f>
        <v>Other</v>
      </c>
    </row>
    <row r="14" spans="1:10">
      <c r="A14" t="s">
        <v>85</v>
      </c>
      <c r="B14" s="9">
        <v>45843</v>
      </c>
      <c r="C14" s="10">
        <f>DATEDIF(B14,$C$1,"d")</f>
        <v>163</v>
      </c>
      <c r="D14">
        <v>7</v>
      </c>
      <c r="E14">
        <v>2506.47</v>
      </c>
      <c r="F14" s="10">
        <f>ROUND((1-_xlfn.PERCENTRANK.INC($C$4:$C$182,C14))*9,0)</f>
        <v>2</v>
      </c>
      <c r="G14" s="10">
        <f>ROUND((1-_xlfn.PERCENTRANK.INC($D$4:$D$182,D14))*9,0)</f>
        <v>4</v>
      </c>
      <c r="H14" s="10">
        <f>ROUND((1-_xlfn.PERCENTRANK.INC($E$4:$E$182,E14))*9,0)</f>
        <v>1</v>
      </c>
      <c r="I14" s="10" t="str">
        <f t="shared" si="0"/>
        <v>241</v>
      </c>
      <c r="J14" s="10" t="str" cm="1">
        <f t="array" ref="J14">_xlfn.IFS(AND(F14&gt;=8,G14&gt;=8,H14&gt;=8),"Champion",AND(F14&gt;=6,G14&gt;=7,H14&gt;=6),"Loyal Customer",AND(F14&gt;=6,G14&gt;=5,H14&gt;=5),"Potential Loyalist",AND(F14&gt;=8,G14&gt;=2,H14&gt;=5),"New Customers",AND(F14&gt;=6,G14&gt;=2,H14&gt;=3),"Promising",AND(F14&gt;=3,G14&gt;=3,H14&gt;=3),"Need Attention",AND(F14&gt;=4,G14&gt;=6,H14&gt;=6),"At Risk",AND(F14&gt;=2,G14&gt;=8,H14&gt;=8),"Can't Lose Them",AND(F14&gt;=2,G14&gt;=2,H14&gt;=2),"Hibernating",TRUE,"Other")</f>
        <v>Other</v>
      </c>
    </row>
    <row r="15" spans="1:10">
      <c r="A15" t="s">
        <v>183</v>
      </c>
      <c r="B15" s="9">
        <v>45970</v>
      </c>
      <c r="C15" s="10">
        <f>DATEDIF(B15,$C$1,"d")</f>
        <v>36</v>
      </c>
      <c r="D15">
        <v>8</v>
      </c>
      <c r="E15">
        <v>943.09</v>
      </c>
      <c r="F15" s="10">
        <f>ROUND((1-_xlfn.PERCENTRANK.INC($C$4:$C$182,C15))*9,0)</f>
        <v>7</v>
      </c>
      <c r="G15" s="10">
        <f>ROUND((1-_xlfn.PERCENTRANK.INC($D$4:$D$182,D15))*9,0)</f>
        <v>3</v>
      </c>
      <c r="H15" s="10">
        <f>ROUND((1-_xlfn.PERCENTRANK.INC($E$4:$E$182,E15))*9,0)</f>
        <v>6</v>
      </c>
      <c r="I15" s="10" t="str">
        <f t="shared" si="0"/>
        <v>736</v>
      </c>
      <c r="J15" s="10" t="str" cm="1">
        <f t="array" ref="J15">_xlfn.IFS(AND(F15&gt;=8,G15&gt;=8,H15&gt;=8),"Champion",AND(F15&gt;=6,G15&gt;=7,H15&gt;=6),"Loyal Customer",AND(F15&gt;=6,G15&gt;=5,H15&gt;=5),"Potential Loyalist",AND(F15&gt;=8,G15&gt;=2,H15&gt;=5),"New Customers",AND(F15&gt;=6,G15&gt;=2,H15&gt;=3),"Promising",AND(F15&gt;=3,G15&gt;=3,H15&gt;=3),"Need Attention",AND(F15&gt;=4,G15&gt;=6,H15&gt;=6),"At Risk",AND(F15&gt;=2,G15&gt;=8,H15&gt;=8),"Can't Lose Them",AND(F15&gt;=2,G15&gt;=2,H15&gt;=2),"Hibernating",TRUE,"Other")</f>
        <v>Promising</v>
      </c>
    </row>
    <row r="16" spans="1:10">
      <c r="A16" t="s">
        <v>135</v>
      </c>
      <c r="B16" s="9">
        <v>45939</v>
      </c>
      <c r="C16" s="10">
        <f>DATEDIF(B16,$C$1,"d")</f>
        <v>67</v>
      </c>
      <c r="D16">
        <v>8</v>
      </c>
      <c r="E16">
        <v>1568.25</v>
      </c>
      <c r="F16" s="10">
        <f>ROUND((1-_xlfn.PERCENTRANK.INC($C$4:$C$182,C16))*9,0)</f>
        <v>5</v>
      </c>
      <c r="G16" s="10">
        <f>ROUND((1-_xlfn.PERCENTRANK.INC($D$4:$D$182,D16))*9,0)</f>
        <v>3</v>
      </c>
      <c r="H16" s="10">
        <f>ROUND((1-_xlfn.PERCENTRANK.INC($E$4:$E$182,E16))*9,0)</f>
        <v>3</v>
      </c>
      <c r="I16" s="10" t="str">
        <f t="shared" si="0"/>
        <v>533</v>
      </c>
      <c r="J16" s="10" t="str" cm="1">
        <f t="array" ref="J16">_xlfn.IFS(AND(F16&gt;=8,G16&gt;=8,H16&gt;=8),"Champion",AND(F16&gt;=6,G16&gt;=7,H16&gt;=6),"Loyal Customer",AND(F16&gt;=6,G16&gt;=5,H16&gt;=5),"Potential Loyalist",AND(F16&gt;=8,G16&gt;=2,H16&gt;=5),"New Customers",AND(F16&gt;=6,G16&gt;=2,H16&gt;=3),"Promising",AND(F16&gt;=3,G16&gt;=3,H16&gt;=3),"Need Attention",AND(F16&gt;=4,G16&gt;=6,H16&gt;=6),"At Risk",AND(F16&gt;=2,G16&gt;=8,H16&gt;=8),"Can't Lose Them",AND(F16&gt;=2,G16&gt;=2,H16&gt;=2),"Hibernating",TRUE,"Other")</f>
        <v>Need Attention</v>
      </c>
    </row>
    <row r="17" spans="1:10">
      <c r="A17" t="s">
        <v>98</v>
      </c>
      <c r="B17" s="9">
        <v>45936</v>
      </c>
      <c r="C17" s="10">
        <f>DATEDIF(B17,$C$1,"d")</f>
        <v>70</v>
      </c>
      <c r="D17">
        <v>4</v>
      </c>
      <c r="E17">
        <v>1757.01</v>
      </c>
      <c r="F17" s="10">
        <f>ROUND((1-_xlfn.PERCENTRANK.INC($C$4:$C$182,C17))*9,0)</f>
        <v>5</v>
      </c>
      <c r="G17" s="10">
        <f>ROUND((1-_xlfn.PERCENTRANK.INC($D$4:$D$182,D17))*9,0)</f>
        <v>8</v>
      </c>
      <c r="H17" s="10">
        <f>ROUND((1-_xlfn.PERCENTRANK.INC($E$4:$E$182,E17))*9,0)</f>
        <v>2</v>
      </c>
      <c r="I17" s="10" t="str">
        <f t="shared" si="0"/>
        <v>582</v>
      </c>
      <c r="J17" s="10" t="str" cm="1">
        <f t="array" ref="J17">_xlfn.IFS(AND(F17&gt;=8,G17&gt;=8,H17&gt;=8),"Champion",AND(F17&gt;=6,G17&gt;=7,H17&gt;=6),"Loyal Customer",AND(F17&gt;=6,G17&gt;=5,H17&gt;=5),"Potential Loyalist",AND(F17&gt;=8,G17&gt;=2,H17&gt;=5),"New Customers",AND(F17&gt;=6,G17&gt;=2,H17&gt;=3),"Promising",AND(F17&gt;=3,G17&gt;=3,H17&gt;=3),"Need Attention",AND(F17&gt;=4,G17&gt;=6,H17&gt;=6),"At Risk",AND(F17&gt;=2,G17&gt;=8,H17&gt;=8),"Can't Lose Them",AND(F17&gt;=2,G17&gt;=2,H17&gt;=2),"Hibernating",TRUE,"Other")</f>
        <v>Hibernating</v>
      </c>
    </row>
    <row r="18" spans="1:13">
      <c r="A18" t="s">
        <v>80</v>
      </c>
      <c r="B18" s="9">
        <v>45941</v>
      </c>
      <c r="C18" s="10">
        <f>DATEDIF(B18,$C$1,"d")</f>
        <v>65</v>
      </c>
      <c r="D18">
        <v>6</v>
      </c>
      <c r="E18">
        <v>749.75</v>
      </c>
      <c r="F18" s="10">
        <f>ROUND((1-_xlfn.PERCENTRANK.INC($C$4:$C$182,C18))*9,0)</f>
        <v>6</v>
      </c>
      <c r="G18" s="10">
        <f>ROUND((1-_xlfn.PERCENTRANK.INC($D$4:$D$182,D18))*9,0)</f>
        <v>6</v>
      </c>
      <c r="H18" s="10">
        <f>ROUND((1-_xlfn.PERCENTRANK.INC($E$4:$E$182,E18))*9,0)</f>
        <v>6</v>
      </c>
      <c r="I18" s="10" t="str">
        <f t="shared" si="0"/>
        <v>666</v>
      </c>
      <c r="J18" s="10" t="str" cm="1">
        <f t="array" ref="J18">_xlfn.IFS(AND(F18&gt;=8,G18&gt;=8,H18&gt;=8),"Champion",AND(F18&gt;=6,G18&gt;=7,H18&gt;=6),"Loyal Customer",AND(F18&gt;=6,G18&gt;=5,H18&gt;=5),"Potential Loyalist",AND(F18&gt;=8,G18&gt;=2,H18&gt;=5),"New Customers",AND(F18&gt;=6,G18&gt;=2,H18&gt;=3),"Promising",AND(F18&gt;=3,G18&gt;=3,H18&gt;=3),"Need Attention",AND(F18&gt;=4,G18&gt;=6,H18&gt;=6),"At Risk",AND(F18&gt;=2,G18&gt;=8,H18&gt;=8),"Can't Lose Them",AND(F18&gt;=2,G18&gt;=2,H18&gt;=2),"Hibernating",TRUE,"Other")</f>
        <v>Potential Loyalist</v>
      </c>
      <c r="M18" s="10"/>
    </row>
    <row r="19" spans="1:13">
      <c r="A19" t="s">
        <v>163</v>
      </c>
      <c r="B19" s="9">
        <v>45968</v>
      </c>
      <c r="C19" s="10">
        <f>DATEDIF(B19,$C$1,"d")</f>
        <v>38</v>
      </c>
      <c r="D19">
        <v>5</v>
      </c>
      <c r="E19">
        <v>575.21</v>
      </c>
      <c r="F19" s="10">
        <f>ROUND((1-_xlfn.PERCENTRANK.INC($C$4:$C$182,C19))*9,0)</f>
        <v>7</v>
      </c>
      <c r="G19" s="10">
        <f>ROUND((1-_xlfn.PERCENTRANK.INC($D$4:$D$182,D19))*9,0)</f>
        <v>7</v>
      </c>
      <c r="H19" s="10">
        <f>ROUND((1-_xlfn.PERCENTRANK.INC($E$4:$E$182,E19))*9,0)</f>
        <v>8</v>
      </c>
      <c r="I19" s="10" t="str">
        <f t="shared" si="0"/>
        <v>778</v>
      </c>
      <c r="J19" s="10" t="str" cm="1">
        <f t="array" ref="J19">_xlfn.IFS(AND(F19&gt;=8,G19&gt;=8,H19&gt;=8),"Champion",AND(F19&gt;=6,G19&gt;=7,H19&gt;=6),"Loyal Customer",AND(F19&gt;=6,G19&gt;=5,H19&gt;=5),"Potential Loyalist",AND(F19&gt;=8,G19&gt;=2,H19&gt;=5),"New Customers",AND(F19&gt;=6,G19&gt;=2,H19&gt;=3),"Promising",AND(F19&gt;=3,G19&gt;=3,H19&gt;=3),"Need Attention",AND(F19&gt;=4,G19&gt;=6,H19&gt;=6),"At Risk",AND(F19&gt;=2,G19&gt;=8,H19&gt;=8),"Can't Lose Them",AND(F19&gt;=2,G19&gt;=2,H19&gt;=2),"Hibernating",TRUE,"Other")</f>
        <v>Loyal Customer</v>
      </c>
      <c r="M19" s="10"/>
    </row>
    <row r="20" spans="1:13">
      <c r="A20" t="s">
        <v>62</v>
      </c>
      <c r="B20" s="9">
        <v>45936</v>
      </c>
      <c r="C20" s="10">
        <f>DATEDIF(B20,$C$1,"d")</f>
        <v>70</v>
      </c>
      <c r="D20">
        <v>5</v>
      </c>
      <c r="E20">
        <v>634.88</v>
      </c>
      <c r="F20" s="10">
        <f>ROUND((1-_xlfn.PERCENTRANK.INC($C$4:$C$182,C20))*9,0)</f>
        <v>5</v>
      </c>
      <c r="G20" s="10">
        <f>ROUND((1-_xlfn.PERCENTRANK.INC($D$4:$D$182,D20))*9,0)</f>
        <v>7</v>
      </c>
      <c r="H20" s="10">
        <f>ROUND((1-_xlfn.PERCENTRANK.INC($E$4:$E$182,E20))*9,0)</f>
        <v>7</v>
      </c>
      <c r="I20" s="10" t="str">
        <f t="shared" si="0"/>
        <v>577</v>
      </c>
      <c r="J20" s="10" t="str" cm="1">
        <f t="array" ref="J20">_xlfn.IFS(AND(F20&gt;=8,G20&gt;=8,H20&gt;=8),"Champion",AND(F20&gt;=6,G20&gt;=7,H20&gt;=6),"Loyal Customer",AND(F20&gt;=6,G20&gt;=5,H20&gt;=5),"Potential Loyalist",AND(F20&gt;=8,G20&gt;=2,H20&gt;=5),"New Customers",AND(F20&gt;=6,G20&gt;=2,H20&gt;=3),"Promising",AND(F20&gt;=3,G20&gt;=3,H20&gt;=3),"Need Attention",AND(F20&gt;=4,G20&gt;=6,H20&gt;=6),"At Risk",AND(F20&gt;=2,G20&gt;=8,H20&gt;=8),"Can't Lose Them",AND(F20&gt;=2,G20&gt;=2,H20&gt;=2),"Hibernating",TRUE,"Other")</f>
        <v>Need Attention</v>
      </c>
      <c r="M20" s="10"/>
    </row>
    <row r="21" spans="1:13">
      <c r="A21" t="s">
        <v>137</v>
      </c>
      <c r="B21" s="9">
        <v>45870</v>
      </c>
      <c r="C21" s="10">
        <f>DATEDIF(B21,$C$1,"d")</f>
        <v>136</v>
      </c>
      <c r="D21">
        <v>4</v>
      </c>
      <c r="E21">
        <v>258.35</v>
      </c>
      <c r="F21" s="10">
        <f>ROUND((1-_xlfn.PERCENTRANK.INC($C$4:$C$182,C21))*9,0)</f>
        <v>3</v>
      </c>
      <c r="G21" s="10">
        <f>ROUND((1-_xlfn.PERCENTRANK.INC($D$4:$D$182,D21))*9,0)</f>
        <v>8</v>
      </c>
      <c r="H21" s="10">
        <f>ROUND((1-_xlfn.PERCENTRANK.INC($E$4:$E$182,E21))*9,0)</f>
        <v>9</v>
      </c>
      <c r="I21" s="10" t="str">
        <f t="shared" si="0"/>
        <v>389</v>
      </c>
      <c r="J21" s="10" t="str" cm="1">
        <f t="array" ref="J21">_xlfn.IFS(AND(F21&gt;=8,G21&gt;=8,H21&gt;=8),"Champion",AND(F21&gt;=6,G21&gt;=7,H21&gt;=6),"Loyal Customer",AND(F21&gt;=6,G21&gt;=5,H21&gt;=5),"Potential Loyalist",AND(F21&gt;=8,G21&gt;=2,H21&gt;=5),"New Customers",AND(F21&gt;=6,G21&gt;=2,H21&gt;=3),"Promising",AND(F21&gt;=3,G21&gt;=3,H21&gt;=3),"Need Attention",AND(F21&gt;=4,G21&gt;=6,H21&gt;=6),"At Risk",AND(F21&gt;=2,G21&gt;=8,H21&gt;=8),"Can't Lose Them",AND(F21&gt;=2,G21&gt;=2,H21&gt;=2),"Hibernating",TRUE,"Other")</f>
        <v>Need Attention</v>
      </c>
      <c r="M21" s="10"/>
    </row>
    <row r="22" spans="1:13">
      <c r="A22" t="s">
        <v>192</v>
      </c>
      <c r="B22" s="9">
        <v>45879</v>
      </c>
      <c r="C22" s="10">
        <f>DATEDIF(B22,$C$1,"d")</f>
        <v>127</v>
      </c>
      <c r="D22">
        <v>8</v>
      </c>
      <c r="E22">
        <v>1279.48</v>
      </c>
      <c r="F22" s="10">
        <f>ROUND((1-_xlfn.PERCENTRANK.INC($C$4:$C$182,C22))*9,0)</f>
        <v>4</v>
      </c>
      <c r="G22" s="10">
        <f>ROUND((1-_xlfn.PERCENTRANK.INC($D$4:$D$182,D22))*9,0)</f>
        <v>3</v>
      </c>
      <c r="H22" s="10">
        <f>ROUND((1-_xlfn.PERCENTRANK.INC($E$4:$E$182,E22))*9,0)</f>
        <v>4</v>
      </c>
      <c r="I22" s="10" t="str">
        <f t="shared" si="0"/>
        <v>434</v>
      </c>
      <c r="J22" s="10" t="str" cm="1">
        <f t="array" ref="J22">_xlfn.IFS(AND(F22&gt;=8,G22&gt;=8,H22&gt;=8),"Champion",AND(F22&gt;=6,G22&gt;=7,H22&gt;=6),"Loyal Customer",AND(F22&gt;=6,G22&gt;=5,H22&gt;=5),"Potential Loyalist",AND(F22&gt;=8,G22&gt;=2,H22&gt;=5),"New Customers",AND(F22&gt;=6,G22&gt;=2,H22&gt;=3),"Promising",AND(F22&gt;=3,G22&gt;=3,H22&gt;=3),"Need Attention",AND(F22&gt;=4,G22&gt;=6,H22&gt;=6),"At Risk",AND(F22&gt;=2,G22&gt;=8,H22&gt;=8),"Can't Lose Them",AND(F22&gt;=2,G22&gt;=2,H22&gt;=2),"Hibernating",TRUE,"Other")</f>
        <v>Need Attention</v>
      </c>
      <c r="M22" s="10"/>
    </row>
    <row r="23" spans="1:13">
      <c r="A23" t="s">
        <v>186</v>
      </c>
      <c r="B23" s="9">
        <v>45931</v>
      </c>
      <c r="C23" s="10">
        <f>DATEDIF(B23,$C$1,"d")</f>
        <v>75</v>
      </c>
      <c r="D23">
        <v>6</v>
      </c>
      <c r="E23">
        <v>2116.6</v>
      </c>
      <c r="F23" s="10">
        <f>ROUND((1-_xlfn.PERCENTRANK.INC($C$4:$C$182,C23))*9,0)</f>
        <v>5</v>
      </c>
      <c r="G23" s="10">
        <f>ROUND((1-_xlfn.PERCENTRANK.INC($D$4:$D$182,D23))*9,0)</f>
        <v>6</v>
      </c>
      <c r="H23" s="10">
        <f>ROUND((1-_xlfn.PERCENTRANK.INC($E$4:$E$182,E23))*9,0)</f>
        <v>1</v>
      </c>
      <c r="I23" s="10" t="str">
        <f t="shared" si="0"/>
        <v>561</v>
      </c>
      <c r="J23" s="10" t="str" cm="1">
        <f t="array" ref="J23">_xlfn.IFS(AND(F23&gt;=8,G23&gt;=8,H23&gt;=8),"Champion",AND(F23&gt;=6,G23&gt;=7,H23&gt;=6),"Loyal Customer",AND(F23&gt;=6,G23&gt;=5,H23&gt;=5),"Potential Loyalist",AND(F23&gt;=8,G23&gt;=2,H23&gt;=5),"New Customers",AND(F23&gt;=6,G23&gt;=2,H23&gt;=3),"Promising",AND(F23&gt;=3,G23&gt;=3,H23&gt;=3),"Need Attention",AND(F23&gt;=4,G23&gt;=6,H23&gt;=6),"At Risk",AND(F23&gt;=2,G23&gt;=8,H23&gt;=8),"Can't Lose Them",AND(F23&gt;=2,G23&gt;=2,H23&gt;=2),"Hibernating",TRUE,"Other")</f>
        <v>Other</v>
      </c>
      <c r="M23" s="10"/>
    </row>
    <row r="24" spans="1:10">
      <c r="A24" t="s">
        <v>56</v>
      </c>
      <c r="B24" s="9">
        <v>45693</v>
      </c>
      <c r="C24" s="10">
        <f>DATEDIF(B24,$C$1,"d")</f>
        <v>313</v>
      </c>
      <c r="D24">
        <v>5</v>
      </c>
      <c r="E24">
        <v>608.05</v>
      </c>
      <c r="F24" s="10">
        <f>ROUND((1-_xlfn.PERCENTRANK.INC($C$4:$C$182,C24))*9,0)</f>
        <v>0</v>
      </c>
      <c r="G24" s="10">
        <f>ROUND((1-_xlfn.PERCENTRANK.INC($D$4:$D$182,D24))*9,0)</f>
        <v>7</v>
      </c>
      <c r="H24" s="10">
        <f>ROUND((1-_xlfn.PERCENTRANK.INC($E$4:$E$182,E24))*9,0)</f>
        <v>7</v>
      </c>
      <c r="I24" s="10" t="str">
        <f t="shared" si="0"/>
        <v>077</v>
      </c>
      <c r="J24" s="10" t="str" cm="1">
        <f t="array" ref="J24">_xlfn.IFS(AND(F24&gt;=8,G24&gt;=8,H24&gt;=8),"Champion",AND(F24&gt;=6,G24&gt;=7,H24&gt;=6),"Loyal Customer",AND(F24&gt;=6,G24&gt;=5,H24&gt;=5),"Potential Loyalist",AND(F24&gt;=8,G24&gt;=2,H24&gt;=5),"New Customers",AND(F24&gt;=6,G24&gt;=2,H24&gt;=3),"Promising",AND(F24&gt;=3,G24&gt;=3,H24&gt;=3),"Need Attention",AND(F24&gt;=4,G24&gt;=6,H24&gt;=6),"At Risk",AND(F24&gt;=2,G24&gt;=8,H24&gt;=8),"Can't Lose Them",AND(F24&gt;=2,G24&gt;=2,H24&gt;=2),"Hibernating",TRUE,"Other")</f>
        <v>Other</v>
      </c>
    </row>
    <row r="25" spans="1:10">
      <c r="A25" t="s">
        <v>7</v>
      </c>
      <c r="B25" s="9">
        <v>45972</v>
      </c>
      <c r="C25" s="10">
        <f>DATEDIF(B25,$C$1,"d")</f>
        <v>34</v>
      </c>
      <c r="D25">
        <v>7</v>
      </c>
      <c r="E25">
        <v>1879.4</v>
      </c>
      <c r="F25" s="10">
        <f>ROUND((1-_xlfn.PERCENTRANK.INC($C$4:$C$182,C25))*9,0)</f>
        <v>7</v>
      </c>
      <c r="G25" s="10">
        <f>ROUND((1-_xlfn.PERCENTRANK.INC($D$4:$D$182,D25))*9,0)</f>
        <v>4</v>
      </c>
      <c r="H25" s="10">
        <f>ROUND((1-_xlfn.PERCENTRANK.INC($E$4:$E$182,E25))*9,0)</f>
        <v>2</v>
      </c>
      <c r="I25" s="10" t="str">
        <f t="shared" si="0"/>
        <v>742</v>
      </c>
      <c r="J25" s="10" t="str" cm="1">
        <f t="array" ref="J25">_xlfn.IFS(AND(F25&gt;=8,G25&gt;=8,H25&gt;=8),"Champion",AND(F25&gt;=6,G25&gt;=7,H25&gt;=6),"Loyal Customer",AND(F25&gt;=6,G25&gt;=5,H25&gt;=5),"Potential Loyalist",AND(F25&gt;=8,G25&gt;=2,H25&gt;=5),"New Customers",AND(F25&gt;=6,G25&gt;=2,H25&gt;=3),"Promising",AND(F25&gt;=3,G25&gt;=3,H25&gt;=3),"Need Attention",AND(F25&gt;=4,G25&gt;=6,H25&gt;=6),"At Risk",AND(F25&gt;=2,G25&gt;=8,H25&gt;=8),"Can't Lose Them",AND(F25&gt;=2,G25&gt;=2,H25&gt;=2),"Hibernating",TRUE,"Other")</f>
        <v>Hibernating</v>
      </c>
    </row>
    <row r="26" spans="1:10">
      <c r="A26" t="s">
        <v>40</v>
      </c>
      <c r="B26" s="9">
        <v>45754</v>
      </c>
      <c r="C26" s="10">
        <f>DATEDIF(B26,$C$1,"d")</f>
        <v>252</v>
      </c>
      <c r="D26">
        <v>3</v>
      </c>
      <c r="E26">
        <v>462.66</v>
      </c>
      <c r="F26" s="10">
        <f>ROUND((1-_xlfn.PERCENTRANK.INC($C$4:$C$182,C26))*9,0)</f>
        <v>1</v>
      </c>
      <c r="G26" s="10">
        <f>ROUND((1-_xlfn.PERCENTRANK.INC($D$4:$D$182,D26))*9,0)</f>
        <v>9</v>
      </c>
      <c r="H26" s="10">
        <f>ROUND((1-_xlfn.PERCENTRANK.INC($E$4:$E$182,E26))*9,0)</f>
        <v>8</v>
      </c>
      <c r="I26" s="10" t="str">
        <f t="shared" si="0"/>
        <v>198</v>
      </c>
      <c r="J26" s="10" t="str" cm="1">
        <f t="array" ref="J26">_xlfn.IFS(AND(F26&gt;=8,G26&gt;=8,H26&gt;=8),"Champion",AND(F26&gt;=6,G26&gt;=7,H26&gt;=6),"Loyal Customer",AND(F26&gt;=6,G26&gt;=5,H26&gt;=5),"Potential Loyalist",AND(F26&gt;=8,G26&gt;=2,H26&gt;=5),"New Customers",AND(F26&gt;=6,G26&gt;=2,H26&gt;=3),"Promising",AND(F26&gt;=3,G26&gt;=3,H26&gt;=3),"Need Attention",AND(F26&gt;=4,G26&gt;=6,H26&gt;=6),"At Risk",AND(F26&gt;=2,G26&gt;=8,H26&gt;=8),"Can't Lose Them",AND(F26&gt;=2,G26&gt;=2,H26&gt;=2),"Hibernating",TRUE,"Other")</f>
        <v>Other</v>
      </c>
    </row>
    <row r="27" spans="1:10">
      <c r="A27" t="s">
        <v>171</v>
      </c>
      <c r="B27" s="9">
        <v>45940</v>
      </c>
      <c r="C27" s="10">
        <f>DATEDIF(B27,$C$1,"d")</f>
        <v>66</v>
      </c>
      <c r="D27">
        <v>4</v>
      </c>
      <c r="E27">
        <v>776.5</v>
      </c>
      <c r="F27" s="10">
        <f>ROUND((1-_xlfn.PERCENTRANK.INC($C$4:$C$182,C27))*9,0)</f>
        <v>6</v>
      </c>
      <c r="G27" s="10">
        <f>ROUND((1-_xlfn.PERCENTRANK.INC($D$4:$D$182,D27))*9,0)</f>
        <v>8</v>
      </c>
      <c r="H27" s="10">
        <f>ROUND((1-_xlfn.PERCENTRANK.INC($E$4:$E$182,E27))*9,0)</f>
        <v>6</v>
      </c>
      <c r="I27" s="10" t="str">
        <f t="shared" si="0"/>
        <v>686</v>
      </c>
      <c r="J27" s="10" t="str" cm="1">
        <f t="array" ref="J27">_xlfn.IFS(AND(F27&gt;=8,G27&gt;=8,H27&gt;=8),"Champion",AND(F27&gt;=6,G27&gt;=7,H27&gt;=6),"Loyal Customer",AND(F27&gt;=6,G27&gt;=5,H27&gt;=5),"Potential Loyalist",AND(F27&gt;=8,G27&gt;=2,H27&gt;=5),"New Customers",AND(F27&gt;=6,G27&gt;=2,H27&gt;=3),"Promising",AND(F27&gt;=3,G27&gt;=3,H27&gt;=3),"Need Attention",AND(F27&gt;=4,G27&gt;=6,H27&gt;=6),"At Risk",AND(F27&gt;=2,G27&gt;=8,H27&gt;=8),"Can't Lose Them",AND(F27&gt;=2,G27&gt;=2,H27&gt;=2),"Hibernating",TRUE,"Other")</f>
        <v>Loyal Customer</v>
      </c>
    </row>
    <row r="28" spans="1:10">
      <c r="A28" t="s">
        <v>182</v>
      </c>
      <c r="B28" s="9">
        <v>45999</v>
      </c>
      <c r="C28" s="10">
        <f>DATEDIF(B28,$C$1,"d")</f>
        <v>7</v>
      </c>
      <c r="D28">
        <v>10</v>
      </c>
      <c r="E28">
        <v>1628.7</v>
      </c>
      <c r="F28" s="10">
        <f>ROUND((1-_xlfn.PERCENTRANK.INC($C$4:$C$182,C28))*9,0)</f>
        <v>8</v>
      </c>
      <c r="G28" s="10">
        <f>ROUND((1-_xlfn.PERCENTRANK.INC($D$4:$D$182,D28))*9,0)</f>
        <v>0</v>
      </c>
      <c r="H28" s="10">
        <f>ROUND((1-_xlfn.PERCENTRANK.INC($E$4:$E$182,E28))*9,0)</f>
        <v>3</v>
      </c>
      <c r="I28" s="10" t="str">
        <f t="shared" si="0"/>
        <v>803</v>
      </c>
      <c r="J28" s="10" t="str" cm="1">
        <f t="array" ref="J28">_xlfn.IFS(AND(F28&gt;=8,G28&gt;=8,H28&gt;=8),"Champion",AND(F28&gt;=6,G28&gt;=7,H28&gt;=6),"Loyal Customer",AND(F28&gt;=6,G28&gt;=5,H28&gt;=5),"Potential Loyalist",AND(F28&gt;=8,G28&gt;=2,H28&gt;=5),"New Customers",AND(F28&gt;=6,G28&gt;=2,H28&gt;=3),"Promising",AND(F28&gt;=3,G28&gt;=3,H28&gt;=3),"Need Attention",AND(F28&gt;=4,G28&gt;=6,H28&gt;=6),"At Risk",AND(F28&gt;=2,G28&gt;=8,H28&gt;=8),"Can't Lose Them",AND(F28&gt;=2,G28&gt;=2,H28&gt;=2),"Hibernating",TRUE,"Other")</f>
        <v>Other</v>
      </c>
    </row>
    <row r="29" spans="1:10">
      <c r="A29" t="s">
        <v>13</v>
      </c>
      <c r="B29" s="9">
        <v>45813</v>
      </c>
      <c r="C29" s="10">
        <f>DATEDIF(B29,$C$1,"d")</f>
        <v>193</v>
      </c>
      <c r="D29">
        <v>9</v>
      </c>
      <c r="E29">
        <v>2017.67</v>
      </c>
      <c r="F29" s="10">
        <f>ROUND((1-_xlfn.PERCENTRANK.INC($C$4:$C$182,C29))*9,0)</f>
        <v>1</v>
      </c>
      <c r="G29" s="10">
        <f>ROUND((1-_xlfn.PERCENTRANK.INC($D$4:$D$182,D29))*9,0)</f>
        <v>2</v>
      </c>
      <c r="H29" s="10">
        <f>ROUND((1-_xlfn.PERCENTRANK.INC($E$4:$E$182,E29))*9,0)</f>
        <v>2</v>
      </c>
      <c r="I29" s="10" t="str">
        <f t="shared" si="0"/>
        <v>122</v>
      </c>
      <c r="J29" s="10" t="str" cm="1">
        <f t="array" ref="J29">_xlfn.IFS(AND(F29&gt;=8,G29&gt;=8,H29&gt;=8),"Champion",AND(F29&gt;=6,G29&gt;=7,H29&gt;=6),"Loyal Customer",AND(F29&gt;=6,G29&gt;=5,H29&gt;=5),"Potential Loyalist",AND(F29&gt;=8,G29&gt;=2,H29&gt;=5),"New Customers",AND(F29&gt;=6,G29&gt;=2,H29&gt;=3),"Promising",AND(F29&gt;=3,G29&gt;=3,H29&gt;=3),"Need Attention",AND(F29&gt;=4,G29&gt;=6,H29&gt;=6),"At Risk",AND(F29&gt;=2,G29&gt;=8,H29&gt;=8),"Can't Lose Them",AND(F29&gt;=2,G29&gt;=2,H29&gt;=2),"Hibernating",TRUE,"Other")</f>
        <v>Other</v>
      </c>
    </row>
    <row r="30" spans="1:10">
      <c r="A30" t="s">
        <v>169</v>
      </c>
      <c r="B30" s="9">
        <v>45968</v>
      </c>
      <c r="C30" s="10">
        <f>DATEDIF(B30,$C$1,"d")</f>
        <v>38</v>
      </c>
      <c r="D30">
        <v>5</v>
      </c>
      <c r="E30">
        <v>516.57</v>
      </c>
      <c r="F30" s="10">
        <f>ROUND((1-_xlfn.PERCENTRANK.INC($C$4:$C$182,C30))*9,0)</f>
        <v>7</v>
      </c>
      <c r="G30" s="10">
        <f>ROUND((1-_xlfn.PERCENTRANK.INC($D$4:$D$182,D30))*9,0)</f>
        <v>7</v>
      </c>
      <c r="H30" s="10">
        <f>ROUND((1-_xlfn.PERCENTRANK.INC($E$4:$E$182,E30))*9,0)</f>
        <v>8</v>
      </c>
      <c r="I30" s="10" t="str">
        <f t="shared" si="0"/>
        <v>778</v>
      </c>
      <c r="J30" s="10" t="str" cm="1">
        <f t="array" ref="J30">_xlfn.IFS(AND(F30&gt;=8,G30&gt;=8,H30&gt;=8),"Champion",AND(F30&gt;=6,G30&gt;=7,H30&gt;=6),"Loyal Customer",AND(F30&gt;=6,G30&gt;=5,H30&gt;=5),"Potential Loyalist",AND(F30&gt;=8,G30&gt;=2,H30&gt;=5),"New Customers",AND(F30&gt;=6,G30&gt;=2,H30&gt;=3),"Promising",AND(F30&gt;=3,G30&gt;=3,H30&gt;=3),"Need Attention",AND(F30&gt;=4,G30&gt;=6,H30&gt;=6),"At Risk",AND(F30&gt;=2,G30&gt;=8,H30&gt;=8),"Can't Lose Them",AND(F30&gt;=2,G30&gt;=2,H30&gt;=2),"Hibernating",TRUE,"Other")</f>
        <v>Loyal Customer</v>
      </c>
    </row>
    <row r="31" spans="1:10">
      <c r="A31" t="s">
        <v>140</v>
      </c>
      <c r="B31" s="9">
        <v>45940</v>
      </c>
      <c r="C31" s="10">
        <f>DATEDIF(B31,$C$1,"d")</f>
        <v>66</v>
      </c>
      <c r="D31">
        <v>3</v>
      </c>
      <c r="E31">
        <v>1018.41</v>
      </c>
      <c r="F31" s="10">
        <f>ROUND((1-_xlfn.PERCENTRANK.INC($C$4:$C$182,C31))*9,0)</f>
        <v>6</v>
      </c>
      <c r="G31" s="10">
        <f>ROUND((1-_xlfn.PERCENTRANK.INC($D$4:$D$182,D31))*9,0)</f>
        <v>9</v>
      </c>
      <c r="H31" s="10">
        <f>ROUND((1-_xlfn.PERCENTRANK.INC($E$4:$E$182,E31))*9,0)</f>
        <v>5</v>
      </c>
      <c r="I31" s="10" t="str">
        <f t="shared" si="0"/>
        <v>695</v>
      </c>
      <c r="J31" s="10" t="str" cm="1">
        <f t="array" ref="J31">_xlfn.IFS(AND(F31&gt;=8,G31&gt;=8,H31&gt;=8),"Champion",AND(F31&gt;=6,G31&gt;=7,H31&gt;=6),"Loyal Customer",AND(F31&gt;=6,G31&gt;=5,H31&gt;=5),"Potential Loyalist",AND(F31&gt;=8,G31&gt;=2,H31&gt;=5),"New Customers",AND(F31&gt;=6,G31&gt;=2,H31&gt;=3),"Promising",AND(F31&gt;=3,G31&gt;=3,H31&gt;=3),"Need Attention",AND(F31&gt;=4,G31&gt;=6,H31&gt;=6),"At Risk",AND(F31&gt;=2,G31&gt;=8,H31&gt;=8),"Can't Lose Them",AND(F31&gt;=2,G31&gt;=2,H31&gt;=2),"Hibernating",TRUE,"Other")</f>
        <v>Potential Loyalist</v>
      </c>
    </row>
    <row r="32" spans="1:10">
      <c r="A32" t="s">
        <v>104</v>
      </c>
      <c r="B32" s="9">
        <v>45878</v>
      </c>
      <c r="C32" s="10">
        <f>DATEDIF(B32,$C$1,"d")</f>
        <v>128</v>
      </c>
      <c r="D32">
        <v>1</v>
      </c>
      <c r="E32">
        <v>77.96</v>
      </c>
      <c r="F32" s="10">
        <f>ROUND((1-_xlfn.PERCENTRANK.INC($C$4:$C$182,C32))*9,0)</f>
        <v>4</v>
      </c>
      <c r="G32" s="10">
        <f>ROUND((1-_xlfn.PERCENTRANK.INC($D$4:$D$182,D32))*9,0)</f>
        <v>9</v>
      </c>
      <c r="H32" s="10">
        <f>ROUND((1-_xlfn.PERCENTRANK.INC($E$4:$E$182,E32))*9,0)</f>
        <v>9</v>
      </c>
      <c r="I32" s="10" t="str">
        <f t="shared" si="0"/>
        <v>499</v>
      </c>
      <c r="J32" s="10" t="str" cm="1">
        <f t="array" ref="J32">_xlfn.IFS(AND(F32&gt;=8,G32&gt;=8,H32&gt;=8),"Champion",AND(F32&gt;=6,G32&gt;=7,H32&gt;=6),"Loyal Customer",AND(F32&gt;=6,G32&gt;=5,H32&gt;=5),"Potential Loyalist",AND(F32&gt;=8,G32&gt;=2,H32&gt;=5),"New Customers",AND(F32&gt;=6,G32&gt;=2,H32&gt;=3),"Promising",AND(F32&gt;=3,G32&gt;=3,H32&gt;=3),"Need Attention",AND(F32&gt;=4,G32&gt;=6,H32&gt;=6),"At Risk",AND(F32&gt;=2,G32&gt;=8,H32&gt;=8),"Can't Lose Them",AND(F32&gt;=2,G32&gt;=2,H32&gt;=2),"Hibernating",TRUE,"Other")</f>
        <v>Need Attention</v>
      </c>
    </row>
    <row r="33" spans="1:10">
      <c r="A33" t="s">
        <v>81</v>
      </c>
      <c r="B33" s="9">
        <v>45874</v>
      </c>
      <c r="C33" s="10">
        <f>DATEDIF(B33,$C$1,"d")</f>
        <v>132</v>
      </c>
      <c r="D33">
        <v>9</v>
      </c>
      <c r="E33">
        <v>1622.59</v>
      </c>
      <c r="F33" s="10">
        <f>ROUND((1-_xlfn.PERCENTRANK.INC($C$4:$C$182,C33))*9,0)</f>
        <v>3</v>
      </c>
      <c r="G33" s="10">
        <f>ROUND((1-_xlfn.PERCENTRANK.INC($D$4:$D$182,D33))*9,0)</f>
        <v>2</v>
      </c>
      <c r="H33" s="10">
        <f>ROUND((1-_xlfn.PERCENTRANK.INC($E$4:$E$182,E33))*9,0)</f>
        <v>3</v>
      </c>
      <c r="I33" s="10" t="str">
        <f t="shared" si="0"/>
        <v>323</v>
      </c>
      <c r="J33" s="10" t="str" cm="1">
        <f t="array" ref="J33">_xlfn.IFS(AND(F33&gt;=8,G33&gt;=8,H33&gt;=8),"Champion",AND(F33&gt;=6,G33&gt;=7,H33&gt;=6),"Loyal Customer",AND(F33&gt;=6,G33&gt;=5,H33&gt;=5),"Potential Loyalist",AND(F33&gt;=8,G33&gt;=2,H33&gt;=5),"New Customers",AND(F33&gt;=6,G33&gt;=2,H33&gt;=3),"Promising",AND(F33&gt;=3,G33&gt;=3,H33&gt;=3),"Need Attention",AND(F33&gt;=4,G33&gt;=6,H33&gt;=6),"At Risk",AND(F33&gt;=2,G33&gt;=8,H33&gt;=8),"Can't Lose Them",AND(F33&gt;=2,G33&gt;=2,H33&gt;=2),"Hibernating",TRUE,"Other")</f>
        <v>Hibernating</v>
      </c>
    </row>
    <row r="34" spans="1:10">
      <c r="A34" t="s">
        <v>50</v>
      </c>
      <c r="B34" s="9">
        <v>45937</v>
      </c>
      <c r="C34" s="10">
        <f>DATEDIF(B34,$C$1,"d")</f>
        <v>69</v>
      </c>
      <c r="D34">
        <v>6</v>
      </c>
      <c r="E34">
        <v>1456.66</v>
      </c>
      <c r="F34" s="10">
        <f>ROUND((1-_xlfn.PERCENTRANK.INC($C$4:$C$182,C34))*9,0)</f>
        <v>5</v>
      </c>
      <c r="G34" s="10">
        <f>ROUND((1-_xlfn.PERCENTRANK.INC($D$4:$D$182,D34))*9,0)</f>
        <v>6</v>
      </c>
      <c r="H34" s="10">
        <f>ROUND((1-_xlfn.PERCENTRANK.INC($E$4:$E$182,E34))*9,0)</f>
        <v>3</v>
      </c>
      <c r="I34" s="10" t="str">
        <f t="shared" si="0"/>
        <v>563</v>
      </c>
      <c r="J34" s="10" t="str" cm="1">
        <f t="array" ref="J34">_xlfn.IFS(AND(F34&gt;=8,G34&gt;=8,H34&gt;=8),"Champion",AND(F34&gt;=6,G34&gt;=7,H34&gt;=6),"Loyal Customer",AND(F34&gt;=6,G34&gt;=5,H34&gt;=5),"Potential Loyalist",AND(F34&gt;=8,G34&gt;=2,H34&gt;=5),"New Customers",AND(F34&gt;=6,G34&gt;=2,H34&gt;=3),"Promising",AND(F34&gt;=3,G34&gt;=3,H34&gt;=3),"Need Attention",AND(F34&gt;=4,G34&gt;=6,H34&gt;=6),"At Risk",AND(F34&gt;=2,G34&gt;=8,H34&gt;=8),"Can't Lose Them",AND(F34&gt;=2,G34&gt;=2,H34&gt;=2),"Hibernating",TRUE,"Other")</f>
        <v>Need Attention</v>
      </c>
    </row>
    <row r="35" spans="1:10">
      <c r="A35" t="s">
        <v>27</v>
      </c>
      <c r="B35" s="9">
        <v>45938</v>
      </c>
      <c r="C35" s="10">
        <f>DATEDIF(B35,$C$1,"d")</f>
        <v>68</v>
      </c>
      <c r="D35">
        <v>4</v>
      </c>
      <c r="E35">
        <v>1644.59</v>
      </c>
      <c r="F35" s="10">
        <f>ROUND((1-_xlfn.PERCENTRANK.INC($C$4:$C$182,C35))*9,0)</f>
        <v>5</v>
      </c>
      <c r="G35" s="10">
        <f>ROUND((1-_xlfn.PERCENTRANK.INC($D$4:$D$182,D35))*9,0)</f>
        <v>8</v>
      </c>
      <c r="H35" s="10">
        <f>ROUND((1-_xlfn.PERCENTRANK.INC($E$4:$E$182,E35))*9,0)</f>
        <v>3</v>
      </c>
      <c r="I35" s="10" t="str">
        <f t="shared" si="0"/>
        <v>583</v>
      </c>
      <c r="J35" s="10" t="str" cm="1">
        <f t="array" ref="J35">_xlfn.IFS(AND(F35&gt;=8,G35&gt;=8,H35&gt;=8),"Champion",AND(F35&gt;=6,G35&gt;=7,H35&gt;=6),"Loyal Customer",AND(F35&gt;=6,G35&gt;=5,H35&gt;=5),"Potential Loyalist",AND(F35&gt;=8,G35&gt;=2,H35&gt;=5),"New Customers",AND(F35&gt;=6,G35&gt;=2,H35&gt;=3),"Promising",AND(F35&gt;=3,G35&gt;=3,H35&gt;=3),"Need Attention",AND(F35&gt;=4,G35&gt;=6,H35&gt;=6),"At Risk",AND(F35&gt;=2,G35&gt;=8,H35&gt;=8),"Can't Lose Them",AND(F35&gt;=2,G35&gt;=2,H35&gt;=2),"Hibernating",TRUE,"Other")</f>
        <v>Need Attention</v>
      </c>
    </row>
    <row r="36" spans="1:10">
      <c r="A36" t="s">
        <v>58</v>
      </c>
      <c r="B36" s="9">
        <v>45751</v>
      </c>
      <c r="C36" s="10">
        <f>DATEDIF(B36,$C$1,"d")</f>
        <v>255</v>
      </c>
      <c r="D36">
        <v>6</v>
      </c>
      <c r="E36">
        <v>2202.47</v>
      </c>
      <c r="F36" s="10">
        <f>ROUND((1-_xlfn.PERCENTRANK.INC($C$4:$C$182,C36))*9,0)</f>
        <v>1</v>
      </c>
      <c r="G36" s="10">
        <f>ROUND((1-_xlfn.PERCENTRANK.INC($D$4:$D$182,D36))*9,0)</f>
        <v>6</v>
      </c>
      <c r="H36" s="10">
        <f>ROUND((1-_xlfn.PERCENTRANK.INC($E$4:$E$182,E36))*9,0)</f>
        <v>1</v>
      </c>
      <c r="I36" s="10" t="str">
        <f t="shared" si="0"/>
        <v>161</v>
      </c>
      <c r="J36" s="10" t="str" cm="1">
        <f t="array" ref="J36">_xlfn.IFS(AND(F36&gt;=8,G36&gt;=8,H36&gt;=8),"Champion",AND(F36&gt;=6,G36&gt;=7,H36&gt;=6),"Loyal Customer",AND(F36&gt;=6,G36&gt;=5,H36&gt;=5),"Potential Loyalist",AND(F36&gt;=8,G36&gt;=2,H36&gt;=5),"New Customers",AND(F36&gt;=6,G36&gt;=2,H36&gt;=3),"Promising",AND(F36&gt;=3,G36&gt;=3,H36&gt;=3),"Need Attention",AND(F36&gt;=4,G36&gt;=6,H36&gt;=6),"At Risk",AND(F36&gt;=2,G36&gt;=8,H36&gt;=8),"Can't Lose Them",AND(F36&gt;=2,G36&gt;=2,H36&gt;=2),"Hibernating",TRUE,"Other")</f>
        <v>Other</v>
      </c>
    </row>
    <row r="37" spans="1:10">
      <c r="A37" t="s">
        <v>9</v>
      </c>
      <c r="B37" s="9">
        <v>45781</v>
      </c>
      <c r="C37" s="10">
        <f>DATEDIF(B37,$C$1,"d")</f>
        <v>225</v>
      </c>
      <c r="D37">
        <v>4</v>
      </c>
      <c r="E37">
        <v>354.46</v>
      </c>
      <c r="F37" s="10">
        <f>ROUND((1-_xlfn.PERCENTRANK.INC($C$4:$C$182,C37))*9,0)</f>
        <v>1</v>
      </c>
      <c r="G37" s="10">
        <f>ROUND((1-_xlfn.PERCENTRANK.INC($D$4:$D$182,D37))*9,0)</f>
        <v>8</v>
      </c>
      <c r="H37" s="10">
        <f>ROUND((1-_xlfn.PERCENTRANK.INC($E$4:$E$182,E37))*9,0)</f>
        <v>9</v>
      </c>
      <c r="I37" s="10" t="str">
        <f t="shared" si="0"/>
        <v>189</v>
      </c>
      <c r="J37" s="10" t="str" cm="1">
        <f t="array" ref="J37">_xlfn.IFS(AND(F37&gt;=8,G37&gt;=8,H37&gt;=8),"Champion",AND(F37&gt;=6,G37&gt;=7,H37&gt;=6),"Loyal Customer",AND(F37&gt;=6,G37&gt;=5,H37&gt;=5),"Potential Loyalist",AND(F37&gt;=8,G37&gt;=2,H37&gt;=5),"New Customers",AND(F37&gt;=6,G37&gt;=2,H37&gt;=3),"Promising",AND(F37&gt;=3,G37&gt;=3,H37&gt;=3),"Need Attention",AND(F37&gt;=4,G37&gt;=6,H37&gt;=6),"At Risk",AND(F37&gt;=2,G37&gt;=8,H37&gt;=8),"Can't Lose Them",AND(F37&gt;=2,G37&gt;=2,H37&gt;=2),"Hibernating",TRUE,"Other")</f>
        <v>Other</v>
      </c>
    </row>
    <row r="38" spans="1:10">
      <c r="A38" t="s">
        <v>44</v>
      </c>
      <c r="B38" s="9">
        <v>45755</v>
      </c>
      <c r="C38" s="10">
        <f>DATEDIF(B38,$C$1,"d")</f>
        <v>251</v>
      </c>
      <c r="D38">
        <v>8</v>
      </c>
      <c r="E38">
        <v>1110.2</v>
      </c>
      <c r="F38" s="10">
        <f>ROUND((1-_xlfn.PERCENTRANK.INC($C$4:$C$182,C38))*9,0)</f>
        <v>1</v>
      </c>
      <c r="G38" s="10">
        <f>ROUND((1-_xlfn.PERCENTRANK.INC($D$4:$D$182,D38))*9,0)</f>
        <v>3</v>
      </c>
      <c r="H38" s="10">
        <f>ROUND((1-_xlfn.PERCENTRANK.INC($E$4:$E$182,E38))*9,0)</f>
        <v>5</v>
      </c>
      <c r="I38" s="10" t="str">
        <f t="shared" si="0"/>
        <v>135</v>
      </c>
      <c r="J38" s="10" t="str" cm="1">
        <f t="array" ref="J38">_xlfn.IFS(AND(F38&gt;=8,G38&gt;=8,H38&gt;=8),"Champion",AND(F38&gt;=6,G38&gt;=7,H38&gt;=6),"Loyal Customer",AND(F38&gt;=6,G38&gt;=5,H38&gt;=5),"Potential Loyalist",AND(F38&gt;=8,G38&gt;=2,H38&gt;=5),"New Customers",AND(F38&gt;=6,G38&gt;=2,H38&gt;=3),"Promising",AND(F38&gt;=3,G38&gt;=3,H38&gt;=3),"Need Attention",AND(F38&gt;=4,G38&gt;=6,H38&gt;=6),"At Risk",AND(F38&gt;=2,G38&gt;=8,H38&gt;=8),"Can't Lose Them",AND(F38&gt;=2,G38&gt;=2,H38&gt;=2),"Hibernating",TRUE,"Other")</f>
        <v>Other</v>
      </c>
    </row>
    <row r="39" spans="1:10">
      <c r="A39" t="s">
        <v>148</v>
      </c>
      <c r="B39" s="9">
        <v>45783</v>
      </c>
      <c r="C39" s="10">
        <f>DATEDIF(B39,$C$1,"d")</f>
        <v>223</v>
      </c>
      <c r="D39">
        <v>6</v>
      </c>
      <c r="E39">
        <v>1767.8</v>
      </c>
      <c r="F39" s="10">
        <f>ROUND((1-_xlfn.PERCENTRANK.INC($C$4:$C$182,C39))*9,0)</f>
        <v>1</v>
      </c>
      <c r="G39" s="10">
        <f>ROUND((1-_xlfn.PERCENTRANK.INC($D$4:$D$182,D39))*9,0)</f>
        <v>6</v>
      </c>
      <c r="H39" s="10">
        <f>ROUND((1-_xlfn.PERCENTRANK.INC($E$4:$E$182,E39))*9,0)</f>
        <v>2</v>
      </c>
      <c r="I39" s="10" t="str">
        <f t="shared" si="0"/>
        <v>162</v>
      </c>
      <c r="J39" s="10" t="str" cm="1">
        <f t="array" ref="J39">_xlfn.IFS(AND(F39&gt;=8,G39&gt;=8,H39&gt;=8),"Champion",AND(F39&gt;=6,G39&gt;=7,H39&gt;=6),"Loyal Customer",AND(F39&gt;=6,G39&gt;=5,H39&gt;=5),"Potential Loyalist",AND(F39&gt;=8,G39&gt;=2,H39&gt;=5),"New Customers",AND(F39&gt;=6,G39&gt;=2,H39&gt;=3),"Promising",AND(F39&gt;=3,G39&gt;=3,H39&gt;=3),"Need Attention",AND(F39&gt;=4,G39&gt;=6,H39&gt;=6),"At Risk",AND(F39&gt;=2,G39&gt;=8,H39&gt;=8),"Can't Lose Them",AND(F39&gt;=2,G39&gt;=2,H39&gt;=2),"Hibernating",TRUE,"Other")</f>
        <v>Other</v>
      </c>
    </row>
    <row r="40" spans="1:10">
      <c r="A40" t="s">
        <v>96</v>
      </c>
      <c r="B40" s="9">
        <v>45818</v>
      </c>
      <c r="C40" s="10">
        <f>DATEDIF(B40,$C$1,"d")</f>
        <v>188</v>
      </c>
      <c r="D40">
        <v>6</v>
      </c>
      <c r="E40">
        <v>1172.68</v>
      </c>
      <c r="F40" s="10">
        <f>ROUND((1-_xlfn.PERCENTRANK.INC($C$4:$C$182,C40))*9,0)</f>
        <v>2</v>
      </c>
      <c r="G40" s="10">
        <f>ROUND((1-_xlfn.PERCENTRANK.INC($D$4:$D$182,D40))*9,0)</f>
        <v>6</v>
      </c>
      <c r="H40" s="10">
        <f>ROUND((1-_xlfn.PERCENTRANK.INC($E$4:$E$182,E40))*9,0)</f>
        <v>5</v>
      </c>
      <c r="I40" s="10" t="str">
        <f t="shared" si="0"/>
        <v>265</v>
      </c>
      <c r="J40" s="10" t="str" cm="1">
        <f t="array" ref="J40">_xlfn.IFS(AND(F40&gt;=8,G40&gt;=8,H40&gt;=8),"Champion",AND(F40&gt;=6,G40&gt;=7,H40&gt;=6),"Loyal Customer",AND(F40&gt;=6,G40&gt;=5,H40&gt;=5),"Potential Loyalist",AND(F40&gt;=8,G40&gt;=2,H40&gt;=5),"New Customers",AND(F40&gt;=6,G40&gt;=2,H40&gt;=3),"Promising",AND(F40&gt;=3,G40&gt;=3,H40&gt;=3),"Need Attention",AND(F40&gt;=4,G40&gt;=6,H40&gt;=6),"At Risk",AND(F40&gt;=2,G40&gt;=8,H40&gt;=8),"Can't Lose Them",AND(F40&gt;=2,G40&gt;=2,H40&gt;=2),"Hibernating",TRUE,"Other")</f>
        <v>Hibernating</v>
      </c>
    </row>
    <row r="41" spans="1:10">
      <c r="A41" t="s">
        <v>196</v>
      </c>
      <c r="B41" s="9">
        <v>45970</v>
      </c>
      <c r="C41" s="10">
        <f>DATEDIF(B41,$C$1,"d")</f>
        <v>36</v>
      </c>
      <c r="D41">
        <v>8</v>
      </c>
      <c r="E41">
        <v>1167.49</v>
      </c>
      <c r="F41" s="10">
        <f>ROUND((1-_xlfn.PERCENTRANK.INC($C$4:$C$182,C41))*9,0)</f>
        <v>7</v>
      </c>
      <c r="G41" s="10">
        <f>ROUND((1-_xlfn.PERCENTRANK.INC($D$4:$D$182,D41))*9,0)</f>
        <v>3</v>
      </c>
      <c r="H41" s="10">
        <f>ROUND((1-_xlfn.PERCENTRANK.INC($E$4:$E$182,E41))*9,0)</f>
        <v>5</v>
      </c>
      <c r="I41" s="10" t="str">
        <f t="shared" si="0"/>
        <v>735</v>
      </c>
      <c r="J41" s="10" t="str" cm="1">
        <f t="array" ref="J41">_xlfn.IFS(AND(F41&gt;=8,G41&gt;=8,H41&gt;=8),"Champion",AND(F41&gt;=6,G41&gt;=7,H41&gt;=6),"Loyal Customer",AND(F41&gt;=6,G41&gt;=5,H41&gt;=5),"Potential Loyalist",AND(F41&gt;=8,G41&gt;=2,H41&gt;=5),"New Customers",AND(F41&gt;=6,G41&gt;=2,H41&gt;=3),"Promising",AND(F41&gt;=3,G41&gt;=3,H41&gt;=3),"Need Attention",AND(F41&gt;=4,G41&gt;=6,H41&gt;=6),"At Risk",AND(F41&gt;=2,G41&gt;=8,H41&gt;=8),"Can't Lose Them",AND(F41&gt;=2,G41&gt;=2,H41&gt;=2),"Hibernating",TRUE,"Other")</f>
        <v>Promising</v>
      </c>
    </row>
    <row r="42" spans="1:10">
      <c r="A42" t="s">
        <v>112</v>
      </c>
      <c r="B42" s="9">
        <v>45754</v>
      </c>
      <c r="C42" s="10">
        <f>DATEDIF(B42,$C$1,"d")</f>
        <v>252</v>
      </c>
      <c r="D42">
        <v>4</v>
      </c>
      <c r="E42">
        <v>530.26</v>
      </c>
      <c r="F42" s="10">
        <f>ROUND((1-_xlfn.PERCENTRANK.INC($C$4:$C$182,C42))*9,0)</f>
        <v>1</v>
      </c>
      <c r="G42" s="10">
        <f>ROUND((1-_xlfn.PERCENTRANK.INC($D$4:$D$182,D42))*9,0)</f>
        <v>8</v>
      </c>
      <c r="H42" s="10">
        <f>ROUND((1-_xlfn.PERCENTRANK.INC($E$4:$E$182,E42))*9,0)</f>
        <v>8</v>
      </c>
      <c r="I42" s="10" t="str">
        <f t="shared" si="0"/>
        <v>188</v>
      </c>
      <c r="J42" s="10" t="str" cm="1">
        <f t="array" ref="J42">_xlfn.IFS(AND(F42&gt;=8,G42&gt;=8,H42&gt;=8),"Champion",AND(F42&gt;=6,G42&gt;=7,H42&gt;=6),"Loyal Customer",AND(F42&gt;=6,G42&gt;=5,H42&gt;=5),"Potential Loyalist",AND(F42&gt;=8,G42&gt;=2,H42&gt;=5),"New Customers",AND(F42&gt;=6,G42&gt;=2,H42&gt;=3),"Promising",AND(F42&gt;=3,G42&gt;=3,H42&gt;=3),"Need Attention",AND(F42&gt;=4,G42&gt;=6,H42&gt;=6),"At Risk",AND(F42&gt;=2,G42&gt;=8,H42&gt;=8),"Can't Lose Them",AND(F42&gt;=2,G42&gt;=2,H42&gt;=2),"Hibernating",TRUE,"Other")</f>
        <v>Other</v>
      </c>
    </row>
    <row r="43" spans="1:10">
      <c r="A43" t="s">
        <v>3</v>
      </c>
      <c r="B43" s="9">
        <v>45904</v>
      </c>
      <c r="C43" s="10">
        <f>DATEDIF(B43,$C$1,"d")</f>
        <v>102</v>
      </c>
      <c r="D43">
        <v>8</v>
      </c>
      <c r="E43">
        <v>809.75</v>
      </c>
      <c r="F43" s="10">
        <f>ROUND((1-_xlfn.PERCENTRANK.INC($C$4:$C$182,C43))*9,0)</f>
        <v>4</v>
      </c>
      <c r="G43" s="10">
        <f>ROUND((1-_xlfn.PERCENTRANK.INC($D$4:$D$182,D43))*9,0)</f>
        <v>3</v>
      </c>
      <c r="H43" s="10">
        <f>ROUND((1-_xlfn.PERCENTRANK.INC($E$4:$E$182,E43))*9,0)</f>
        <v>6</v>
      </c>
      <c r="I43" s="10" t="str">
        <f t="shared" si="0"/>
        <v>436</v>
      </c>
      <c r="J43" s="10" t="str" cm="1">
        <f t="array" ref="J43">_xlfn.IFS(AND(F43&gt;=8,G43&gt;=8,H43&gt;=8),"Champion",AND(F43&gt;=6,G43&gt;=7,H43&gt;=6),"Loyal Customer",AND(F43&gt;=6,G43&gt;=5,H43&gt;=5),"Potential Loyalist",AND(F43&gt;=8,G43&gt;=2,H43&gt;=5),"New Customers",AND(F43&gt;=6,G43&gt;=2,H43&gt;=3),"Promising",AND(F43&gt;=3,G43&gt;=3,H43&gt;=3),"Need Attention",AND(F43&gt;=4,G43&gt;=6,H43&gt;=6),"At Risk",AND(F43&gt;=2,G43&gt;=8,H43&gt;=8),"Can't Lose Them",AND(F43&gt;=2,G43&gt;=2,H43&gt;=2),"Hibernating",TRUE,"Other")</f>
        <v>Need Attention</v>
      </c>
    </row>
    <row r="44" spans="1:10">
      <c r="A44" t="s">
        <v>118</v>
      </c>
      <c r="B44" s="9">
        <v>45786</v>
      </c>
      <c r="C44" s="10">
        <f>DATEDIF(B44,$C$1,"d")</f>
        <v>220</v>
      </c>
      <c r="D44">
        <v>6</v>
      </c>
      <c r="E44">
        <v>639.78</v>
      </c>
      <c r="F44" s="10">
        <f>ROUND((1-_xlfn.PERCENTRANK.INC($C$4:$C$182,C44))*9,0)</f>
        <v>1</v>
      </c>
      <c r="G44" s="10">
        <f>ROUND((1-_xlfn.PERCENTRANK.INC($D$4:$D$182,D44))*9,0)</f>
        <v>6</v>
      </c>
      <c r="H44" s="10">
        <f>ROUND((1-_xlfn.PERCENTRANK.INC($E$4:$E$182,E44))*9,0)</f>
        <v>7</v>
      </c>
      <c r="I44" s="10" t="str">
        <f t="shared" si="0"/>
        <v>167</v>
      </c>
      <c r="J44" s="10" t="str" cm="1">
        <f t="array" ref="J44">_xlfn.IFS(AND(F44&gt;=8,G44&gt;=8,H44&gt;=8),"Champion",AND(F44&gt;=6,G44&gt;=7,H44&gt;=6),"Loyal Customer",AND(F44&gt;=6,G44&gt;=5,H44&gt;=5),"Potential Loyalist",AND(F44&gt;=8,G44&gt;=2,H44&gt;=5),"New Customers",AND(F44&gt;=6,G44&gt;=2,H44&gt;=3),"Promising",AND(F44&gt;=3,G44&gt;=3,H44&gt;=3),"Need Attention",AND(F44&gt;=4,G44&gt;=6,H44&gt;=6),"At Risk",AND(F44&gt;=2,G44&gt;=8,H44&gt;=8),"Can't Lose Them",AND(F44&gt;=2,G44&gt;=2,H44&gt;=2),"Hibernating",TRUE,"Other")</f>
        <v>Other</v>
      </c>
    </row>
    <row r="45" spans="1:10">
      <c r="A45" t="s">
        <v>128</v>
      </c>
      <c r="B45" s="9">
        <v>45901</v>
      </c>
      <c r="C45" s="10">
        <f>DATEDIF(B45,$C$1,"d")</f>
        <v>105</v>
      </c>
      <c r="D45">
        <v>7</v>
      </c>
      <c r="E45">
        <v>2003.89</v>
      </c>
      <c r="F45" s="10">
        <f>ROUND((1-_xlfn.PERCENTRANK.INC($C$4:$C$182,C45))*9,0)</f>
        <v>4</v>
      </c>
      <c r="G45" s="10">
        <f>ROUND((1-_xlfn.PERCENTRANK.INC($D$4:$D$182,D45))*9,0)</f>
        <v>4</v>
      </c>
      <c r="H45" s="10">
        <f>ROUND((1-_xlfn.PERCENTRANK.INC($E$4:$E$182,E45))*9,0)</f>
        <v>2</v>
      </c>
      <c r="I45" s="10" t="str">
        <f t="shared" si="0"/>
        <v>442</v>
      </c>
      <c r="J45" s="10" t="str" cm="1">
        <f t="array" ref="J45">_xlfn.IFS(AND(F45&gt;=8,G45&gt;=8,H45&gt;=8),"Champion",AND(F45&gt;=6,G45&gt;=7,H45&gt;=6),"Loyal Customer",AND(F45&gt;=6,G45&gt;=5,H45&gt;=5),"Potential Loyalist",AND(F45&gt;=8,G45&gt;=2,H45&gt;=5),"New Customers",AND(F45&gt;=6,G45&gt;=2,H45&gt;=3),"Promising",AND(F45&gt;=3,G45&gt;=3,H45&gt;=3),"Need Attention",AND(F45&gt;=4,G45&gt;=6,H45&gt;=6),"At Risk",AND(F45&gt;=2,G45&gt;=8,H45&gt;=8),"Can't Lose Them",AND(F45&gt;=2,G45&gt;=2,H45&gt;=2),"Hibernating",TRUE,"Other")</f>
        <v>Hibernating</v>
      </c>
    </row>
    <row r="46" spans="1:10">
      <c r="A46" t="s">
        <v>170</v>
      </c>
      <c r="B46" s="9">
        <v>45842</v>
      </c>
      <c r="C46" s="10">
        <f>DATEDIF(B46,$C$1,"d")</f>
        <v>164</v>
      </c>
      <c r="D46">
        <v>5</v>
      </c>
      <c r="E46">
        <v>1067.23</v>
      </c>
      <c r="F46" s="10">
        <f>ROUND((1-_xlfn.PERCENTRANK.INC($C$4:$C$182,C46))*9,0)</f>
        <v>2</v>
      </c>
      <c r="G46" s="10">
        <f>ROUND((1-_xlfn.PERCENTRANK.INC($D$4:$D$182,D46))*9,0)</f>
        <v>7</v>
      </c>
      <c r="H46" s="10">
        <f>ROUND((1-_xlfn.PERCENTRANK.INC($E$4:$E$182,E46))*9,0)</f>
        <v>5</v>
      </c>
      <c r="I46" s="10" t="str">
        <f t="shared" si="0"/>
        <v>275</v>
      </c>
      <c r="J46" s="10" t="str" cm="1">
        <f t="array" ref="J46">_xlfn.IFS(AND(F46&gt;=8,G46&gt;=8,H46&gt;=8),"Champion",AND(F46&gt;=6,G46&gt;=7,H46&gt;=6),"Loyal Customer",AND(F46&gt;=6,G46&gt;=5,H46&gt;=5),"Potential Loyalist",AND(F46&gt;=8,G46&gt;=2,H46&gt;=5),"New Customers",AND(F46&gt;=6,G46&gt;=2,H46&gt;=3),"Promising",AND(F46&gt;=3,G46&gt;=3,H46&gt;=3),"Need Attention",AND(F46&gt;=4,G46&gt;=6,H46&gt;=6),"At Risk",AND(F46&gt;=2,G46&gt;=8,H46&gt;=8),"Can't Lose Them",AND(F46&gt;=2,G46&gt;=2,H46&gt;=2),"Hibernating",TRUE,"Other")</f>
        <v>Hibernating</v>
      </c>
    </row>
    <row r="47" spans="1:10">
      <c r="A47" t="s">
        <v>168</v>
      </c>
      <c r="B47" s="9">
        <v>45972</v>
      </c>
      <c r="C47" s="10">
        <f>DATEDIF(B47,$C$1,"d")</f>
        <v>34</v>
      </c>
      <c r="D47">
        <v>8</v>
      </c>
      <c r="E47">
        <v>875.56</v>
      </c>
      <c r="F47" s="10">
        <f>ROUND((1-_xlfn.PERCENTRANK.INC($C$4:$C$182,C47))*9,0)</f>
        <v>7</v>
      </c>
      <c r="G47" s="10">
        <f>ROUND((1-_xlfn.PERCENTRANK.INC($D$4:$D$182,D47))*9,0)</f>
        <v>3</v>
      </c>
      <c r="H47" s="10">
        <f>ROUND((1-_xlfn.PERCENTRANK.INC($E$4:$E$182,E47))*9,0)</f>
        <v>6</v>
      </c>
      <c r="I47" s="10" t="str">
        <f t="shared" si="0"/>
        <v>736</v>
      </c>
      <c r="J47" s="10" t="str" cm="1">
        <f t="array" ref="J47">_xlfn.IFS(AND(F47&gt;=8,G47&gt;=8,H47&gt;=8),"Champion",AND(F47&gt;=6,G47&gt;=7,H47&gt;=6),"Loyal Customer",AND(F47&gt;=6,G47&gt;=5,H47&gt;=5),"Potential Loyalist",AND(F47&gt;=8,G47&gt;=2,H47&gt;=5),"New Customers",AND(F47&gt;=6,G47&gt;=2,H47&gt;=3),"Promising",AND(F47&gt;=3,G47&gt;=3,H47&gt;=3),"Need Attention",AND(F47&gt;=4,G47&gt;=6,H47&gt;=6),"At Risk",AND(F47&gt;=2,G47&gt;=8,H47&gt;=8),"Can't Lose Them",AND(F47&gt;=2,G47&gt;=2,H47&gt;=2),"Hibernating",TRUE,"Other")</f>
        <v>Promising</v>
      </c>
    </row>
    <row r="48" spans="1:10">
      <c r="A48" t="s">
        <v>120</v>
      </c>
      <c r="B48" s="9">
        <v>45910</v>
      </c>
      <c r="C48" s="10">
        <f>DATEDIF(B48,$C$1,"d")</f>
        <v>96</v>
      </c>
      <c r="D48">
        <v>4</v>
      </c>
      <c r="E48">
        <v>310.24</v>
      </c>
      <c r="F48" s="10">
        <f>ROUND((1-_xlfn.PERCENTRANK.INC($C$4:$C$182,C48))*9,0)</f>
        <v>4</v>
      </c>
      <c r="G48" s="10">
        <f>ROUND((1-_xlfn.PERCENTRANK.INC($D$4:$D$182,D48))*9,0)</f>
        <v>8</v>
      </c>
      <c r="H48" s="10">
        <f>ROUND((1-_xlfn.PERCENTRANK.INC($E$4:$E$182,E48))*9,0)</f>
        <v>9</v>
      </c>
      <c r="I48" s="10" t="str">
        <f t="shared" si="0"/>
        <v>489</v>
      </c>
      <c r="J48" s="10" t="str" cm="1">
        <f t="array" ref="J48">_xlfn.IFS(AND(F48&gt;=8,G48&gt;=8,H48&gt;=8),"Champion",AND(F48&gt;=6,G48&gt;=7,H48&gt;=6),"Loyal Customer",AND(F48&gt;=6,G48&gt;=5,H48&gt;=5),"Potential Loyalist",AND(F48&gt;=8,G48&gt;=2,H48&gt;=5),"New Customers",AND(F48&gt;=6,G48&gt;=2,H48&gt;=3),"Promising",AND(F48&gt;=3,G48&gt;=3,H48&gt;=3),"Need Attention",AND(F48&gt;=4,G48&gt;=6,H48&gt;=6),"At Risk",AND(F48&gt;=2,G48&gt;=8,H48&gt;=8),"Can't Lose Them",AND(F48&gt;=2,G48&gt;=2,H48&gt;=2),"Hibernating",TRUE,"Other")</f>
        <v>Need Attention</v>
      </c>
    </row>
    <row r="49" spans="1:10">
      <c r="A49" t="s">
        <v>145</v>
      </c>
      <c r="B49" s="9">
        <v>45996</v>
      </c>
      <c r="C49" s="10">
        <f>DATEDIF(B49,$C$1,"d")</f>
        <v>10</v>
      </c>
      <c r="D49">
        <v>6</v>
      </c>
      <c r="E49">
        <v>1157.26</v>
      </c>
      <c r="F49" s="10">
        <f>ROUND((1-_xlfn.PERCENTRANK.INC($C$4:$C$182,C49))*9,0)</f>
        <v>8</v>
      </c>
      <c r="G49" s="10">
        <f>ROUND((1-_xlfn.PERCENTRANK.INC($D$4:$D$182,D49))*9,0)</f>
        <v>6</v>
      </c>
      <c r="H49" s="10">
        <f>ROUND((1-_xlfn.PERCENTRANK.INC($E$4:$E$182,E49))*9,0)</f>
        <v>5</v>
      </c>
      <c r="I49" s="10" t="str">
        <f t="shared" si="0"/>
        <v>865</v>
      </c>
      <c r="J49" s="10" t="str" cm="1">
        <f t="array" ref="J49">_xlfn.IFS(AND(F49&gt;=8,G49&gt;=8,H49&gt;=8),"Champion",AND(F49&gt;=6,G49&gt;=7,H49&gt;=6),"Loyal Customer",AND(F49&gt;=6,G49&gt;=5,H49&gt;=5),"Potential Loyalist",AND(F49&gt;=8,G49&gt;=2,H49&gt;=5),"New Customers",AND(F49&gt;=6,G49&gt;=2,H49&gt;=3),"Promising",AND(F49&gt;=3,G49&gt;=3,H49&gt;=3),"Need Attention",AND(F49&gt;=4,G49&gt;=6,H49&gt;=6),"At Risk",AND(F49&gt;=2,G49&gt;=8,H49&gt;=8),"Can't Lose Them",AND(F49&gt;=2,G49&gt;=2,H49&gt;=2),"Hibernating",TRUE,"Other")</f>
        <v>Potential Loyalist</v>
      </c>
    </row>
    <row r="50" spans="1:10">
      <c r="A50" t="s">
        <v>107</v>
      </c>
      <c r="B50" s="9">
        <v>45965</v>
      </c>
      <c r="C50" s="10">
        <f>DATEDIF(B50,$C$1,"d")</f>
        <v>41</v>
      </c>
      <c r="D50">
        <v>7</v>
      </c>
      <c r="E50">
        <v>1647.85</v>
      </c>
      <c r="F50" s="10">
        <f>ROUND((1-_xlfn.PERCENTRANK.INC($C$4:$C$182,C50))*9,0)</f>
        <v>6</v>
      </c>
      <c r="G50" s="10">
        <f>ROUND((1-_xlfn.PERCENTRANK.INC($D$4:$D$182,D50))*9,0)</f>
        <v>4</v>
      </c>
      <c r="H50" s="10">
        <f>ROUND((1-_xlfn.PERCENTRANK.INC($E$4:$E$182,E50))*9,0)</f>
        <v>3</v>
      </c>
      <c r="I50" s="10" t="str">
        <f t="shared" si="0"/>
        <v>643</v>
      </c>
      <c r="J50" s="10" t="str" cm="1">
        <f t="array" ref="J50">_xlfn.IFS(AND(F50&gt;=8,G50&gt;=8,H50&gt;=8),"Champion",AND(F50&gt;=6,G50&gt;=7,H50&gt;=6),"Loyal Customer",AND(F50&gt;=6,G50&gt;=5,H50&gt;=5),"Potential Loyalist",AND(F50&gt;=8,G50&gt;=2,H50&gt;=5),"New Customers",AND(F50&gt;=6,G50&gt;=2,H50&gt;=3),"Promising",AND(F50&gt;=3,G50&gt;=3,H50&gt;=3),"Need Attention",AND(F50&gt;=4,G50&gt;=6,H50&gt;=6),"At Risk",AND(F50&gt;=2,G50&gt;=8,H50&gt;=8),"Can't Lose Them",AND(F50&gt;=2,G50&gt;=2,H50&gt;=2),"Hibernating",TRUE,"Other")</f>
        <v>Promising</v>
      </c>
    </row>
    <row r="51" spans="1:10">
      <c r="A51" t="s">
        <v>52</v>
      </c>
      <c r="B51" s="9">
        <v>46001</v>
      </c>
      <c r="C51" s="10">
        <f>DATEDIF(B51,$C$1,"d")</f>
        <v>5</v>
      </c>
      <c r="D51">
        <v>4</v>
      </c>
      <c r="E51">
        <v>357.72</v>
      </c>
      <c r="F51" s="10">
        <f>ROUND((1-_xlfn.PERCENTRANK.INC($C$4:$C$182,C51))*9,0)</f>
        <v>9</v>
      </c>
      <c r="G51" s="10">
        <f>ROUND((1-_xlfn.PERCENTRANK.INC($D$4:$D$182,D51))*9,0)</f>
        <v>8</v>
      </c>
      <c r="H51" s="10">
        <f>ROUND((1-_xlfn.PERCENTRANK.INC($E$4:$E$182,E51))*9,0)</f>
        <v>9</v>
      </c>
      <c r="I51" s="10" t="str">
        <f t="shared" si="0"/>
        <v>989</v>
      </c>
      <c r="J51" s="10" t="str" cm="1">
        <f t="array" ref="J51">_xlfn.IFS(AND(F51&gt;=8,G51&gt;=8,H51&gt;=8),"Champion",AND(F51&gt;=6,G51&gt;=7,H51&gt;=6),"Loyal Customer",AND(F51&gt;=6,G51&gt;=5,H51&gt;=5),"Potential Loyalist",AND(F51&gt;=8,G51&gt;=2,H51&gt;=5),"New Customers",AND(F51&gt;=6,G51&gt;=2,H51&gt;=3),"Promising",AND(F51&gt;=3,G51&gt;=3,H51&gt;=3),"Need Attention",AND(F51&gt;=4,G51&gt;=6,H51&gt;=6),"At Risk",AND(F51&gt;=2,G51&gt;=8,H51&gt;=8),"Can't Lose Them",AND(F51&gt;=2,G51&gt;=2,H51&gt;=2),"Hibernating",TRUE,"Other")</f>
        <v>Champion</v>
      </c>
    </row>
    <row r="52" spans="1:10">
      <c r="A52" t="s">
        <v>149</v>
      </c>
      <c r="B52" s="9">
        <v>45910</v>
      </c>
      <c r="C52" s="10">
        <f>DATEDIF(B52,$C$1,"d")</f>
        <v>96</v>
      </c>
      <c r="D52">
        <v>9</v>
      </c>
      <c r="E52">
        <v>1464.58</v>
      </c>
      <c r="F52" s="10">
        <f>ROUND((1-_xlfn.PERCENTRANK.INC($C$4:$C$182,C52))*9,0)</f>
        <v>4</v>
      </c>
      <c r="G52" s="10">
        <f>ROUND((1-_xlfn.PERCENTRANK.INC($D$4:$D$182,D52))*9,0)</f>
        <v>2</v>
      </c>
      <c r="H52" s="10">
        <f>ROUND((1-_xlfn.PERCENTRANK.INC($E$4:$E$182,E52))*9,0)</f>
        <v>3</v>
      </c>
      <c r="I52" s="10" t="str">
        <f t="shared" si="0"/>
        <v>423</v>
      </c>
      <c r="J52" s="10" t="str" cm="1">
        <f t="array" ref="J52">_xlfn.IFS(AND(F52&gt;=8,G52&gt;=8,H52&gt;=8),"Champion",AND(F52&gt;=6,G52&gt;=7,H52&gt;=6),"Loyal Customer",AND(F52&gt;=6,G52&gt;=5,H52&gt;=5),"Potential Loyalist",AND(F52&gt;=8,G52&gt;=2,H52&gt;=5),"New Customers",AND(F52&gt;=6,G52&gt;=2,H52&gt;=3),"Promising",AND(F52&gt;=3,G52&gt;=3,H52&gt;=3),"Need Attention",AND(F52&gt;=4,G52&gt;=6,H52&gt;=6),"At Risk",AND(F52&gt;=2,G52&gt;=8,H52&gt;=8),"Can't Lose Them",AND(F52&gt;=2,G52&gt;=2,H52&gt;=2),"Hibernating",TRUE,"Other")</f>
        <v>Hibernating</v>
      </c>
    </row>
    <row r="53" spans="1:10">
      <c r="A53" t="s">
        <v>175</v>
      </c>
      <c r="B53" s="9">
        <v>45665</v>
      </c>
      <c r="C53" s="10">
        <f>DATEDIF(B53,$C$1,"d")</f>
        <v>341</v>
      </c>
      <c r="D53">
        <v>6</v>
      </c>
      <c r="E53">
        <v>598.74</v>
      </c>
      <c r="F53" s="10">
        <f>ROUND((1-_xlfn.PERCENTRANK.INC($C$4:$C$182,C53))*9,0)</f>
        <v>0</v>
      </c>
      <c r="G53" s="10">
        <f>ROUND((1-_xlfn.PERCENTRANK.INC($D$4:$D$182,D53))*9,0)</f>
        <v>6</v>
      </c>
      <c r="H53" s="10">
        <f>ROUND((1-_xlfn.PERCENTRANK.INC($E$4:$E$182,E53))*9,0)</f>
        <v>7</v>
      </c>
      <c r="I53" s="10" t="str">
        <f t="shared" si="0"/>
        <v>067</v>
      </c>
      <c r="J53" s="10" t="str" cm="1">
        <f t="array" ref="J53">_xlfn.IFS(AND(F53&gt;=8,G53&gt;=8,H53&gt;=8),"Champion",AND(F53&gt;=6,G53&gt;=7,H53&gt;=6),"Loyal Customer",AND(F53&gt;=6,G53&gt;=5,H53&gt;=5),"Potential Loyalist",AND(F53&gt;=8,G53&gt;=2,H53&gt;=5),"New Customers",AND(F53&gt;=6,G53&gt;=2,H53&gt;=3),"Promising",AND(F53&gt;=3,G53&gt;=3,H53&gt;=3),"Need Attention",AND(F53&gt;=4,G53&gt;=6,H53&gt;=6),"At Risk",AND(F53&gt;=2,G53&gt;=8,H53&gt;=8),"Can't Lose Them",AND(F53&gt;=2,G53&gt;=2,H53&gt;=2),"Hibernating",TRUE,"Other")</f>
        <v>Other</v>
      </c>
    </row>
    <row r="54" spans="1:10">
      <c r="A54" t="s">
        <v>93</v>
      </c>
      <c r="B54" s="9">
        <v>45972</v>
      </c>
      <c r="C54" s="10">
        <f>DATEDIF(B54,$C$1,"d")</f>
        <v>34</v>
      </c>
      <c r="D54">
        <v>4</v>
      </c>
      <c r="E54">
        <v>629.78</v>
      </c>
      <c r="F54" s="10">
        <f>ROUND((1-_xlfn.PERCENTRANK.INC($C$4:$C$182,C54))*9,0)</f>
        <v>7</v>
      </c>
      <c r="G54" s="10">
        <f>ROUND((1-_xlfn.PERCENTRANK.INC($D$4:$D$182,D54))*9,0)</f>
        <v>8</v>
      </c>
      <c r="H54" s="10">
        <f>ROUND((1-_xlfn.PERCENTRANK.INC($E$4:$E$182,E54))*9,0)</f>
        <v>7</v>
      </c>
      <c r="I54" s="10" t="str">
        <f t="shared" si="0"/>
        <v>787</v>
      </c>
      <c r="J54" s="10" t="str" cm="1">
        <f t="array" ref="J54">_xlfn.IFS(AND(F54&gt;=8,G54&gt;=8,H54&gt;=8),"Champion",AND(F54&gt;=6,G54&gt;=7,H54&gt;=6),"Loyal Customer",AND(F54&gt;=6,G54&gt;=5,H54&gt;=5),"Potential Loyalist",AND(F54&gt;=8,G54&gt;=2,H54&gt;=5),"New Customers",AND(F54&gt;=6,G54&gt;=2,H54&gt;=3),"Promising",AND(F54&gt;=3,G54&gt;=3,H54&gt;=3),"Need Attention",AND(F54&gt;=4,G54&gt;=6,H54&gt;=6),"At Risk",AND(F54&gt;=2,G54&gt;=8,H54&gt;=8),"Can't Lose Them",AND(F54&gt;=2,G54&gt;=2,H54&gt;=2),"Hibernating",TRUE,"Other")</f>
        <v>Loyal Customer</v>
      </c>
    </row>
    <row r="55" spans="1:10">
      <c r="A55" t="s">
        <v>180</v>
      </c>
      <c r="B55" s="9">
        <v>45842</v>
      </c>
      <c r="C55" s="10">
        <f>DATEDIF(B55,$C$1,"d")</f>
        <v>164</v>
      </c>
      <c r="D55">
        <v>8</v>
      </c>
      <c r="E55">
        <v>1477.56</v>
      </c>
      <c r="F55" s="10">
        <f>ROUND((1-_xlfn.PERCENTRANK.INC($C$4:$C$182,C55))*9,0)</f>
        <v>2</v>
      </c>
      <c r="G55" s="10">
        <f>ROUND((1-_xlfn.PERCENTRANK.INC($D$4:$D$182,D55))*9,0)</f>
        <v>3</v>
      </c>
      <c r="H55" s="10">
        <f>ROUND((1-_xlfn.PERCENTRANK.INC($E$4:$E$182,E55))*9,0)</f>
        <v>3</v>
      </c>
      <c r="I55" s="10" t="str">
        <f t="shared" si="0"/>
        <v>233</v>
      </c>
      <c r="J55" s="10" t="str" cm="1">
        <f t="array" ref="J55">_xlfn.IFS(AND(F55&gt;=8,G55&gt;=8,H55&gt;=8),"Champion",AND(F55&gt;=6,G55&gt;=7,H55&gt;=6),"Loyal Customer",AND(F55&gt;=6,G55&gt;=5,H55&gt;=5),"Potential Loyalist",AND(F55&gt;=8,G55&gt;=2,H55&gt;=5),"New Customers",AND(F55&gt;=6,G55&gt;=2,H55&gt;=3),"Promising",AND(F55&gt;=3,G55&gt;=3,H55&gt;=3),"Need Attention",AND(F55&gt;=4,G55&gt;=6,H55&gt;=6),"At Risk",AND(F55&gt;=2,G55&gt;=8,H55&gt;=8),"Can't Lose Them",AND(F55&gt;=2,G55&gt;=2,H55&gt;=2),"Hibernating",TRUE,"Other")</f>
        <v>Hibernating</v>
      </c>
    </row>
    <row r="56" spans="1:10">
      <c r="A56" t="s">
        <v>29</v>
      </c>
      <c r="B56" s="9">
        <v>45873</v>
      </c>
      <c r="C56" s="10">
        <f>DATEDIF(B56,$C$1,"d")</f>
        <v>133</v>
      </c>
      <c r="D56">
        <v>7</v>
      </c>
      <c r="E56">
        <v>2501.16</v>
      </c>
      <c r="F56" s="10">
        <f>ROUND((1-_xlfn.PERCENTRANK.INC($C$4:$C$182,C56))*9,0)</f>
        <v>3</v>
      </c>
      <c r="G56" s="10">
        <f>ROUND((1-_xlfn.PERCENTRANK.INC($D$4:$D$182,D56))*9,0)</f>
        <v>4</v>
      </c>
      <c r="H56" s="10">
        <f>ROUND((1-_xlfn.PERCENTRANK.INC($E$4:$E$182,E56))*9,0)</f>
        <v>1</v>
      </c>
      <c r="I56" s="10" t="str">
        <f t="shared" si="0"/>
        <v>341</v>
      </c>
      <c r="J56" s="10" t="str" cm="1">
        <f t="array" ref="J56">_xlfn.IFS(AND(F56&gt;=8,G56&gt;=8,H56&gt;=8),"Champion",AND(F56&gt;=6,G56&gt;=7,H56&gt;=6),"Loyal Customer",AND(F56&gt;=6,G56&gt;=5,H56&gt;=5),"Potential Loyalist",AND(F56&gt;=8,G56&gt;=2,H56&gt;=5),"New Customers",AND(F56&gt;=6,G56&gt;=2,H56&gt;=3),"Promising",AND(F56&gt;=3,G56&gt;=3,H56&gt;=3),"Need Attention",AND(F56&gt;=4,G56&gt;=6,H56&gt;=6),"At Risk",AND(F56&gt;=2,G56&gt;=8,H56&gt;=8),"Can't Lose Them",AND(F56&gt;=2,G56&gt;=2,H56&gt;=2),"Hibernating",TRUE,"Other")</f>
        <v>Other</v>
      </c>
    </row>
    <row r="57" spans="1:10">
      <c r="A57" t="s">
        <v>90</v>
      </c>
      <c r="B57" s="9">
        <v>46002</v>
      </c>
      <c r="C57" s="10">
        <f>DATEDIF(B57,$C$1,"d")</f>
        <v>4</v>
      </c>
      <c r="D57">
        <v>7</v>
      </c>
      <c r="E57">
        <v>1226.64</v>
      </c>
      <c r="F57" s="10">
        <f>ROUND((1-_xlfn.PERCENTRANK.INC($C$4:$C$182,C57))*9,0)</f>
        <v>9</v>
      </c>
      <c r="G57" s="10">
        <f>ROUND((1-_xlfn.PERCENTRANK.INC($D$4:$D$182,D57))*9,0)</f>
        <v>4</v>
      </c>
      <c r="H57" s="10">
        <f>ROUND((1-_xlfn.PERCENTRANK.INC($E$4:$E$182,E57))*9,0)</f>
        <v>4</v>
      </c>
      <c r="I57" s="10" t="str">
        <f t="shared" si="0"/>
        <v>944</v>
      </c>
      <c r="J57" s="10" t="str" cm="1">
        <f t="array" ref="J57">_xlfn.IFS(AND(F57&gt;=8,G57&gt;=8,H57&gt;=8),"Champion",AND(F57&gt;=6,G57&gt;=7,H57&gt;=6),"Loyal Customer",AND(F57&gt;=6,G57&gt;=5,H57&gt;=5),"Potential Loyalist",AND(F57&gt;=8,G57&gt;=2,H57&gt;=5),"New Customers",AND(F57&gt;=6,G57&gt;=2,H57&gt;=3),"Promising",AND(F57&gt;=3,G57&gt;=3,H57&gt;=3),"Need Attention",AND(F57&gt;=4,G57&gt;=6,H57&gt;=6),"At Risk",AND(F57&gt;=2,G57&gt;=8,H57&gt;=8),"Can't Lose Them",AND(F57&gt;=2,G57&gt;=2,H57&gt;=2),"Hibernating",TRUE,"Other")</f>
        <v>Promising</v>
      </c>
    </row>
    <row r="58" spans="1:10">
      <c r="A58" t="s">
        <v>78</v>
      </c>
      <c r="B58" s="9">
        <v>45848</v>
      </c>
      <c r="C58" s="10">
        <f>DATEDIF(B58,$C$1,"d")</f>
        <v>158</v>
      </c>
      <c r="D58">
        <v>7</v>
      </c>
      <c r="E58">
        <v>604.15</v>
      </c>
      <c r="F58" s="10">
        <f>ROUND((1-_xlfn.PERCENTRANK.INC($C$4:$C$182,C58))*9,0)</f>
        <v>3</v>
      </c>
      <c r="G58" s="10">
        <f>ROUND((1-_xlfn.PERCENTRANK.INC($D$4:$D$182,D58))*9,0)</f>
        <v>4</v>
      </c>
      <c r="H58" s="10">
        <f>ROUND((1-_xlfn.PERCENTRANK.INC($E$4:$E$182,E58))*9,0)</f>
        <v>7</v>
      </c>
      <c r="I58" s="10" t="str">
        <f t="shared" si="0"/>
        <v>347</v>
      </c>
      <c r="J58" s="10" t="str" cm="1">
        <f t="array" ref="J58">_xlfn.IFS(AND(F58&gt;=8,G58&gt;=8,H58&gt;=8),"Champion",AND(F58&gt;=6,G58&gt;=7,H58&gt;=6),"Loyal Customer",AND(F58&gt;=6,G58&gt;=5,H58&gt;=5),"Potential Loyalist",AND(F58&gt;=8,G58&gt;=2,H58&gt;=5),"New Customers",AND(F58&gt;=6,G58&gt;=2,H58&gt;=3),"Promising",AND(F58&gt;=3,G58&gt;=3,H58&gt;=3),"Need Attention",AND(F58&gt;=4,G58&gt;=6,H58&gt;=6),"At Risk",AND(F58&gt;=2,G58&gt;=8,H58&gt;=8),"Can't Lose Them",AND(F58&gt;=2,G58&gt;=2,H58&gt;=2),"Hibernating",TRUE,"Other")</f>
        <v>Need Attention</v>
      </c>
    </row>
    <row r="59" spans="1:10">
      <c r="A59" t="s">
        <v>123</v>
      </c>
      <c r="B59" s="9">
        <v>45726</v>
      </c>
      <c r="C59" s="10">
        <f>DATEDIF(B59,$C$1,"d")</f>
        <v>280</v>
      </c>
      <c r="D59">
        <v>5</v>
      </c>
      <c r="E59">
        <v>829.21</v>
      </c>
      <c r="F59" s="10">
        <f>ROUND((1-_xlfn.PERCENTRANK.INC($C$4:$C$182,C59))*9,0)</f>
        <v>1</v>
      </c>
      <c r="G59" s="10">
        <f>ROUND((1-_xlfn.PERCENTRANK.INC($D$4:$D$182,D59))*9,0)</f>
        <v>7</v>
      </c>
      <c r="H59" s="10">
        <f>ROUND((1-_xlfn.PERCENTRANK.INC($E$4:$E$182,E59))*9,0)</f>
        <v>6</v>
      </c>
      <c r="I59" s="10" t="str">
        <f t="shared" si="0"/>
        <v>176</v>
      </c>
      <c r="J59" s="10" t="str" cm="1">
        <f t="array" ref="J59">_xlfn.IFS(AND(F59&gt;=8,G59&gt;=8,H59&gt;=8),"Champion",AND(F59&gt;=6,G59&gt;=7,H59&gt;=6),"Loyal Customer",AND(F59&gt;=6,G59&gt;=5,H59&gt;=5),"Potential Loyalist",AND(F59&gt;=8,G59&gt;=2,H59&gt;=5),"New Customers",AND(F59&gt;=6,G59&gt;=2,H59&gt;=3),"Promising",AND(F59&gt;=3,G59&gt;=3,H59&gt;=3),"Need Attention",AND(F59&gt;=4,G59&gt;=6,H59&gt;=6),"At Risk",AND(F59&gt;=2,G59&gt;=8,H59&gt;=8),"Can't Lose Them",AND(F59&gt;=2,G59&gt;=2,H59&gt;=2),"Hibernating",TRUE,"Other")</f>
        <v>Other</v>
      </c>
    </row>
    <row r="60" spans="1:10">
      <c r="A60" t="s">
        <v>47</v>
      </c>
      <c r="B60" s="9">
        <v>45933</v>
      </c>
      <c r="C60" s="10">
        <f>DATEDIF(B60,$C$1,"d")</f>
        <v>73</v>
      </c>
      <c r="D60">
        <v>8</v>
      </c>
      <c r="E60">
        <v>2471.4</v>
      </c>
      <c r="F60" s="10">
        <f>ROUND((1-_xlfn.PERCENTRANK.INC($C$4:$C$182,C60))*9,0)</f>
        <v>5</v>
      </c>
      <c r="G60" s="10">
        <f>ROUND((1-_xlfn.PERCENTRANK.INC($D$4:$D$182,D60))*9,0)</f>
        <v>3</v>
      </c>
      <c r="H60" s="10">
        <f>ROUND((1-_xlfn.PERCENTRANK.INC($E$4:$E$182,E60))*9,0)</f>
        <v>1</v>
      </c>
      <c r="I60" s="10" t="str">
        <f t="shared" si="0"/>
        <v>531</v>
      </c>
      <c r="J60" s="10" t="str" cm="1">
        <f t="array" ref="J60">_xlfn.IFS(AND(F60&gt;=8,G60&gt;=8,H60&gt;=8),"Champion",AND(F60&gt;=6,G60&gt;=7,H60&gt;=6),"Loyal Customer",AND(F60&gt;=6,G60&gt;=5,H60&gt;=5),"Potential Loyalist",AND(F60&gt;=8,G60&gt;=2,H60&gt;=5),"New Customers",AND(F60&gt;=6,G60&gt;=2,H60&gt;=3),"Promising",AND(F60&gt;=3,G60&gt;=3,H60&gt;=3),"Need Attention",AND(F60&gt;=4,G60&gt;=6,H60&gt;=6),"At Risk",AND(F60&gt;=2,G60&gt;=8,H60&gt;=8),"Can't Lose Them",AND(F60&gt;=2,G60&gt;=2,H60&gt;=2),"Hibernating",TRUE,"Other")</f>
        <v>Other</v>
      </c>
    </row>
    <row r="61" spans="1:10">
      <c r="A61" t="s">
        <v>77</v>
      </c>
      <c r="B61" s="9">
        <v>45908</v>
      </c>
      <c r="C61" s="10">
        <f>DATEDIF(B61,$C$1,"d")</f>
        <v>98</v>
      </c>
      <c r="D61">
        <v>6</v>
      </c>
      <c r="E61">
        <v>1349.35</v>
      </c>
      <c r="F61" s="10">
        <f>ROUND((1-_xlfn.PERCENTRANK.INC($C$4:$C$182,C61))*9,0)</f>
        <v>4</v>
      </c>
      <c r="G61" s="10">
        <f>ROUND((1-_xlfn.PERCENTRANK.INC($D$4:$D$182,D61))*9,0)</f>
        <v>6</v>
      </c>
      <c r="H61" s="10">
        <f>ROUND((1-_xlfn.PERCENTRANK.INC($E$4:$E$182,E61))*9,0)</f>
        <v>4</v>
      </c>
      <c r="I61" s="10" t="str">
        <f t="shared" si="0"/>
        <v>464</v>
      </c>
      <c r="J61" s="10" t="str" cm="1">
        <f t="array" ref="J61">_xlfn.IFS(AND(F61&gt;=8,G61&gt;=8,H61&gt;=8),"Champion",AND(F61&gt;=6,G61&gt;=7,H61&gt;=6),"Loyal Customer",AND(F61&gt;=6,G61&gt;=5,H61&gt;=5),"Potential Loyalist",AND(F61&gt;=8,G61&gt;=2,H61&gt;=5),"New Customers",AND(F61&gt;=6,G61&gt;=2,H61&gt;=3),"Promising",AND(F61&gt;=3,G61&gt;=3,H61&gt;=3),"Need Attention",AND(F61&gt;=4,G61&gt;=6,H61&gt;=6),"At Risk",AND(F61&gt;=2,G61&gt;=8,H61&gt;=8),"Can't Lose Them",AND(F61&gt;=2,G61&gt;=2,H61&gt;=2),"Hibernating",TRUE,"Other")</f>
        <v>Need Attention</v>
      </c>
    </row>
    <row r="62" spans="1:10">
      <c r="A62" t="s">
        <v>162</v>
      </c>
      <c r="B62" s="9">
        <v>45909</v>
      </c>
      <c r="C62" s="10">
        <f>DATEDIF(B62,$C$1,"d")</f>
        <v>97</v>
      </c>
      <c r="D62">
        <v>6</v>
      </c>
      <c r="E62">
        <v>424.36</v>
      </c>
      <c r="F62" s="10">
        <f>ROUND((1-_xlfn.PERCENTRANK.INC($C$4:$C$182,C62))*9,0)</f>
        <v>4</v>
      </c>
      <c r="G62" s="10">
        <f>ROUND((1-_xlfn.PERCENTRANK.INC($D$4:$D$182,D62))*9,0)</f>
        <v>6</v>
      </c>
      <c r="H62" s="10">
        <f>ROUND((1-_xlfn.PERCENTRANK.INC($E$4:$E$182,E62))*9,0)</f>
        <v>8</v>
      </c>
      <c r="I62" s="10" t="str">
        <f t="shared" si="0"/>
        <v>468</v>
      </c>
      <c r="J62" s="10" t="str" cm="1">
        <f t="array" ref="J62">_xlfn.IFS(AND(F62&gt;=8,G62&gt;=8,H62&gt;=8),"Champion",AND(F62&gt;=6,G62&gt;=7,H62&gt;=6),"Loyal Customer",AND(F62&gt;=6,G62&gt;=5,H62&gt;=5),"Potential Loyalist",AND(F62&gt;=8,G62&gt;=2,H62&gt;=5),"New Customers",AND(F62&gt;=6,G62&gt;=2,H62&gt;=3),"Promising",AND(F62&gt;=3,G62&gt;=3,H62&gt;=3),"Need Attention",AND(F62&gt;=4,G62&gt;=6,H62&gt;=6),"At Risk",AND(F62&gt;=2,G62&gt;=8,H62&gt;=8),"Can't Lose Them",AND(F62&gt;=2,G62&gt;=2,H62&gt;=2),"Hibernating",TRUE,"Other")</f>
        <v>Need Attention</v>
      </c>
    </row>
    <row r="63" spans="1:10">
      <c r="A63" t="s">
        <v>119</v>
      </c>
      <c r="B63" s="9">
        <v>46000</v>
      </c>
      <c r="C63" s="10">
        <f>DATEDIF(B63,$C$1,"d")</f>
        <v>6</v>
      </c>
      <c r="D63">
        <v>8</v>
      </c>
      <c r="E63">
        <v>1738.43</v>
      </c>
      <c r="F63" s="10">
        <f>ROUND((1-_xlfn.PERCENTRANK.INC($C$4:$C$182,C63))*9,0)</f>
        <v>9</v>
      </c>
      <c r="G63" s="10">
        <f>ROUND((1-_xlfn.PERCENTRANK.INC($D$4:$D$182,D63))*9,0)</f>
        <v>3</v>
      </c>
      <c r="H63" s="10">
        <f>ROUND((1-_xlfn.PERCENTRANK.INC($E$4:$E$182,E63))*9,0)</f>
        <v>2</v>
      </c>
      <c r="I63" s="10" t="str">
        <f t="shared" si="0"/>
        <v>932</v>
      </c>
      <c r="J63" s="10" t="str" cm="1">
        <f t="array" ref="J63">_xlfn.IFS(AND(F63&gt;=8,G63&gt;=8,H63&gt;=8),"Champion",AND(F63&gt;=6,G63&gt;=7,H63&gt;=6),"Loyal Customer",AND(F63&gt;=6,G63&gt;=5,H63&gt;=5),"Potential Loyalist",AND(F63&gt;=8,G63&gt;=2,H63&gt;=5),"New Customers",AND(F63&gt;=6,G63&gt;=2,H63&gt;=3),"Promising",AND(F63&gt;=3,G63&gt;=3,H63&gt;=3),"Need Attention",AND(F63&gt;=4,G63&gt;=6,H63&gt;=6),"At Risk",AND(F63&gt;=2,G63&gt;=8,H63&gt;=8),"Can't Lose Them",AND(F63&gt;=2,G63&gt;=2,H63&gt;=2),"Hibernating",TRUE,"Other")</f>
        <v>Hibernating</v>
      </c>
    </row>
    <row r="64" spans="1:10">
      <c r="A64" t="s">
        <v>133</v>
      </c>
      <c r="B64" s="9">
        <v>45873</v>
      </c>
      <c r="C64" s="10">
        <f>DATEDIF(B64,$C$1,"d")</f>
        <v>133</v>
      </c>
      <c r="D64">
        <v>7</v>
      </c>
      <c r="E64">
        <v>1482.68</v>
      </c>
      <c r="F64" s="10">
        <f>ROUND((1-_xlfn.PERCENTRANK.INC($C$4:$C$182,C64))*9,0)</f>
        <v>3</v>
      </c>
      <c r="G64" s="10">
        <f>ROUND((1-_xlfn.PERCENTRANK.INC($D$4:$D$182,D64))*9,0)</f>
        <v>4</v>
      </c>
      <c r="H64" s="10">
        <f>ROUND((1-_xlfn.PERCENTRANK.INC($E$4:$E$182,E64))*9,0)</f>
        <v>3</v>
      </c>
      <c r="I64" s="10" t="str">
        <f t="shared" si="0"/>
        <v>343</v>
      </c>
      <c r="J64" s="10" t="str" cm="1">
        <f t="array" ref="J64">_xlfn.IFS(AND(F64&gt;=8,G64&gt;=8,H64&gt;=8),"Champion",AND(F64&gt;=6,G64&gt;=7,H64&gt;=6),"Loyal Customer",AND(F64&gt;=6,G64&gt;=5,H64&gt;=5),"Potential Loyalist",AND(F64&gt;=8,G64&gt;=2,H64&gt;=5),"New Customers",AND(F64&gt;=6,G64&gt;=2,H64&gt;=3),"Promising",AND(F64&gt;=3,G64&gt;=3,H64&gt;=3),"Need Attention",AND(F64&gt;=4,G64&gt;=6,H64&gt;=6),"At Risk",AND(F64&gt;=2,G64&gt;=8,H64&gt;=8),"Can't Lose Them",AND(F64&gt;=2,G64&gt;=2,H64&gt;=2),"Hibernating",TRUE,"Other")</f>
        <v>Need Attention</v>
      </c>
    </row>
    <row r="65" spans="1:10">
      <c r="A65" t="s">
        <v>187</v>
      </c>
      <c r="B65" s="9">
        <v>45993</v>
      </c>
      <c r="C65" s="10">
        <f>DATEDIF(B65,$C$1,"d")</f>
        <v>13</v>
      </c>
      <c r="D65">
        <v>8</v>
      </c>
      <c r="E65">
        <v>2467.28</v>
      </c>
      <c r="F65" s="10">
        <f>ROUND((1-_xlfn.PERCENTRANK.INC($C$4:$C$182,C65))*9,0)</f>
        <v>8</v>
      </c>
      <c r="G65" s="10">
        <f>ROUND((1-_xlfn.PERCENTRANK.INC($D$4:$D$182,D65))*9,0)</f>
        <v>3</v>
      </c>
      <c r="H65" s="10">
        <f>ROUND((1-_xlfn.PERCENTRANK.INC($E$4:$E$182,E65))*9,0)</f>
        <v>1</v>
      </c>
      <c r="I65" s="10" t="str">
        <f t="shared" si="0"/>
        <v>831</v>
      </c>
      <c r="J65" s="10" t="str" cm="1">
        <f t="array" ref="J65">_xlfn.IFS(AND(F65&gt;=8,G65&gt;=8,H65&gt;=8),"Champion",AND(F65&gt;=6,G65&gt;=7,H65&gt;=6),"Loyal Customer",AND(F65&gt;=6,G65&gt;=5,H65&gt;=5),"Potential Loyalist",AND(F65&gt;=8,G65&gt;=2,H65&gt;=5),"New Customers",AND(F65&gt;=6,G65&gt;=2,H65&gt;=3),"Promising",AND(F65&gt;=3,G65&gt;=3,H65&gt;=3),"Need Attention",AND(F65&gt;=4,G65&gt;=6,H65&gt;=6),"At Risk",AND(F65&gt;=2,G65&gt;=8,H65&gt;=8),"Can't Lose Them",AND(F65&gt;=2,G65&gt;=2,H65&gt;=2),"Hibernating",TRUE,"Other")</f>
        <v>Other</v>
      </c>
    </row>
    <row r="66" spans="1:10">
      <c r="A66" t="s">
        <v>141</v>
      </c>
      <c r="B66" s="9">
        <v>45843</v>
      </c>
      <c r="C66" s="10">
        <f>DATEDIF(B66,$C$1,"d")</f>
        <v>163</v>
      </c>
      <c r="D66">
        <v>7</v>
      </c>
      <c r="E66">
        <v>1431.47</v>
      </c>
      <c r="F66" s="10">
        <f>ROUND((1-_xlfn.PERCENTRANK.INC($C$4:$C$182,C66))*9,0)</f>
        <v>2</v>
      </c>
      <c r="G66" s="10">
        <f>ROUND((1-_xlfn.PERCENTRANK.INC($D$4:$D$182,D66))*9,0)</f>
        <v>4</v>
      </c>
      <c r="H66" s="10">
        <f>ROUND((1-_xlfn.PERCENTRANK.INC($E$4:$E$182,E66))*9,0)</f>
        <v>3</v>
      </c>
      <c r="I66" s="10" t="str">
        <f t="shared" si="0"/>
        <v>243</v>
      </c>
      <c r="J66" s="10" t="str" cm="1">
        <f t="array" ref="J66">_xlfn.IFS(AND(F66&gt;=8,G66&gt;=8,H66&gt;=8),"Champion",AND(F66&gt;=6,G66&gt;=7,H66&gt;=6),"Loyal Customer",AND(F66&gt;=6,G66&gt;=5,H66&gt;=5),"Potential Loyalist",AND(F66&gt;=8,G66&gt;=2,H66&gt;=5),"New Customers",AND(F66&gt;=6,G66&gt;=2,H66&gt;=3),"Promising",AND(F66&gt;=3,G66&gt;=3,H66&gt;=3),"Need Attention",AND(F66&gt;=4,G66&gt;=6,H66&gt;=6),"At Risk",AND(F66&gt;=2,G66&gt;=8,H66&gt;=8),"Can't Lose Them",AND(F66&gt;=2,G66&gt;=2,H66&gt;=2),"Hibernating",TRUE,"Other")</f>
        <v>Hibernating</v>
      </c>
    </row>
    <row r="67" spans="1:10">
      <c r="A67" t="s">
        <v>136</v>
      </c>
      <c r="B67" s="9">
        <v>45873</v>
      </c>
      <c r="C67" s="10">
        <f>DATEDIF(B67,$C$1,"d")</f>
        <v>133</v>
      </c>
      <c r="D67">
        <v>6</v>
      </c>
      <c r="E67">
        <v>694.9</v>
      </c>
      <c r="F67" s="10">
        <f>ROUND((1-_xlfn.PERCENTRANK.INC($C$4:$C$182,C67))*9,0)</f>
        <v>3</v>
      </c>
      <c r="G67" s="10">
        <f>ROUND((1-_xlfn.PERCENTRANK.INC($D$4:$D$182,D67))*9,0)</f>
        <v>6</v>
      </c>
      <c r="H67" s="10">
        <f>ROUND((1-_xlfn.PERCENTRANK.INC($E$4:$E$182,E67))*9,0)</f>
        <v>7</v>
      </c>
      <c r="I67" s="10" t="str">
        <f t="shared" si="0"/>
        <v>367</v>
      </c>
      <c r="J67" s="10" t="str" cm="1">
        <f t="array" ref="J67">_xlfn.IFS(AND(F67&gt;=8,G67&gt;=8,H67&gt;=8),"Champion",AND(F67&gt;=6,G67&gt;=7,H67&gt;=6),"Loyal Customer",AND(F67&gt;=6,G67&gt;=5,H67&gt;=5),"Potential Loyalist",AND(F67&gt;=8,G67&gt;=2,H67&gt;=5),"New Customers",AND(F67&gt;=6,G67&gt;=2,H67&gt;=3),"Promising",AND(F67&gt;=3,G67&gt;=3,H67&gt;=3),"Need Attention",AND(F67&gt;=4,G67&gt;=6,H67&gt;=6),"At Risk",AND(F67&gt;=2,G67&gt;=8,H67&gt;=8),"Can't Lose Them",AND(F67&gt;=2,G67&gt;=2,H67&gt;=2),"Hibernating",TRUE,"Other")</f>
        <v>Need Attention</v>
      </c>
    </row>
    <row r="68" spans="1:10">
      <c r="A68" t="s">
        <v>92</v>
      </c>
      <c r="B68" s="9">
        <v>45753</v>
      </c>
      <c r="C68" s="10">
        <f>DATEDIF(B68,$C$1,"d")</f>
        <v>253</v>
      </c>
      <c r="D68">
        <v>4</v>
      </c>
      <c r="E68">
        <v>596.26</v>
      </c>
      <c r="F68" s="10">
        <f>ROUND((1-_xlfn.PERCENTRANK.INC($C$4:$C$182,C68))*9,0)</f>
        <v>1</v>
      </c>
      <c r="G68" s="10">
        <f>ROUND((1-_xlfn.PERCENTRANK.INC($D$4:$D$182,D68))*9,0)</f>
        <v>8</v>
      </c>
      <c r="H68" s="10">
        <f>ROUND((1-_xlfn.PERCENTRANK.INC($E$4:$E$182,E68))*9,0)</f>
        <v>8</v>
      </c>
      <c r="I68" s="10" t="str">
        <f t="shared" ref="I68:I131" si="1">CONCATENATE(F68,G68,H68)</f>
        <v>188</v>
      </c>
      <c r="J68" s="10" t="str" cm="1">
        <f t="array" ref="J68">_xlfn.IFS(AND(F68&gt;=8,G68&gt;=8,H68&gt;=8),"Champion",AND(F68&gt;=6,G68&gt;=7,H68&gt;=6),"Loyal Customer",AND(F68&gt;=6,G68&gt;=5,H68&gt;=5),"Potential Loyalist",AND(F68&gt;=8,G68&gt;=2,H68&gt;=5),"New Customers",AND(F68&gt;=6,G68&gt;=2,H68&gt;=3),"Promising",AND(F68&gt;=3,G68&gt;=3,H68&gt;=3),"Need Attention",AND(F68&gt;=4,G68&gt;=6,H68&gt;=6),"At Risk",AND(F68&gt;=2,G68&gt;=8,H68&gt;=8),"Can't Lose Them",AND(F68&gt;=2,G68&gt;=2,H68&gt;=2),"Hibernating",TRUE,"Other")</f>
        <v>Other</v>
      </c>
    </row>
    <row r="69" spans="1:10">
      <c r="A69" t="s">
        <v>12</v>
      </c>
      <c r="B69" s="9">
        <v>45845</v>
      </c>
      <c r="C69" s="10">
        <f>DATEDIF(B69,$C$1,"d")</f>
        <v>161</v>
      </c>
      <c r="D69">
        <v>5</v>
      </c>
      <c r="E69">
        <v>1347.27</v>
      </c>
      <c r="F69" s="10">
        <f>ROUND((1-_xlfn.PERCENTRANK.INC($C$4:$C$182,C69))*9,0)</f>
        <v>2</v>
      </c>
      <c r="G69" s="10">
        <f>ROUND((1-_xlfn.PERCENTRANK.INC($D$4:$D$182,D69))*9,0)</f>
        <v>7</v>
      </c>
      <c r="H69" s="10">
        <f>ROUND((1-_xlfn.PERCENTRANK.INC($E$4:$E$182,E69))*9,0)</f>
        <v>4</v>
      </c>
      <c r="I69" s="10" t="str">
        <f t="shared" si="1"/>
        <v>274</v>
      </c>
      <c r="J69" s="10" t="str" cm="1">
        <f t="array" ref="J69">_xlfn.IFS(AND(F69&gt;=8,G69&gt;=8,H69&gt;=8),"Champion",AND(F69&gt;=6,G69&gt;=7,H69&gt;=6),"Loyal Customer",AND(F69&gt;=6,G69&gt;=5,H69&gt;=5),"Potential Loyalist",AND(F69&gt;=8,G69&gt;=2,H69&gt;=5),"New Customers",AND(F69&gt;=6,G69&gt;=2,H69&gt;=3),"Promising",AND(F69&gt;=3,G69&gt;=3,H69&gt;=3),"Need Attention",AND(F69&gt;=4,G69&gt;=6,H69&gt;=6),"At Risk",AND(F69&gt;=2,G69&gt;=8,H69&gt;=8),"Can't Lose Them",AND(F69&gt;=2,G69&gt;=2,H69&gt;=2),"Hibernating",TRUE,"Other")</f>
        <v>Hibernating</v>
      </c>
    </row>
    <row r="70" spans="1:10">
      <c r="A70" t="s">
        <v>102</v>
      </c>
      <c r="B70" s="9">
        <v>45966</v>
      </c>
      <c r="C70" s="10">
        <f>DATEDIF(B70,$C$1,"d")</f>
        <v>40</v>
      </c>
      <c r="D70">
        <v>9</v>
      </c>
      <c r="E70">
        <v>2070.74</v>
      </c>
      <c r="F70" s="10">
        <f>ROUND((1-_xlfn.PERCENTRANK.INC($C$4:$C$182,C70))*9,0)</f>
        <v>6</v>
      </c>
      <c r="G70" s="10">
        <f>ROUND((1-_xlfn.PERCENTRANK.INC($D$4:$D$182,D70))*9,0)</f>
        <v>2</v>
      </c>
      <c r="H70" s="10">
        <f>ROUND((1-_xlfn.PERCENTRANK.INC($E$4:$E$182,E70))*9,0)</f>
        <v>2</v>
      </c>
      <c r="I70" s="10" t="str">
        <f t="shared" si="1"/>
        <v>622</v>
      </c>
      <c r="J70" s="10" t="str" cm="1">
        <f t="array" ref="J70">_xlfn.IFS(AND(F70&gt;=8,G70&gt;=8,H70&gt;=8),"Champion",AND(F70&gt;=6,G70&gt;=7,H70&gt;=6),"Loyal Customer",AND(F70&gt;=6,G70&gt;=5,H70&gt;=5),"Potential Loyalist",AND(F70&gt;=8,G70&gt;=2,H70&gt;=5),"New Customers",AND(F70&gt;=6,G70&gt;=2,H70&gt;=3),"Promising",AND(F70&gt;=3,G70&gt;=3,H70&gt;=3),"Need Attention",AND(F70&gt;=4,G70&gt;=6,H70&gt;=6),"At Risk",AND(F70&gt;=2,G70&gt;=8,H70&gt;=8),"Can't Lose Them",AND(F70&gt;=2,G70&gt;=2,H70&gt;=2),"Hibernating",TRUE,"Other")</f>
        <v>Hibernating</v>
      </c>
    </row>
    <row r="71" spans="1:10">
      <c r="A71" t="s">
        <v>185</v>
      </c>
      <c r="B71" s="9">
        <v>45874</v>
      </c>
      <c r="C71" s="10">
        <f>DATEDIF(B71,$C$1,"d")</f>
        <v>132</v>
      </c>
      <c r="D71">
        <v>7</v>
      </c>
      <c r="E71">
        <v>2651.61</v>
      </c>
      <c r="F71" s="10">
        <f>ROUND((1-_xlfn.PERCENTRANK.INC($C$4:$C$182,C71))*9,0)</f>
        <v>3</v>
      </c>
      <c r="G71" s="10">
        <f>ROUND((1-_xlfn.PERCENTRANK.INC($D$4:$D$182,D71))*9,0)</f>
        <v>4</v>
      </c>
      <c r="H71" s="10">
        <f>ROUND((1-_xlfn.PERCENTRANK.INC($E$4:$E$182,E71))*9,0)</f>
        <v>1</v>
      </c>
      <c r="I71" s="10" t="str">
        <f t="shared" si="1"/>
        <v>341</v>
      </c>
      <c r="J71" s="10" t="str" cm="1">
        <f t="array" ref="J71">_xlfn.IFS(AND(F71&gt;=8,G71&gt;=8,H71&gt;=8),"Champion",AND(F71&gt;=6,G71&gt;=7,H71&gt;=6),"Loyal Customer",AND(F71&gt;=6,G71&gt;=5,H71&gt;=5),"Potential Loyalist",AND(F71&gt;=8,G71&gt;=2,H71&gt;=5),"New Customers",AND(F71&gt;=6,G71&gt;=2,H71&gt;=3),"Promising",AND(F71&gt;=3,G71&gt;=3,H71&gt;=3),"Need Attention",AND(F71&gt;=4,G71&gt;=6,H71&gt;=6),"At Risk",AND(F71&gt;=2,G71&gt;=8,H71&gt;=8),"Can't Lose Them",AND(F71&gt;=2,G71&gt;=2,H71&gt;=2),"Hibernating",TRUE,"Other")</f>
        <v>Other</v>
      </c>
    </row>
    <row r="72" spans="1:10">
      <c r="A72" t="s">
        <v>79</v>
      </c>
      <c r="B72" s="9">
        <v>46002</v>
      </c>
      <c r="C72" s="10">
        <f>DATEDIF(B72,$C$1,"d")</f>
        <v>4</v>
      </c>
      <c r="D72">
        <v>5</v>
      </c>
      <c r="E72">
        <v>1152.51</v>
      </c>
      <c r="F72" s="10">
        <f>ROUND((1-_xlfn.PERCENTRANK.INC($C$4:$C$182,C72))*9,0)</f>
        <v>9</v>
      </c>
      <c r="G72" s="10">
        <f>ROUND((1-_xlfn.PERCENTRANK.INC($D$4:$D$182,D72))*9,0)</f>
        <v>7</v>
      </c>
      <c r="H72" s="10">
        <f>ROUND((1-_xlfn.PERCENTRANK.INC($E$4:$E$182,E72))*9,0)</f>
        <v>5</v>
      </c>
      <c r="I72" s="10" t="str">
        <f t="shared" si="1"/>
        <v>975</v>
      </c>
      <c r="J72" s="10" t="str" cm="1">
        <f t="array" ref="J72">_xlfn.IFS(AND(F72&gt;=8,G72&gt;=8,H72&gt;=8),"Champion",AND(F72&gt;=6,G72&gt;=7,H72&gt;=6),"Loyal Customer",AND(F72&gt;=6,G72&gt;=5,H72&gt;=5),"Potential Loyalist",AND(F72&gt;=8,G72&gt;=2,H72&gt;=5),"New Customers",AND(F72&gt;=6,G72&gt;=2,H72&gt;=3),"Promising",AND(F72&gt;=3,G72&gt;=3,H72&gt;=3),"Need Attention",AND(F72&gt;=4,G72&gt;=6,H72&gt;=6),"At Risk",AND(F72&gt;=2,G72&gt;=8,H72&gt;=8),"Can't Lose Them",AND(F72&gt;=2,G72&gt;=2,H72&gt;=2),"Hibernating",TRUE,"Other")</f>
        <v>Potential Loyalist</v>
      </c>
    </row>
    <row r="73" spans="1:10">
      <c r="A73" t="s">
        <v>75</v>
      </c>
      <c r="B73" s="9">
        <v>46002</v>
      </c>
      <c r="C73" s="10">
        <f>DATEDIF(B73,$C$1,"d")</f>
        <v>4</v>
      </c>
      <c r="D73">
        <v>2</v>
      </c>
      <c r="E73">
        <v>313.38</v>
      </c>
      <c r="F73" s="10">
        <f>ROUND((1-_xlfn.PERCENTRANK.INC($C$4:$C$182,C73))*9,0)</f>
        <v>9</v>
      </c>
      <c r="G73" s="10">
        <f>ROUND((1-_xlfn.PERCENTRANK.INC($D$4:$D$182,D73))*9,0)</f>
        <v>9</v>
      </c>
      <c r="H73" s="10">
        <f>ROUND((1-_xlfn.PERCENTRANK.INC($E$4:$E$182,E73))*9,0)</f>
        <v>9</v>
      </c>
      <c r="I73" s="10" t="str">
        <f t="shared" si="1"/>
        <v>999</v>
      </c>
      <c r="J73" s="10" t="str" cm="1">
        <f t="array" ref="J73">_xlfn.IFS(AND(F73&gt;=8,G73&gt;=8,H73&gt;=8),"Champion",AND(F73&gt;=6,G73&gt;=7,H73&gt;=6),"Loyal Customer",AND(F73&gt;=6,G73&gt;=5,H73&gt;=5),"Potential Loyalist",AND(F73&gt;=8,G73&gt;=2,H73&gt;=5),"New Customers",AND(F73&gt;=6,G73&gt;=2,H73&gt;=3),"Promising",AND(F73&gt;=3,G73&gt;=3,H73&gt;=3),"Need Attention",AND(F73&gt;=4,G73&gt;=6,H73&gt;=6),"At Risk",AND(F73&gt;=2,G73&gt;=8,H73&gt;=8),"Can't Lose Them",AND(F73&gt;=2,G73&gt;=2,H73&gt;=2),"Hibernating",TRUE,"Other")</f>
        <v>Champion</v>
      </c>
    </row>
    <row r="74" spans="1:10">
      <c r="A74" t="s">
        <v>159</v>
      </c>
      <c r="B74" s="9">
        <v>45941</v>
      </c>
      <c r="C74" s="10">
        <f>DATEDIF(B74,$C$1,"d")</f>
        <v>65</v>
      </c>
      <c r="D74">
        <v>4</v>
      </c>
      <c r="E74">
        <v>660.31</v>
      </c>
      <c r="F74" s="10">
        <f>ROUND((1-_xlfn.PERCENTRANK.INC($C$4:$C$182,C74))*9,0)</f>
        <v>6</v>
      </c>
      <c r="G74" s="10">
        <f>ROUND((1-_xlfn.PERCENTRANK.INC($D$4:$D$182,D74))*9,0)</f>
        <v>8</v>
      </c>
      <c r="H74" s="10">
        <f>ROUND((1-_xlfn.PERCENTRANK.INC($E$4:$E$182,E74))*9,0)</f>
        <v>7</v>
      </c>
      <c r="I74" s="10" t="str">
        <f t="shared" si="1"/>
        <v>687</v>
      </c>
      <c r="J74" s="10" t="str" cm="1">
        <f t="array" ref="J74">_xlfn.IFS(AND(F74&gt;=8,G74&gt;=8,H74&gt;=8),"Champion",AND(F74&gt;=6,G74&gt;=7,H74&gt;=6),"Loyal Customer",AND(F74&gt;=6,G74&gt;=5,H74&gt;=5),"Potential Loyalist",AND(F74&gt;=8,G74&gt;=2,H74&gt;=5),"New Customers",AND(F74&gt;=6,G74&gt;=2,H74&gt;=3),"Promising",AND(F74&gt;=3,G74&gt;=3,H74&gt;=3),"Need Attention",AND(F74&gt;=4,G74&gt;=6,H74&gt;=6),"At Risk",AND(F74&gt;=2,G74&gt;=8,H74&gt;=8),"Can't Lose Them",AND(F74&gt;=2,G74&gt;=2,H74&gt;=2),"Hibernating",TRUE,"Other")</f>
        <v>Loyal Customer</v>
      </c>
    </row>
    <row r="75" spans="1:10">
      <c r="A75" t="s">
        <v>143</v>
      </c>
      <c r="B75" s="9">
        <v>45932</v>
      </c>
      <c r="C75" s="10">
        <f>DATEDIF(B75,$C$1,"d")</f>
        <v>74</v>
      </c>
      <c r="D75">
        <v>6</v>
      </c>
      <c r="E75">
        <v>691.07</v>
      </c>
      <c r="F75" s="10">
        <f>ROUND((1-_xlfn.PERCENTRANK.INC($C$4:$C$182,C75))*9,0)</f>
        <v>5</v>
      </c>
      <c r="G75" s="10">
        <f>ROUND((1-_xlfn.PERCENTRANK.INC($D$4:$D$182,D75))*9,0)</f>
        <v>6</v>
      </c>
      <c r="H75" s="10">
        <f>ROUND((1-_xlfn.PERCENTRANK.INC($E$4:$E$182,E75))*9,0)</f>
        <v>7</v>
      </c>
      <c r="I75" s="10" t="str">
        <f t="shared" si="1"/>
        <v>567</v>
      </c>
      <c r="J75" s="10" t="str" cm="1">
        <f t="array" ref="J75">_xlfn.IFS(AND(F75&gt;=8,G75&gt;=8,H75&gt;=8),"Champion",AND(F75&gt;=6,G75&gt;=7,H75&gt;=6),"Loyal Customer",AND(F75&gt;=6,G75&gt;=5,H75&gt;=5),"Potential Loyalist",AND(F75&gt;=8,G75&gt;=2,H75&gt;=5),"New Customers",AND(F75&gt;=6,G75&gt;=2,H75&gt;=3),"Promising",AND(F75&gt;=3,G75&gt;=3,H75&gt;=3),"Need Attention",AND(F75&gt;=4,G75&gt;=6,H75&gt;=6),"At Risk",AND(F75&gt;=2,G75&gt;=8,H75&gt;=8),"Can't Lose Them",AND(F75&gt;=2,G75&gt;=2,H75&gt;=2),"Hibernating",TRUE,"Other")</f>
        <v>Need Attention</v>
      </c>
    </row>
    <row r="76" spans="1:10">
      <c r="A76" t="s">
        <v>114</v>
      </c>
      <c r="B76" s="9">
        <v>45814</v>
      </c>
      <c r="C76" s="10">
        <f>DATEDIF(B76,$C$1,"d")</f>
        <v>192</v>
      </c>
      <c r="D76">
        <v>6</v>
      </c>
      <c r="E76">
        <v>3091.27</v>
      </c>
      <c r="F76" s="10">
        <f>ROUND((1-_xlfn.PERCENTRANK.INC($C$4:$C$182,C76))*9,0)</f>
        <v>2</v>
      </c>
      <c r="G76" s="10">
        <f>ROUND((1-_xlfn.PERCENTRANK.INC($D$4:$D$182,D76))*9,0)</f>
        <v>6</v>
      </c>
      <c r="H76" s="10">
        <f>ROUND((1-_xlfn.PERCENTRANK.INC($E$4:$E$182,E76))*9,0)</f>
        <v>0</v>
      </c>
      <c r="I76" s="10" t="str">
        <f t="shared" si="1"/>
        <v>260</v>
      </c>
      <c r="J76" s="10" t="str" cm="1">
        <f t="array" ref="J76">_xlfn.IFS(AND(F76&gt;=8,G76&gt;=8,H76&gt;=8),"Champion",AND(F76&gt;=6,G76&gt;=7,H76&gt;=6),"Loyal Customer",AND(F76&gt;=6,G76&gt;=5,H76&gt;=5),"Potential Loyalist",AND(F76&gt;=8,G76&gt;=2,H76&gt;=5),"New Customers",AND(F76&gt;=6,G76&gt;=2,H76&gt;=3),"Promising",AND(F76&gt;=3,G76&gt;=3,H76&gt;=3),"Need Attention",AND(F76&gt;=4,G76&gt;=6,H76&gt;=6),"At Risk",AND(F76&gt;=2,G76&gt;=8,H76&gt;=8),"Can't Lose Them",AND(F76&gt;=2,G76&gt;=2,H76&gt;=2),"Hibernating",TRUE,"Other")</f>
        <v>Other</v>
      </c>
    </row>
    <row r="77" spans="1:10">
      <c r="A77" t="s">
        <v>33</v>
      </c>
      <c r="B77" s="9">
        <v>45904</v>
      </c>
      <c r="C77" s="10">
        <f>DATEDIF(B77,$C$1,"d")</f>
        <v>102</v>
      </c>
      <c r="D77">
        <v>6</v>
      </c>
      <c r="E77">
        <v>1001.34</v>
      </c>
      <c r="F77" s="10">
        <f>ROUND((1-_xlfn.PERCENTRANK.INC($C$4:$C$182,C77))*9,0)</f>
        <v>4</v>
      </c>
      <c r="G77" s="10">
        <f>ROUND((1-_xlfn.PERCENTRANK.INC($D$4:$D$182,D77))*9,0)</f>
        <v>6</v>
      </c>
      <c r="H77" s="10">
        <f>ROUND((1-_xlfn.PERCENTRANK.INC($E$4:$E$182,E77))*9,0)</f>
        <v>5</v>
      </c>
      <c r="I77" s="10" t="str">
        <f t="shared" si="1"/>
        <v>465</v>
      </c>
      <c r="J77" s="10" t="str" cm="1">
        <f t="array" ref="J77">_xlfn.IFS(AND(F77&gt;=8,G77&gt;=8,H77&gt;=8),"Champion",AND(F77&gt;=6,G77&gt;=7,H77&gt;=6),"Loyal Customer",AND(F77&gt;=6,G77&gt;=5,H77&gt;=5),"Potential Loyalist",AND(F77&gt;=8,G77&gt;=2,H77&gt;=5),"New Customers",AND(F77&gt;=6,G77&gt;=2,H77&gt;=3),"Promising",AND(F77&gt;=3,G77&gt;=3,H77&gt;=3),"Need Attention",AND(F77&gt;=4,G77&gt;=6,H77&gt;=6),"At Risk",AND(F77&gt;=2,G77&gt;=8,H77&gt;=8),"Can't Lose Them",AND(F77&gt;=2,G77&gt;=2,H77&gt;=2),"Hibernating",TRUE,"Other")</f>
        <v>Need Attention</v>
      </c>
    </row>
    <row r="78" spans="1:10">
      <c r="A78" t="s">
        <v>139</v>
      </c>
      <c r="B78" s="9">
        <v>45963</v>
      </c>
      <c r="C78" s="10">
        <f>DATEDIF(B78,$C$1,"d")</f>
        <v>43</v>
      </c>
      <c r="D78">
        <v>6</v>
      </c>
      <c r="E78">
        <v>403.87</v>
      </c>
      <c r="F78" s="10">
        <f>ROUND((1-_xlfn.PERCENTRANK.INC($C$4:$C$182,C78))*9,0)</f>
        <v>6</v>
      </c>
      <c r="G78" s="10">
        <f>ROUND((1-_xlfn.PERCENTRANK.INC($D$4:$D$182,D78))*9,0)</f>
        <v>6</v>
      </c>
      <c r="H78" s="10">
        <f>ROUND((1-_xlfn.PERCENTRANK.INC($E$4:$E$182,E78))*9,0)</f>
        <v>8</v>
      </c>
      <c r="I78" s="10" t="str">
        <f t="shared" si="1"/>
        <v>668</v>
      </c>
      <c r="J78" s="10" t="str" cm="1">
        <f t="array" ref="J78">_xlfn.IFS(AND(F78&gt;=8,G78&gt;=8,H78&gt;=8),"Champion",AND(F78&gt;=6,G78&gt;=7,H78&gt;=6),"Loyal Customer",AND(F78&gt;=6,G78&gt;=5,H78&gt;=5),"Potential Loyalist",AND(F78&gt;=8,G78&gt;=2,H78&gt;=5),"New Customers",AND(F78&gt;=6,G78&gt;=2,H78&gt;=3),"Promising",AND(F78&gt;=3,G78&gt;=3,H78&gt;=3),"Need Attention",AND(F78&gt;=4,G78&gt;=6,H78&gt;=6),"At Risk",AND(F78&gt;=2,G78&gt;=8,H78&gt;=8),"Can't Lose Them",AND(F78&gt;=2,G78&gt;=2,H78&gt;=2),"Hibernating",TRUE,"Other")</f>
        <v>Potential Loyalist</v>
      </c>
    </row>
    <row r="79" spans="1:10">
      <c r="A79" t="s">
        <v>25</v>
      </c>
      <c r="B79" s="9">
        <v>45842</v>
      </c>
      <c r="C79" s="10">
        <f>DATEDIF(B79,$C$1,"d")</f>
        <v>164</v>
      </c>
      <c r="D79">
        <v>7</v>
      </c>
      <c r="E79">
        <v>1262.78</v>
      </c>
      <c r="F79" s="10">
        <f>ROUND((1-_xlfn.PERCENTRANK.INC($C$4:$C$182,C79))*9,0)</f>
        <v>2</v>
      </c>
      <c r="G79" s="10">
        <f>ROUND((1-_xlfn.PERCENTRANK.INC($D$4:$D$182,D79))*9,0)</f>
        <v>4</v>
      </c>
      <c r="H79" s="10">
        <f>ROUND((1-_xlfn.PERCENTRANK.INC($E$4:$E$182,E79))*9,0)</f>
        <v>4</v>
      </c>
      <c r="I79" s="10" t="str">
        <f t="shared" si="1"/>
        <v>244</v>
      </c>
      <c r="J79" s="10" t="str" cm="1">
        <f t="array" ref="J79">_xlfn.IFS(AND(F79&gt;=8,G79&gt;=8,H79&gt;=8),"Champion",AND(F79&gt;=6,G79&gt;=7,H79&gt;=6),"Loyal Customer",AND(F79&gt;=6,G79&gt;=5,H79&gt;=5),"Potential Loyalist",AND(F79&gt;=8,G79&gt;=2,H79&gt;=5),"New Customers",AND(F79&gt;=6,G79&gt;=2,H79&gt;=3),"Promising",AND(F79&gt;=3,G79&gt;=3,H79&gt;=3),"Need Attention",AND(F79&gt;=4,G79&gt;=6,H79&gt;=6),"At Risk",AND(F79&gt;=2,G79&gt;=8,H79&gt;=8),"Can't Lose Them",AND(F79&gt;=2,G79&gt;=2,H79&gt;=2),"Hibernating",TRUE,"Other")</f>
        <v>Hibernating</v>
      </c>
    </row>
    <row r="80" spans="1:10">
      <c r="A80" t="s">
        <v>31</v>
      </c>
      <c r="B80" s="9">
        <v>45993</v>
      </c>
      <c r="C80" s="10">
        <f>DATEDIF(B80,$C$1,"d")</f>
        <v>13</v>
      </c>
      <c r="D80">
        <v>4</v>
      </c>
      <c r="E80">
        <v>1377.41</v>
      </c>
      <c r="F80" s="10">
        <f>ROUND((1-_xlfn.PERCENTRANK.INC($C$4:$C$182,C80))*9,0)</f>
        <v>8</v>
      </c>
      <c r="G80" s="10">
        <f>ROUND((1-_xlfn.PERCENTRANK.INC($D$4:$D$182,D80))*9,0)</f>
        <v>8</v>
      </c>
      <c r="H80" s="10">
        <f>ROUND((1-_xlfn.PERCENTRANK.INC($E$4:$E$182,E80))*9,0)</f>
        <v>4</v>
      </c>
      <c r="I80" s="10" t="str">
        <f t="shared" si="1"/>
        <v>884</v>
      </c>
      <c r="J80" s="10" t="str" cm="1">
        <f t="array" ref="J80">_xlfn.IFS(AND(F80&gt;=8,G80&gt;=8,H80&gt;=8),"Champion",AND(F80&gt;=6,G80&gt;=7,H80&gt;=6),"Loyal Customer",AND(F80&gt;=6,G80&gt;=5,H80&gt;=5),"Potential Loyalist",AND(F80&gt;=8,G80&gt;=2,H80&gt;=5),"New Customers",AND(F80&gt;=6,G80&gt;=2,H80&gt;=3),"Promising",AND(F80&gt;=3,G80&gt;=3,H80&gt;=3),"Need Attention",AND(F80&gt;=4,G80&gt;=6,H80&gt;=6),"At Risk",AND(F80&gt;=2,G80&gt;=8,H80&gt;=8),"Can't Lose Them",AND(F80&gt;=2,G80&gt;=2,H80&gt;=2),"Hibernating",TRUE,"Other")</f>
        <v>Promising</v>
      </c>
    </row>
    <row r="81" spans="1:10">
      <c r="A81" t="s">
        <v>199</v>
      </c>
      <c r="B81" s="9">
        <v>45667</v>
      </c>
      <c r="C81" s="10">
        <f>DATEDIF(B81,$C$1,"d")</f>
        <v>339</v>
      </c>
      <c r="D81">
        <v>8</v>
      </c>
      <c r="E81">
        <v>1559.65</v>
      </c>
      <c r="F81" s="10">
        <f>ROUND((1-_xlfn.PERCENTRANK.INC($C$4:$C$182,C81))*9,0)</f>
        <v>0</v>
      </c>
      <c r="G81" s="10">
        <f>ROUND((1-_xlfn.PERCENTRANK.INC($D$4:$D$182,D81))*9,0)</f>
        <v>3</v>
      </c>
      <c r="H81" s="10">
        <f>ROUND((1-_xlfn.PERCENTRANK.INC($E$4:$E$182,E81))*9,0)</f>
        <v>3</v>
      </c>
      <c r="I81" s="10" t="str">
        <f t="shared" si="1"/>
        <v>033</v>
      </c>
      <c r="J81" s="10" t="str" cm="1">
        <f t="array" ref="J81">_xlfn.IFS(AND(F81&gt;=8,G81&gt;=8,H81&gt;=8),"Champion",AND(F81&gt;=6,G81&gt;=7,H81&gt;=6),"Loyal Customer",AND(F81&gt;=6,G81&gt;=5,H81&gt;=5),"Potential Loyalist",AND(F81&gt;=8,G81&gt;=2,H81&gt;=5),"New Customers",AND(F81&gt;=6,G81&gt;=2,H81&gt;=3),"Promising",AND(F81&gt;=3,G81&gt;=3,H81&gt;=3),"Need Attention",AND(F81&gt;=4,G81&gt;=6,H81&gt;=6),"At Risk",AND(F81&gt;=2,G81&gt;=8,H81&gt;=8),"Can't Lose Them",AND(F81&gt;=2,G81&gt;=2,H81&gt;=2),"Hibernating",TRUE,"Other")</f>
        <v>Other</v>
      </c>
    </row>
    <row r="82" spans="1:10">
      <c r="A82" t="s">
        <v>134</v>
      </c>
      <c r="B82" s="9">
        <v>45932</v>
      </c>
      <c r="C82" s="10">
        <f>DATEDIF(B82,$C$1,"d")</f>
        <v>74</v>
      </c>
      <c r="D82">
        <v>7</v>
      </c>
      <c r="E82">
        <v>2081.31</v>
      </c>
      <c r="F82" s="10">
        <f>ROUND((1-_xlfn.PERCENTRANK.INC($C$4:$C$182,C82))*9,0)</f>
        <v>5</v>
      </c>
      <c r="G82" s="10">
        <f>ROUND((1-_xlfn.PERCENTRANK.INC($D$4:$D$182,D82))*9,0)</f>
        <v>4</v>
      </c>
      <c r="H82" s="10">
        <f>ROUND((1-_xlfn.PERCENTRANK.INC($E$4:$E$182,E82))*9,0)</f>
        <v>1</v>
      </c>
      <c r="I82" s="10" t="str">
        <f t="shared" si="1"/>
        <v>541</v>
      </c>
      <c r="J82" s="10" t="str" cm="1">
        <f t="array" ref="J82">_xlfn.IFS(AND(F82&gt;=8,G82&gt;=8,H82&gt;=8),"Champion",AND(F82&gt;=6,G82&gt;=7,H82&gt;=6),"Loyal Customer",AND(F82&gt;=6,G82&gt;=5,H82&gt;=5),"Potential Loyalist",AND(F82&gt;=8,G82&gt;=2,H82&gt;=5),"New Customers",AND(F82&gt;=6,G82&gt;=2,H82&gt;=3),"Promising",AND(F82&gt;=3,G82&gt;=3,H82&gt;=3),"Need Attention",AND(F82&gt;=4,G82&gt;=6,H82&gt;=6),"At Risk",AND(F82&gt;=2,G82&gt;=8,H82&gt;=8),"Can't Lose Them",AND(F82&gt;=2,G82&gt;=2,H82&gt;=2),"Hibernating",TRUE,"Other")</f>
        <v>Other</v>
      </c>
    </row>
    <row r="83" spans="1:10">
      <c r="A83" t="s">
        <v>60</v>
      </c>
      <c r="B83" s="9">
        <v>45818</v>
      </c>
      <c r="C83" s="10">
        <f>DATEDIF(B83,$C$1,"d")</f>
        <v>188</v>
      </c>
      <c r="D83">
        <v>6</v>
      </c>
      <c r="E83">
        <v>520.07</v>
      </c>
      <c r="F83" s="10">
        <f>ROUND((1-_xlfn.PERCENTRANK.INC($C$4:$C$182,C83))*9,0)</f>
        <v>2</v>
      </c>
      <c r="G83" s="10">
        <f>ROUND((1-_xlfn.PERCENTRANK.INC($D$4:$D$182,D83))*9,0)</f>
        <v>6</v>
      </c>
      <c r="H83" s="10">
        <f>ROUND((1-_xlfn.PERCENTRANK.INC($E$4:$E$182,E83))*9,0)</f>
        <v>8</v>
      </c>
      <c r="I83" s="10" t="str">
        <f t="shared" si="1"/>
        <v>268</v>
      </c>
      <c r="J83" s="10" t="str" cm="1">
        <f t="array" ref="J83">_xlfn.IFS(AND(F83&gt;=8,G83&gt;=8,H83&gt;=8),"Champion",AND(F83&gt;=6,G83&gt;=7,H83&gt;=6),"Loyal Customer",AND(F83&gt;=6,G83&gt;=5,H83&gt;=5),"Potential Loyalist",AND(F83&gt;=8,G83&gt;=2,H83&gt;=5),"New Customers",AND(F83&gt;=6,G83&gt;=2,H83&gt;=3),"Promising",AND(F83&gt;=3,G83&gt;=3,H83&gt;=3),"Need Attention",AND(F83&gt;=4,G83&gt;=6,H83&gt;=6),"At Risk",AND(F83&gt;=2,G83&gt;=8,H83&gt;=8),"Can't Lose Them",AND(F83&gt;=2,G83&gt;=2,H83&gt;=2),"Hibernating",TRUE,"Other")</f>
        <v>Hibernating</v>
      </c>
    </row>
    <row r="84" spans="1:10">
      <c r="A84" t="s">
        <v>197</v>
      </c>
      <c r="B84" s="9">
        <v>45969</v>
      </c>
      <c r="C84" s="10">
        <f>DATEDIF(B84,$C$1,"d")</f>
        <v>37</v>
      </c>
      <c r="D84">
        <v>5</v>
      </c>
      <c r="E84">
        <v>646.32</v>
      </c>
      <c r="F84" s="10">
        <f>ROUND((1-_xlfn.PERCENTRANK.INC($C$4:$C$182,C84))*9,0)</f>
        <v>7</v>
      </c>
      <c r="G84" s="10">
        <f>ROUND((1-_xlfn.PERCENTRANK.INC($D$4:$D$182,D84))*9,0)</f>
        <v>7</v>
      </c>
      <c r="H84" s="10">
        <f>ROUND((1-_xlfn.PERCENTRANK.INC($E$4:$E$182,E84))*9,0)</f>
        <v>7</v>
      </c>
      <c r="I84" s="10" t="str">
        <f t="shared" si="1"/>
        <v>777</v>
      </c>
      <c r="J84" s="10" t="str" cm="1">
        <f t="array" ref="J84">_xlfn.IFS(AND(F84&gt;=8,G84&gt;=8,H84&gt;=8),"Champion",AND(F84&gt;=6,G84&gt;=7,H84&gt;=6),"Loyal Customer",AND(F84&gt;=6,G84&gt;=5,H84&gt;=5),"Potential Loyalist",AND(F84&gt;=8,G84&gt;=2,H84&gt;=5),"New Customers",AND(F84&gt;=6,G84&gt;=2,H84&gt;=3),"Promising",AND(F84&gt;=3,G84&gt;=3,H84&gt;=3),"Need Attention",AND(F84&gt;=4,G84&gt;=6,H84&gt;=6),"At Risk",AND(F84&gt;=2,G84&gt;=8,H84&gt;=8),"Can't Lose Them",AND(F84&gt;=2,G84&gt;=2,H84&gt;=2),"Hibernating",TRUE,"Other")</f>
        <v>Loyal Customer</v>
      </c>
    </row>
    <row r="85" spans="1:10">
      <c r="A85" t="s">
        <v>35</v>
      </c>
      <c r="B85" s="9">
        <v>45931</v>
      </c>
      <c r="C85" s="10">
        <f>DATEDIF(B85,$C$1,"d")</f>
        <v>75</v>
      </c>
      <c r="D85">
        <v>6</v>
      </c>
      <c r="E85">
        <v>772.27</v>
      </c>
      <c r="F85" s="10">
        <f>ROUND((1-_xlfn.PERCENTRANK.INC($C$4:$C$182,C85))*9,0)</f>
        <v>5</v>
      </c>
      <c r="G85" s="10">
        <f>ROUND((1-_xlfn.PERCENTRANK.INC($D$4:$D$182,D85))*9,0)</f>
        <v>6</v>
      </c>
      <c r="H85" s="10">
        <f>ROUND((1-_xlfn.PERCENTRANK.INC($E$4:$E$182,E85))*9,0)</f>
        <v>6</v>
      </c>
      <c r="I85" s="10" t="str">
        <f t="shared" si="1"/>
        <v>566</v>
      </c>
      <c r="J85" s="10" t="str" cm="1">
        <f t="array" ref="J85">_xlfn.IFS(AND(F85&gt;=8,G85&gt;=8,H85&gt;=8),"Champion",AND(F85&gt;=6,G85&gt;=7,H85&gt;=6),"Loyal Customer",AND(F85&gt;=6,G85&gt;=5,H85&gt;=5),"Potential Loyalist",AND(F85&gt;=8,G85&gt;=2,H85&gt;=5),"New Customers",AND(F85&gt;=6,G85&gt;=2,H85&gt;=3),"Promising",AND(F85&gt;=3,G85&gt;=3,H85&gt;=3),"Need Attention",AND(F85&gt;=4,G85&gt;=6,H85&gt;=6),"At Risk",AND(F85&gt;=2,G85&gt;=8,H85&gt;=8),"Can't Lose Them",AND(F85&gt;=2,G85&gt;=2,H85&gt;=2),"Hibernating",TRUE,"Other")</f>
        <v>Need Attention</v>
      </c>
    </row>
    <row r="86" spans="1:10">
      <c r="A86" t="s">
        <v>121</v>
      </c>
      <c r="B86" s="9">
        <v>45993</v>
      </c>
      <c r="C86" s="10">
        <f>DATEDIF(B86,$C$1,"d")</f>
        <v>13</v>
      </c>
      <c r="D86">
        <v>5</v>
      </c>
      <c r="E86">
        <v>2011.8</v>
      </c>
      <c r="F86" s="10">
        <f>ROUND((1-_xlfn.PERCENTRANK.INC($C$4:$C$182,C86))*9,0)</f>
        <v>8</v>
      </c>
      <c r="G86" s="10">
        <f>ROUND((1-_xlfn.PERCENTRANK.INC($D$4:$D$182,D86))*9,0)</f>
        <v>7</v>
      </c>
      <c r="H86" s="10">
        <f>ROUND((1-_xlfn.PERCENTRANK.INC($E$4:$E$182,E86))*9,0)</f>
        <v>2</v>
      </c>
      <c r="I86" s="10" t="str">
        <f t="shared" si="1"/>
        <v>872</v>
      </c>
      <c r="J86" s="10" t="str" cm="1">
        <f t="array" ref="J86">_xlfn.IFS(AND(F86&gt;=8,G86&gt;=8,H86&gt;=8),"Champion",AND(F86&gt;=6,G86&gt;=7,H86&gt;=6),"Loyal Customer",AND(F86&gt;=6,G86&gt;=5,H86&gt;=5),"Potential Loyalist",AND(F86&gt;=8,G86&gt;=2,H86&gt;=5),"New Customers",AND(F86&gt;=6,G86&gt;=2,H86&gt;=3),"Promising",AND(F86&gt;=3,G86&gt;=3,H86&gt;=3),"Need Attention",AND(F86&gt;=4,G86&gt;=6,H86&gt;=6),"At Risk",AND(F86&gt;=2,G86&gt;=8,H86&gt;=8),"Can't Lose Them",AND(F86&gt;=2,G86&gt;=2,H86&gt;=2),"Hibernating",TRUE,"Other")</f>
        <v>Hibernating</v>
      </c>
    </row>
    <row r="87" spans="1:10">
      <c r="A87" t="s">
        <v>177</v>
      </c>
      <c r="B87" s="9">
        <v>45726</v>
      </c>
      <c r="C87" s="10">
        <f>DATEDIF(B87,$C$1,"d")</f>
        <v>280</v>
      </c>
      <c r="D87">
        <v>6</v>
      </c>
      <c r="E87">
        <v>1330.15</v>
      </c>
      <c r="F87" s="10">
        <f>ROUND((1-_xlfn.PERCENTRANK.INC($C$4:$C$182,C87))*9,0)</f>
        <v>1</v>
      </c>
      <c r="G87" s="10">
        <f>ROUND((1-_xlfn.PERCENTRANK.INC($D$4:$D$182,D87))*9,0)</f>
        <v>6</v>
      </c>
      <c r="H87" s="10">
        <f>ROUND((1-_xlfn.PERCENTRANK.INC($E$4:$E$182,E87))*9,0)</f>
        <v>4</v>
      </c>
      <c r="I87" s="10" t="str">
        <f t="shared" si="1"/>
        <v>164</v>
      </c>
      <c r="J87" s="10" t="str" cm="1">
        <f t="array" ref="J87">_xlfn.IFS(AND(F87&gt;=8,G87&gt;=8,H87&gt;=8),"Champion",AND(F87&gt;=6,G87&gt;=7,H87&gt;=6),"Loyal Customer",AND(F87&gt;=6,G87&gt;=5,H87&gt;=5),"Potential Loyalist",AND(F87&gt;=8,G87&gt;=2,H87&gt;=5),"New Customers",AND(F87&gt;=6,G87&gt;=2,H87&gt;=3),"Promising",AND(F87&gt;=3,G87&gt;=3,H87&gt;=3),"Need Attention",AND(F87&gt;=4,G87&gt;=6,H87&gt;=6),"At Risk",AND(F87&gt;=2,G87&gt;=8,H87&gt;=8),"Can't Lose Them",AND(F87&gt;=2,G87&gt;=2,H87&gt;=2),"Hibernating",TRUE,"Other")</f>
        <v>Other</v>
      </c>
    </row>
    <row r="88" spans="1:10">
      <c r="A88" t="s">
        <v>41</v>
      </c>
      <c r="B88" s="9">
        <v>45963</v>
      </c>
      <c r="C88" s="10">
        <f>DATEDIF(B88,$C$1,"d")</f>
        <v>43</v>
      </c>
      <c r="D88">
        <v>10</v>
      </c>
      <c r="E88">
        <v>3128.79</v>
      </c>
      <c r="F88" s="10">
        <f>ROUND((1-_xlfn.PERCENTRANK.INC($C$4:$C$182,C88))*9,0)</f>
        <v>6</v>
      </c>
      <c r="G88" s="10">
        <f>ROUND((1-_xlfn.PERCENTRANK.INC($D$4:$D$182,D88))*9,0)</f>
        <v>0</v>
      </c>
      <c r="H88" s="10">
        <f>ROUND((1-_xlfn.PERCENTRANK.INC($E$4:$E$182,E88))*9,0)</f>
        <v>0</v>
      </c>
      <c r="I88" s="10" t="str">
        <f t="shared" si="1"/>
        <v>600</v>
      </c>
      <c r="J88" s="10" t="str" cm="1">
        <f t="array" ref="J88">_xlfn.IFS(AND(F88&gt;=8,G88&gt;=8,H88&gt;=8),"Champion",AND(F88&gt;=6,G88&gt;=7,H88&gt;=6),"Loyal Customer",AND(F88&gt;=6,G88&gt;=5,H88&gt;=5),"Potential Loyalist",AND(F88&gt;=8,G88&gt;=2,H88&gt;=5),"New Customers",AND(F88&gt;=6,G88&gt;=2,H88&gt;=3),"Promising",AND(F88&gt;=3,G88&gt;=3,H88&gt;=3),"Need Attention",AND(F88&gt;=4,G88&gt;=6,H88&gt;=6),"At Risk",AND(F88&gt;=2,G88&gt;=8,H88&gt;=8),"Can't Lose Them",AND(F88&gt;=2,G88&gt;=2,H88&gt;=2),"Hibernating",TRUE,"Other")</f>
        <v>Other</v>
      </c>
    </row>
    <row r="89" spans="1:10">
      <c r="A89" t="s">
        <v>36</v>
      </c>
      <c r="B89" s="9">
        <v>45994</v>
      </c>
      <c r="C89" s="10">
        <f>DATEDIF(B89,$C$1,"d")</f>
        <v>12</v>
      </c>
      <c r="D89">
        <v>6</v>
      </c>
      <c r="E89">
        <v>642.16</v>
      </c>
      <c r="F89" s="10">
        <f>ROUND((1-_xlfn.PERCENTRANK.INC($C$4:$C$182,C89))*9,0)</f>
        <v>8</v>
      </c>
      <c r="G89" s="10">
        <f>ROUND((1-_xlfn.PERCENTRANK.INC($D$4:$D$182,D89))*9,0)</f>
        <v>6</v>
      </c>
      <c r="H89" s="10">
        <f>ROUND((1-_xlfn.PERCENTRANK.INC($E$4:$E$182,E89))*9,0)</f>
        <v>7</v>
      </c>
      <c r="I89" s="10" t="str">
        <f t="shared" si="1"/>
        <v>867</v>
      </c>
      <c r="J89" s="10" t="str" cm="1">
        <f t="array" ref="J89">_xlfn.IFS(AND(F89&gt;=8,G89&gt;=8,H89&gt;=8),"Champion",AND(F89&gt;=6,G89&gt;=7,H89&gt;=6),"Loyal Customer",AND(F89&gt;=6,G89&gt;=5,H89&gt;=5),"Potential Loyalist",AND(F89&gt;=8,G89&gt;=2,H89&gt;=5),"New Customers",AND(F89&gt;=6,G89&gt;=2,H89&gt;=3),"Promising",AND(F89&gt;=3,G89&gt;=3,H89&gt;=3),"Need Attention",AND(F89&gt;=4,G89&gt;=6,H89&gt;=6),"At Risk",AND(F89&gt;=2,G89&gt;=8,H89&gt;=8),"Can't Lose Them",AND(F89&gt;=2,G89&gt;=2,H89&gt;=2),"Hibernating",TRUE,"Other")</f>
        <v>Potential Loyalist</v>
      </c>
    </row>
    <row r="90" spans="1:10">
      <c r="A90" t="s">
        <v>142</v>
      </c>
      <c r="B90" s="9">
        <v>45658</v>
      </c>
      <c r="C90" s="10">
        <f>DATEDIF(B90,$C$1,"d")</f>
        <v>348</v>
      </c>
      <c r="D90">
        <v>4</v>
      </c>
      <c r="E90">
        <v>661.28</v>
      </c>
      <c r="F90" s="10">
        <f>ROUND((1-_xlfn.PERCENTRANK.INC($C$4:$C$182,C90))*9,0)</f>
        <v>0</v>
      </c>
      <c r="G90" s="10">
        <f>ROUND((1-_xlfn.PERCENTRANK.INC($D$4:$D$182,D90))*9,0)</f>
        <v>8</v>
      </c>
      <c r="H90" s="10">
        <f>ROUND((1-_xlfn.PERCENTRANK.INC($E$4:$E$182,E90))*9,0)</f>
        <v>7</v>
      </c>
      <c r="I90" s="10" t="str">
        <f t="shared" si="1"/>
        <v>087</v>
      </c>
      <c r="J90" s="10" t="str" cm="1">
        <f t="array" ref="J90">_xlfn.IFS(AND(F90&gt;=8,G90&gt;=8,H90&gt;=8),"Champion",AND(F90&gt;=6,G90&gt;=7,H90&gt;=6),"Loyal Customer",AND(F90&gt;=6,G90&gt;=5,H90&gt;=5),"Potential Loyalist",AND(F90&gt;=8,G90&gt;=2,H90&gt;=5),"New Customers",AND(F90&gt;=6,G90&gt;=2,H90&gt;=3),"Promising",AND(F90&gt;=3,G90&gt;=3,H90&gt;=3),"Need Attention",AND(F90&gt;=4,G90&gt;=6,H90&gt;=6),"At Risk",AND(F90&gt;=2,G90&gt;=8,H90&gt;=8),"Can't Lose Them",AND(F90&gt;=2,G90&gt;=2,H90&gt;=2),"Hibernating",TRUE,"Other")</f>
        <v>Other</v>
      </c>
    </row>
    <row r="91" spans="1:10">
      <c r="A91" t="s">
        <v>88</v>
      </c>
      <c r="B91" s="9">
        <v>45809</v>
      </c>
      <c r="C91" s="10">
        <f>DATEDIF(B91,$C$1,"d")</f>
        <v>197</v>
      </c>
      <c r="D91">
        <v>6</v>
      </c>
      <c r="E91">
        <v>774.04</v>
      </c>
      <c r="F91" s="10">
        <f>ROUND((1-_xlfn.PERCENTRANK.INC($C$4:$C$182,C91))*9,0)</f>
        <v>1</v>
      </c>
      <c r="G91" s="10">
        <f>ROUND((1-_xlfn.PERCENTRANK.INC($D$4:$D$182,D91))*9,0)</f>
        <v>6</v>
      </c>
      <c r="H91" s="10">
        <f>ROUND((1-_xlfn.PERCENTRANK.INC($E$4:$E$182,E91))*9,0)</f>
        <v>6</v>
      </c>
      <c r="I91" s="10" t="str">
        <f t="shared" si="1"/>
        <v>166</v>
      </c>
      <c r="J91" s="10" t="str" cm="1">
        <f t="array" ref="J91">_xlfn.IFS(AND(F91&gt;=8,G91&gt;=8,H91&gt;=8),"Champion",AND(F91&gt;=6,G91&gt;=7,H91&gt;=6),"Loyal Customer",AND(F91&gt;=6,G91&gt;=5,H91&gt;=5),"Potential Loyalist",AND(F91&gt;=8,G91&gt;=2,H91&gt;=5),"New Customers",AND(F91&gt;=6,G91&gt;=2,H91&gt;=3),"Promising",AND(F91&gt;=3,G91&gt;=3,H91&gt;=3),"Need Attention",AND(F91&gt;=4,G91&gt;=6,H91&gt;=6),"At Risk",AND(F91&gt;=2,G91&gt;=8,H91&gt;=8),"Can't Lose Them",AND(F91&gt;=2,G91&gt;=2,H91&gt;=2),"Hibernating",TRUE,"Other")</f>
        <v>Other</v>
      </c>
    </row>
    <row r="92" spans="1:10">
      <c r="A92" t="s">
        <v>30</v>
      </c>
      <c r="B92" s="9">
        <v>45998</v>
      </c>
      <c r="C92" s="10">
        <f>DATEDIF(B92,$C$1,"d")</f>
        <v>8</v>
      </c>
      <c r="D92">
        <v>7</v>
      </c>
      <c r="E92">
        <v>1351.7</v>
      </c>
      <c r="F92" s="10">
        <f>ROUND((1-_xlfn.PERCENTRANK.INC($C$4:$C$182,C92))*9,0)</f>
        <v>8</v>
      </c>
      <c r="G92" s="10">
        <f>ROUND((1-_xlfn.PERCENTRANK.INC($D$4:$D$182,D92))*9,0)</f>
        <v>4</v>
      </c>
      <c r="H92" s="10">
        <f>ROUND((1-_xlfn.PERCENTRANK.INC($E$4:$E$182,E92))*9,0)</f>
        <v>4</v>
      </c>
      <c r="I92" s="10" t="str">
        <f t="shared" si="1"/>
        <v>844</v>
      </c>
      <c r="J92" s="10" t="str" cm="1">
        <f t="array" ref="J92">_xlfn.IFS(AND(F92&gt;=8,G92&gt;=8,H92&gt;=8),"Champion",AND(F92&gt;=6,G92&gt;=7,H92&gt;=6),"Loyal Customer",AND(F92&gt;=6,G92&gt;=5,H92&gt;=5),"Potential Loyalist",AND(F92&gt;=8,G92&gt;=2,H92&gt;=5),"New Customers",AND(F92&gt;=6,G92&gt;=2,H92&gt;=3),"Promising",AND(F92&gt;=3,G92&gt;=3,H92&gt;=3),"Need Attention",AND(F92&gt;=4,G92&gt;=6,H92&gt;=6),"At Risk",AND(F92&gt;=2,G92&gt;=8,H92&gt;=8),"Can't Lose Them",AND(F92&gt;=2,G92&gt;=2,H92&gt;=2),"Hibernating",TRUE,"Other")</f>
        <v>Promising</v>
      </c>
    </row>
    <row r="93" spans="1:10">
      <c r="A93" t="s">
        <v>19</v>
      </c>
      <c r="B93" s="9">
        <v>45692</v>
      </c>
      <c r="C93" s="10">
        <f>DATEDIF(B93,$C$1,"d")</f>
        <v>314</v>
      </c>
      <c r="D93">
        <v>3</v>
      </c>
      <c r="E93">
        <v>1350.81</v>
      </c>
      <c r="F93" s="10">
        <f>ROUND((1-_xlfn.PERCENTRANK.INC($C$4:$C$182,C93))*9,0)</f>
        <v>0</v>
      </c>
      <c r="G93" s="10">
        <f>ROUND((1-_xlfn.PERCENTRANK.INC($D$4:$D$182,D93))*9,0)</f>
        <v>9</v>
      </c>
      <c r="H93" s="10">
        <f>ROUND((1-_xlfn.PERCENTRANK.INC($E$4:$E$182,E93))*9,0)</f>
        <v>4</v>
      </c>
      <c r="I93" s="10" t="str">
        <f t="shared" si="1"/>
        <v>094</v>
      </c>
      <c r="J93" s="10" t="str" cm="1">
        <f t="array" ref="J93">_xlfn.IFS(AND(F93&gt;=8,G93&gt;=8,H93&gt;=8),"Champion",AND(F93&gt;=6,G93&gt;=7,H93&gt;=6),"Loyal Customer",AND(F93&gt;=6,G93&gt;=5,H93&gt;=5),"Potential Loyalist",AND(F93&gt;=8,G93&gt;=2,H93&gt;=5),"New Customers",AND(F93&gt;=6,G93&gt;=2,H93&gt;=3),"Promising",AND(F93&gt;=3,G93&gt;=3,H93&gt;=3),"Need Attention",AND(F93&gt;=4,G93&gt;=6,H93&gt;=6),"At Risk",AND(F93&gt;=2,G93&gt;=8,H93&gt;=8),"Can't Lose Them",AND(F93&gt;=2,G93&gt;=2,H93&gt;=2),"Hibernating",TRUE,"Other")</f>
        <v>Other</v>
      </c>
    </row>
    <row r="94" spans="1:10">
      <c r="A94" t="s">
        <v>51</v>
      </c>
      <c r="B94" s="9">
        <v>45874</v>
      </c>
      <c r="C94" s="10">
        <f>DATEDIF(B94,$C$1,"d")</f>
        <v>132</v>
      </c>
      <c r="D94">
        <v>9</v>
      </c>
      <c r="E94">
        <v>2677.25</v>
      </c>
      <c r="F94" s="10">
        <f>ROUND((1-_xlfn.PERCENTRANK.INC($C$4:$C$182,C94))*9,0)</f>
        <v>3</v>
      </c>
      <c r="G94" s="10">
        <f>ROUND((1-_xlfn.PERCENTRANK.INC($D$4:$D$182,D94))*9,0)</f>
        <v>2</v>
      </c>
      <c r="H94" s="10">
        <f>ROUND((1-_xlfn.PERCENTRANK.INC($E$4:$E$182,E94))*9,0)</f>
        <v>1</v>
      </c>
      <c r="I94" s="10" t="str">
        <f t="shared" si="1"/>
        <v>321</v>
      </c>
      <c r="J94" s="10" t="str" cm="1">
        <f t="array" ref="J94">_xlfn.IFS(AND(F94&gt;=8,G94&gt;=8,H94&gt;=8),"Champion",AND(F94&gt;=6,G94&gt;=7,H94&gt;=6),"Loyal Customer",AND(F94&gt;=6,G94&gt;=5,H94&gt;=5),"Potential Loyalist",AND(F94&gt;=8,G94&gt;=2,H94&gt;=5),"New Customers",AND(F94&gt;=6,G94&gt;=2,H94&gt;=3),"Promising",AND(F94&gt;=3,G94&gt;=3,H94&gt;=3),"Need Attention",AND(F94&gt;=4,G94&gt;=6,H94&gt;=6),"At Risk",AND(F94&gt;=2,G94&gt;=8,H94&gt;=8),"Can't Lose Them",AND(F94&gt;=2,G94&gt;=2,H94&gt;=2),"Hibernating",TRUE,"Other")</f>
        <v>Other</v>
      </c>
    </row>
    <row r="95" spans="1:10">
      <c r="A95" t="s">
        <v>59</v>
      </c>
      <c r="B95" s="9">
        <v>45874</v>
      </c>
      <c r="C95" s="10">
        <f>DATEDIF(B95,$C$1,"d")</f>
        <v>132</v>
      </c>
      <c r="D95">
        <v>5</v>
      </c>
      <c r="E95">
        <v>581.38</v>
      </c>
      <c r="F95" s="10">
        <f>ROUND((1-_xlfn.PERCENTRANK.INC($C$4:$C$182,C95))*9,0)</f>
        <v>3</v>
      </c>
      <c r="G95" s="10">
        <f>ROUND((1-_xlfn.PERCENTRANK.INC($D$4:$D$182,D95))*9,0)</f>
        <v>7</v>
      </c>
      <c r="H95" s="10">
        <f>ROUND((1-_xlfn.PERCENTRANK.INC($E$4:$E$182,E95))*9,0)</f>
        <v>8</v>
      </c>
      <c r="I95" s="10" t="str">
        <f t="shared" si="1"/>
        <v>378</v>
      </c>
      <c r="J95" s="10" t="str" cm="1">
        <f t="array" ref="J95">_xlfn.IFS(AND(F95&gt;=8,G95&gt;=8,H95&gt;=8),"Champion",AND(F95&gt;=6,G95&gt;=7,H95&gt;=6),"Loyal Customer",AND(F95&gt;=6,G95&gt;=5,H95&gt;=5),"Potential Loyalist",AND(F95&gt;=8,G95&gt;=2,H95&gt;=5),"New Customers",AND(F95&gt;=6,G95&gt;=2,H95&gt;=3),"Promising",AND(F95&gt;=3,G95&gt;=3,H95&gt;=3),"Need Attention",AND(F95&gt;=4,G95&gt;=6,H95&gt;=6),"At Risk",AND(F95&gt;=2,G95&gt;=8,H95&gt;=8),"Can't Lose Them",AND(F95&gt;=2,G95&gt;=2,H95&gt;=2),"Hibernating",TRUE,"Other")</f>
        <v>Need Attention</v>
      </c>
    </row>
    <row r="96" spans="1:10">
      <c r="A96" t="s">
        <v>8</v>
      </c>
      <c r="B96" s="9">
        <v>45968</v>
      </c>
      <c r="C96" s="10">
        <f>DATEDIF(B96,$C$1,"d")</f>
        <v>38</v>
      </c>
      <c r="D96">
        <v>4</v>
      </c>
      <c r="E96">
        <v>657.43</v>
      </c>
      <c r="F96" s="10">
        <f>ROUND((1-_xlfn.PERCENTRANK.INC($C$4:$C$182,C96))*9,0)</f>
        <v>7</v>
      </c>
      <c r="G96" s="10">
        <f>ROUND((1-_xlfn.PERCENTRANK.INC($D$4:$D$182,D96))*9,0)</f>
        <v>8</v>
      </c>
      <c r="H96" s="10">
        <f>ROUND((1-_xlfn.PERCENTRANK.INC($E$4:$E$182,E96))*9,0)</f>
        <v>7</v>
      </c>
      <c r="I96" s="10" t="str">
        <f t="shared" si="1"/>
        <v>787</v>
      </c>
      <c r="J96" s="10" t="str" cm="1">
        <f t="array" ref="J96">_xlfn.IFS(AND(F96&gt;=8,G96&gt;=8,H96&gt;=8),"Champion",AND(F96&gt;=6,G96&gt;=7,H96&gt;=6),"Loyal Customer",AND(F96&gt;=6,G96&gt;=5,H96&gt;=5),"Potential Loyalist",AND(F96&gt;=8,G96&gt;=2,H96&gt;=5),"New Customers",AND(F96&gt;=6,G96&gt;=2,H96&gt;=3),"Promising",AND(F96&gt;=3,G96&gt;=3,H96&gt;=3),"Need Attention",AND(F96&gt;=4,G96&gt;=6,H96&gt;=6),"At Risk",AND(F96&gt;=2,G96&gt;=8,H96&gt;=8),"Can't Lose Them",AND(F96&gt;=2,G96&gt;=2,H96&gt;=2),"Hibernating",TRUE,"Other")</f>
        <v>Loyal Customer</v>
      </c>
    </row>
    <row r="97" spans="1:10">
      <c r="A97" t="s">
        <v>76</v>
      </c>
      <c r="B97" s="9">
        <v>45848</v>
      </c>
      <c r="C97" s="10">
        <f>DATEDIF(B97,$C$1,"d")</f>
        <v>158</v>
      </c>
      <c r="D97">
        <v>5</v>
      </c>
      <c r="E97">
        <v>506.57</v>
      </c>
      <c r="F97" s="10">
        <f>ROUND((1-_xlfn.PERCENTRANK.INC($C$4:$C$182,C97))*9,0)</f>
        <v>3</v>
      </c>
      <c r="G97" s="10">
        <f>ROUND((1-_xlfn.PERCENTRANK.INC($D$4:$D$182,D97))*9,0)</f>
        <v>7</v>
      </c>
      <c r="H97" s="10">
        <f>ROUND((1-_xlfn.PERCENTRANK.INC($E$4:$E$182,E97))*9,0)</f>
        <v>8</v>
      </c>
      <c r="I97" s="10" t="str">
        <f t="shared" si="1"/>
        <v>378</v>
      </c>
      <c r="J97" s="10" t="str" cm="1">
        <f t="array" ref="J97">_xlfn.IFS(AND(F97&gt;=8,G97&gt;=8,H97&gt;=8),"Champion",AND(F97&gt;=6,G97&gt;=7,H97&gt;=6),"Loyal Customer",AND(F97&gt;=6,G97&gt;=5,H97&gt;=5),"Potential Loyalist",AND(F97&gt;=8,G97&gt;=2,H97&gt;=5),"New Customers",AND(F97&gt;=6,G97&gt;=2,H97&gt;=3),"Promising",AND(F97&gt;=3,G97&gt;=3,H97&gt;=3),"Need Attention",AND(F97&gt;=4,G97&gt;=6,H97&gt;=6),"At Risk",AND(F97&gt;=2,G97&gt;=8,H97&gt;=8),"Can't Lose Them",AND(F97&gt;=2,G97&gt;=2,H97&gt;=2),"Hibernating",TRUE,"Other")</f>
        <v>Need Attention</v>
      </c>
    </row>
    <row r="98" spans="1:10">
      <c r="A98" t="s">
        <v>49</v>
      </c>
      <c r="B98" s="9">
        <v>45964</v>
      </c>
      <c r="C98" s="10">
        <f>DATEDIF(B98,$C$1,"d")</f>
        <v>42</v>
      </c>
      <c r="D98">
        <v>8</v>
      </c>
      <c r="E98">
        <v>2927.46</v>
      </c>
      <c r="F98" s="10">
        <f>ROUND((1-_xlfn.PERCENTRANK.INC($C$4:$C$182,C98))*9,0)</f>
        <v>6</v>
      </c>
      <c r="G98" s="10">
        <f>ROUND((1-_xlfn.PERCENTRANK.INC($D$4:$D$182,D98))*9,0)</f>
        <v>3</v>
      </c>
      <c r="H98" s="10">
        <f>ROUND((1-_xlfn.PERCENTRANK.INC($E$4:$E$182,E98))*9,0)</f>
        <v>0</v>
      </c>
      <c r="I98" s="10" t="str">
        <f t="shared" si="1"/>
        <v>630</v>
      </c>
      <c r="J98" s="10" t="str" cm="1">
        <f t="array" ref="J98">_xlfn.IFS(AND(F98&gt;=8,G98&gt;=8,H98&gt;=8),"Champion",AND(F98&gt;=6,G98&gt;=7,H98&gt;=6),"Loyal Customer",AND(F98&gt;=6,G98&gt;=5,H98&gt;=5),"Potential Loyalist",AND(F98&gt;=8,G98&gt;=2,H98&gt;=5),"New Customers",AND(F98&gt;=6,G98&gt;=2,H98&gt;=3),"Promising",AND(F98&gt;=3,G98&gt;=3,H98&gt;=3),"Need Attention",AND(F98&gt;=4,G98&gt;=6,H98&gt;=6),"At Risk",AND(F98&gt;=2,G98&gt;=8,H98&gt;=8),"Can't Lose Them",AND(F98&gt;=2,G98&gt;=2,H98&gt;=2),"Hibernating",TRUE,"Other")</f>
        <v>Other</v>
      </c>
    </row>
    <row r="99" spans="1:10">
      <c r="A99" t="s">
        <v>110</v>
      </c>
      <c r="B99" s="9">
        <v>45788</v>
      </c>
      <c r="C99" s="10">
        <f>DATEDIF(B99,$C$1,"d")</f>
        <v>218</v>
      </c>
      <c r="D99">
        <v>8</v>
      </c>
      <c r="E99">
        <v>1673.85</v>
      </c>
      <c r="F99" s="10">
        <f>ROUND((1-_xlfn.PERCENTRANK.INC($C$4:$C$182,C99))*9,0)</f>
        <v>1</v>
      </c>
      <c r="G99" s="10">
        <f>ROUND((1-_xlfn.PERCENTRANK.INC($D$4:$D$182,D99))*9,0)</f>
        <v>3</v>
      </c>
      <c r="H99" s="10">
        <f>ROUND((1-_xlfn.PERCENTRANK.INC($E$4:$E$182,E99))*9,0)</f>
        <v>3</v>
      </c>
      <c r="I99" s="10" t="str">
        <f t="shared" si="1"/>
        <v>133</v>
      </c>
      <c r="J99" s="10" t="str" cm="1">
        <f t="array" ref="J99">_xlfn.IFS(AND(F99&gt;=8,G99&gt;=8,H99&gt;=8),"Champion",AND(F99&gt;=6,G99&gt;=7,H99&gt;=6),"Loyal Customer",AND(F99&gt;=6,G99&gt;=5,H99&gt;=5),"Potential Loyalist",AND(F99&gt;=8,G99&gt;=2,H99&gt;=5),"New Customers",AND(F99&gt;=6,G99&gt;=2,H99&gt;=3),"Promising",AND(F99&gt;=3,G99&gt;=3,H99&gt;=3),"Need Attention",AND(F99&gt;=4,G99&gt;=6,H99&gt;=6),"At Risk",AND(F99&gt;=2,G99&gt;=8,H99&gt;=8),"Can't Lose Them",AND(F99&gt;=2,G99&gt;=2,H99&gt;=2),"Hibernating",TRUE,"Other")</f>
        <v>Other</v>
      </c>
    </row>
    <row r="100" spans="1:10">
      <c r="A100" t="s">
        <v>83</v>
      </c>
      <c r="B100" s="9">
        <v>46000</v>
      </c>
      <c r="C100" s="10">
        <f>DATEDIF(B100,$C$1,"d")</f>
        <v>6</v>
      </c>
      <c r="D100">
        <v>9</v>
      </c>
      <c r="E100">
        <v>1036.29</v>
      </c>
      <c r="F100" s="10">
        <f>ROUND((1-_xlfn.PERCENTRANK.INC($C$4:$C$182,C100))*9,0)</f>
        <v>9</v>
      </c>
      <c r="G100" s="10">
        <f>ROUND((1-_xlfn.PERCENTRANK.INC($D$4:$D$182,D100))*9,0)</f>
        <v>2</v>
      </c>
      <c r="H100" s="10">
        <f>ROUND((1-_xlfn.PERCENTRANK.INC($E$4:$E$182,E100))*9,0)</f>
        <v>5</v>
      </c>
      <c r="I100" s="10" t="str">
        <f t="shared" si="1"/>
        <v>925</v>
      </c>
      <c r="J100" s="10" t="str" cm="1">
        <f t="array" ref="J100">_xlfn.IFS(AND(F100&gt;=8,G100&gt;=8,H100&gt;=8),"Champion",AND(F100&gt;=6,G100&gt;=7,H100&gt;=6),"Loyal Customer",AND(F100&gt;=6,G100&gt;=5,H100&gt;=5),"Potential Loyalist",AND(F100&gt;=8,G100&gt;=2,H100&gt;=5),"New Customers",AND(F100&gt;=6,G100&gt;=2,H100&gt;=3),"Promising",AND(F100&gt;=3,G100&gt;=3,H100&gt;=3),"Need Attention",AND(F100&gt;=4,G100&gt;=6,H100&gt;=6),"At Risk",AND(F100&gt;=2,G100&gt;=8,H100&gt;=8),"Can't Lose Them",AND(F100&gt;=2,G100&gt;=2,H100&gt;=2),"Hibernating",TRUE,"Other")</f>
        <v>New Customers</v>
      </c>
    </row>
    <row r="101" spans="1:10">
      <c r="A101" t="s">
        <v>101</v>
      </c>
      <c r="B101" s="9">
        <v>45998</v>
      </c>
      <c r="C101" s="10">
        <f>DATEDIF(B101,$C$1,"d")</f>
        <v>8</v>
      </c>
      <c r="D101">
        <v>5</v>
      </c>
      <c r="E101">
        <v>1748.76</v>
      </c>
      <c r="F101" s="10">
        <f>ROUND((1-_xlfn.PERCENTRANK.INC($C$4:$C$182,C101))*9,0)</f>
        <v>8</v>
      </c>
      <c r="G101" s="10">
        <f>ROUND((1-_xlfn.PERCENTRANK.INC($D$4:$D$182,D101))*9,0)</f>
        <v>7</v>
      </c>
      <c r="H101" s="10">
        <f>ROUND((1-_xlfn.PERCENTRANK.INC($E$4:$E$182,E101))*9,0)</f>
        <v>2</v>
      </c>
      <c r="I101" s="10" t="str">
        <f t="shared" si="1"/>
        <v>872</v>
      </c>
      <c r="J101" s="10" t="str" cm="1">
        <f t="array" ref="J101">_xlfn.IFS(AND(F101&gt;=8,G101&gt;=8,H101&gt;=8),"Champion",AND(F101&gt;=6,G101&gt;=7,H101&gt;=6),"Loyal Customer",AND(F101&gt;=6,G101&gt;=5,H101&gt;=5),"Potential Loyalist",AND(F101&gt;=8,G101&gt;=2,H101&gt;=5),"New Customers",AND(F101&gt;=6,G101&gt;=2,H101&gt;=3),"Promising",AND(F101&gt;=3,G101&gt;=3,H101&gt;=3),"Need Attention",AND(F101&gt;=4,G101&gt;=6,H101&gt;=6),"At Risk",AND(F101&gt;=2,G101&gt;=8,H101&gt;=8),"Can't Lose Them",AND(F101&gt;=2,G101&gt;=2,H101&gt;=2),"Hibernating",TRUE,"Other")</f>
        <v>Hibernating</v>
      </c>
    </row>
    <row r="102" spans="1:10">
      <c r="A102" t="s">
        <v>179</v>
      </c>
      <c r="B102" s="9">
        <v>45995</v>
      </c>
      <c r="C102" s="10">
        <f>DATEDIF(B102,$C$1,"d")</f>
        <v>11</v>
      </c>
      <c r="D102">
        <v>7</v>
      </c>
      <c r="E102">
        <v>1533.74</v>
      </c>
      <c r="F102" s="10">
        <f>ROUND((1-_xlfn.PERCENTRANK.INC($C$4:$C$182,C102))*9,0)</f>
        <v>8</v>
      </c>
      <c r="G102" s="10">
        <f>ROUND((1-_xlfn.PERCENTRANK.INC($D$4:$D$182,D102))*9,0)</f>
        <v>4</v>
      </c>
      <c r="H102" s="10">
        <f>ROUND((1-_xlfn.PERCENTRANK.INC($E$4:$E$182,E102))*9,0)</f>
        <v>3</v>
      </c>
      <c r="I102" s="10" t="str">
        <f t="shared" si="1"/>
        <v>843</v>
      </c>
      <c r="J102" s="10" t="str" cm="1">
        <f t="array" ref="J102">_xlfn.IFS(AND(F102&gt;=8,G102&gt;=8,H102&gt;=8),"Champion",AND(F102&gt;=6,G102&gt;=7,H102&gt;=6),"Loyal Customer",AND(F102&gt;=6,G102&gt;=5,H102&gt;=5),"Potential Loyalist",AND(F102&gt;=8,G102&gt;=2,H102&gt;=5),"New Customers",AND(F102&gt;=6,G102&gt;=2,H102&gt;=3),"Promising",AND(F102&gt;=3,G102&gt;=3,H102&gt;=3),"Need Attention",AND(F102&gt;=4,G102&gt;=6,H102&gt;=6),"At Risk",AND(F102&gt;=2,G102&gt;=8,H102&gt;=8),"Can't Lose Them",AND(F102&gt;=2,G102&gt;=2,H102&gt;=2),"Hibernating",TRUE,"Other")</f>
        <v>Promising</v>
      </c>
    </row>
    <row r="103" spans="1:10">
      <c r="A103" t="s">
        <v>189</v>
      </c>
      <c r="B103" s="9">
        <v>45940</v>
      </c>
      <c r="C103" s="10">
        <f>DATEDIF(B103,$C$1,"d")</f>
        <v>66</v>
      </c>
      <c r="D103">
        <v>4</v>
      </c>
      <c r="E103">
        <v>582.35</v>
      </c>
      <c r="F103" s="10">
        <f>ROUND((1-_xlfn.PERCENTRANK.INC($C$4:$C$182,C103))*9,0)</f>
        <v>6</v>
      </c>
      <c r="G103" s="10">
        <f>ROUND((1-_xlfn.PERCENTRANK.INC($D$4:$D$182,D103))*9,0)</f>
        <v>8</v>
      </c>
      <c r="H103" s="10">
        <f>ROUND((1-_xlfn.PERCENTRANK.INC($E$4:$E$182,E103))*9,0)</f>
        <v>8</v>
      </c>
      <c r="I103" s="10" t="str">
        <f t="shared" si="1"/>
        <v>688</v>
      </c>
      <c r="J103" s="10" t="str" cm="1">
        <f t="array" ref="J103">_xlfn.IFS(AND(F103&gt;=8,G103&gt;=8,H103&gt;=8),"Champion",AND(F103&gt;=6,G103&gt;=7,H103&gt;=6),"Loyal Customer",AND(F103&gt;=6,G103&gt;=5,H103&gt;=5),"Potential Loyalist",AND(F103&gt;=8,G103&gt;=2,H103&gt;=5),"New Customers",AND(F103&gt;=6,G103&gt;=2,H103&gt;=3),"Promising",AND(F103&gt;=3,G103&gt;=3,H103&gt;=3),"Need Attention",AND(F103&gt;=4,G103&gt;=6,H103&gt;=6),"At Risk",AND(F103&gt;=2,G103&gt;=8,H103&gt;=8),"Can't Lose Them",AND(F103&gt;=2,G103&gt;=2,H103&gt;=2),"Hibernating",TRUE,"Other")</f>
        <v>Loyal Customer</v>
      </c>
    </row>
    <row r="104" spans="1:10">
      <c r="A104" t="s">
        <v>158</v>
      </c>
      <c r="B104" s="9">
        <v>45872</v>
      </c>
      <c r="C104" s="10">
        <f>DATEDIF(B104,$C$1,"d")</f>
        <v>134</v>
      </c>
      <c r="D104">
        <v>8</v>
      </c>
      <c r="E104">
        <v>2447.7</v>
      </c>
      <c r="F104" s="10">
        <f>ROUND((1-_xlfn.PERCENTRANK.INC($C$4:$C$182,C104))*9,0)</f>
        <v>3</v>
      </c>
      <c r="G104" s="10">
        <f>ROUND((1-_xlfn.PERCENTRANK.INC($D$4:$D$182,D104))*9,0)</f>
        <v>3</v>
      </c>
      <c r="H104" s="10">
        <f>ROUND((1-_xlfn.PERCENTRANK.INC($E$4:$E$182,E104))*9,0)</f>
        <v>1</v>
      </c>
      <c r="I104" s="10" t="str">
        <f t="shared" si="1"/>
        <v>331</v>
      </c>
      <c r="J104" s="10" t="str" cm="1">
        <f t="array" ref="J104">_xlfn.IFS(AND(F104&gt;=8,G104&gt;=8,H104&gt;=8),"Champion",AND(F104&gt;=6,G104&gt;=7,H104&gt;=6),"Loyal Customer",AND(F104&gt;=6,G104&gt;=5,H104&gt;=5),"Potential Loyalist",AND(F104&gt;=8,G104&gt;=2,H104&gt;=5),"New Customers",AND(F104&gt;=6,G104&gt;=2,H104&gt;=3),"Promising",AND(F104&gt;=3,G104&gt;=3,H104&gt;=3),"Need Attention",AND(F104&gt;=4,G104&gt;=6,H104&gt;=6),"At Risk",AND(F104&gt;=2,G104&gt;=8,H104&gt;=8),"Can't Lose Them",AND(F104&gt;=2,G104&gt;=2,H104&gt;=2),"Hibernating",TRUE,"Other")</f>
        <v>Other</v>
      </c>
    </row>
    <row r="105" spans="1:10">
      <c r="A105" t="s">
        <v>111</v>
      </c>
      <c r="B105" s="9">
        <v>45723</v>
      </c>
      <c r="C105" s="10">
        <f>DATEDIF(B105,$C$1,"d")</f>
        <v>283</v>
      </c>
      <c r="D105">
        <v>2</v>
      </c>
      <c r="E105">
        <v>323.58</v>
      </c>
      <c r="F105" s="10">
        <f>ROUND((1-_xlfn.PERCENTRANK.INC($C$4:$C$182,C105))*9,0)</f>
        <v>0</v>
      </c>
      <c r="G105" s="10">
        <f>ROUND((1-_xlfn.PERCENTRANK.INC($D$4:$D$182,D105))*9,0)</f>
        <v>9</v>
      </c>
      <c r="H105" s="10">
        <f>ROUND((1-_xlfn.PERCENTRANK.INC($E$4:$E$182,E105))*9,0)</f>
        <v>9</v>
      </c>
      <c r="I105" s="10" t="str">
        <f t="shared" si="1"/>
        <v>099</v>
      </c>
      <c r="J105" s="10" t="str" cm="1">
        <f t="array" ref="J105">_xlfn.IFS(AND(F105&gt;=8,G105&gt;=8,H105&gt;=8),"Champion",AND(F105&gt;=6,G105&gt;=7,H105&gt;=6),"Loyal Customer",AND(F105&gt;=6,G105&gt;=5,H105&gt;=5),"Potential Loyalist",AND(F105&gt;=8,G105&gt;=2,H105&gt;=5),"New Customers",AND(F105&gt;=6,G105&gt;=2,H105&gt;=3),"Promising",AND(F105&gt;=3,G105&gt;=3,H105&gt;=3),"Need Attention",AND(F105&gt;=4,G105&gt;=6,H105&gt;=6),"At Risk",AND(F105&gt;=2,G105&gt;=8,H105&gt;=8),"Can't Lose Them",AND(F105&gt;=2,G105&gt;=2,H105&gt;=2),"Hibernating",TRUE,"Other")</f>
        <v>Other</v>
      </c>
    </row>
    <row r="106" spans="1:10">
      <c r="A106" t="s">
        <v>64</v>
      </c>
      <c r="B106" s="9">
        <v>45968</v>
      </c>
      <c r="C106" s="10">
        <f>DATEDIF(B106,$C$1,"d")</f>
        <v>38</v>
      </c>
      <c r="D106">
        <v>8</v>
      </c>
      <c r="E106">
        <v>1549.77</v>
      </c>
      <c r="F106" s="10">
        <f>ROUND((1-_xlfn.PERCENTRANK.INC($C$4:$C$182,C106))*9,0)</f>
        <v>7</v>
      </c>
      <c r="G106" s="10">
        <f>ROUND((1-_xlfn.PERCENTRANK.INC($D$4:$D$182,D106))*9,0)</f>
        <v>3</v>
      </c>
      <c r="H106" s="10">
        <f>ROUND((1-_xlfn.PERCENTRANK.INC($E$4:$E$182,E106))*9,0)</f>
        <v>3</v>
      </c>
      <c r="I106" s="10" t="str">
        <f t="shared" si="1"/>
        <v>733</v>
      </c>
      <c r="J106" s="10" t="str" cm="1">
        <f t="array" ref="J106">_xlfn.IFS(AND(F106&gt;=8,G106&gt;=8,H106&gt;=8),"Champion",AND(F106&gt;=6,G106&gt;=7,H106&gt;=6),"Loyal Customer",AND(F106&gt;=6,G106&gt;=5,H106&gt;=5),"Potential Loyalist",AND(F106&gt;=8,G106&gt;=2,H106&gt;=5),"New Customers",AND(F106&gt;=6,G106&gt;=2,H106&gt;=3),"Promising",AND(F106&gt;=3,G106&gt;=3,H106&gt;=3),"Need Attention",AND(F106&gt;=4,G106&gt;=6,H106&gt;=6),"At Risk",AND(F106&gt;=2,G106&gt;=8,H106&gt;=8),"Can't Lose Them",AND(F106&gt;=2,G106&gt;=2,H106&gt;=2),"Hibernating",TRUE,"Other")</f>
        <v>Promising</v>
      </c>
    </row>
    <row r="107" spans="1:10">
      <c r="A107" t="s">
        <v>188</v>
      </c>
      <c r="B107" s="9">
        <v>45849</v>
      </c>
      <c r="C107" s="10">
        <f>DATEDIF(B107,$C$1,"d")</f>
        <v>157</v>
      </c>
      <c r="D107">
        <v>6</v>
      </c>
      <c r="E107">
        <v>2399.5</v>
      </c>
      <c r="F107" s="10">
        <f>ROUND((1-_xlfn.PERCENTRANK.INC($C$4:$C$182,C107))*9,0)</f>
        <v>3</v>
      </c>
      <c r="G107" s="10">
        <f>ROUND((1-_xlfn.PERCENTRANK.INC($D$4:$D$182,D107))*9,0)</f>
        <v>6</v>
      </c>
      <c r="H107" s="10">
        <f>ROUND((1-_xlfn.PERCENTRANK.INC($E$4:$E$182,E107))*9,0)</f>
        <v>1</v>
      </c>
      <c r="I107" s="10" t="str">
        <f t="shared" si="1"/>
        <v>361</v>
      </c>
      <c r="J107" s="10" t="str" cm="1">
        <f t="array" ref="J107">_xlfn.IFS(AND(F107&gt;=8,G107&gt;=8,H107&gt;=8),"Champion",AND(F107&gt;=6,G107&gt;=7,H107&gt;=6),"Loyal Customer",AND(F107&gt;=6,G107&gt;=5,H107&gt;=5),"Potential Loyalist",AND(F107&gt;=8,G107&gt;=2,H107&gt;=5),"New Customers",AND(F107&gt;=6,G107&gt;=2,H107&gt;=3),"Promising",AND(F107&gt;=3,G107&gt;=3,H107&gt;=3),"Need Attention",AND(F107&gt;=4,G107&gt;=6,H107&gt;=6),"At Risk",AND(F107&gt;=2,G107&gt;=8,H107&gt;=8),"Can't Lose Them",AND(F107&gt;=2,G107&gt;=2,H107&gt;=2),"Hibernating",TRUE,"Other")</f>
        <v>Other</v>
      </c>
    </row>
    <row r="108" spans="1:10">
      <c r="A108" t="s">
        <v>11</v>
      </c>
      <c r="B108" s="9">
        <v>45970</v>
      </c>
      <c r="C108" s="10">
        <f>DATEDIF(B108,$C$1,"d")</f>
        <v>36</v>
      </c>
      <c r="D108">
        <v>5</v>
      </c>
      <c r="E108">
        <v>1186.21</v>
      </c>
      <c r="F108" s="10">
        <f>ROUND((1-_xlfn.PERCENTRANK.INC($C$4:$C$182,C108))*9,0)</f>
        <v>7</v>
      </c>
      <c r="G108" s="10">
        <f>ROUND((1-_xlfn.PERCENTRANK.INC($D$4:$D$182,D108))*9,0)</f>
        <v>7</v>
      </c>
      <c r="H108" s="10">
        <f>ROUND((1-_xlfn.PERCENTRANK.INC($E$4:$E$182,E108))*9,0)</f>
        <v>5</v>
      </c>
      <c r="I108" s="10" t="str">
        <f t="shared" si="1"/>
        <v>775</v>
      </c>
      <c r="J108" s="10" t="str" cm="1">
        <f t="array" ref="J108">_xlfn.IFS(AND(F108&gt;=8,G108&gt;=8,H108&gt;=8),"Champion",AND(F108&gt;=6,G108&gt;=7,H108&gt;=6),"Loyal Customer",AND(F108&gt;=6,G108&gt;=5,H108&gt;=5),"Potential Loyalist",AND(F108&gt;=8,G108&gt;=2,H108&gt;=5),"New Customers",AND(F108&gt;=6,G108&gt;=2,H108&gt;=3),"Promising",AND(F108&gt;=3,G108&gt;=3,H108&gt;=3),"Need Attention",AND(F108&gt;=4,G108&gt;=6,H108&gt;=6),"At Risk",AND(F108&gt;=2,G108&gt;=8,H108&gt;=8),"Can't Lose Them",AND(F108&gt;=2,G108&gt;=2,H108&gt;=2),"Hibernating",TRUE,"Other")</f>
        <v>Potential Loyalist</v>
      </c>
    </row>
    <row r="109" spans="1:10">
      <c r="A109" t="s">
        <v>17</v>
      </c>
      <c r="B109" s="9">
        <v>46002</v>
      </c>
      <c r="C109" s="10">
        <f>DATEDIF(B109,$C$1,"d")</f>
        <v>4</v>
      </c>
      <c r="D109">
        <v>7</v>
      </c>
      <c r="E109">
        <v>865.42</v>
      </c>
      <c r="F109" s="10">
        <f>ROUND((1-_xlfn.PERCENTRANK.INC($C$4:$C$182,C109))*9,0)</f>
        <v>9</v>
      </c>
      <c r="G109" s="10">
        <f>ROUND((1-_xlfn.PERCENTRANK.INC($D$4:$D$182,D109))*9,0)</f>
        <v>4</v>
      </c>
      <c r="H109" s="10">
        <f>ROUND((1-_xlfn.PERCENTRANK.INC($E$4:$E$182,E109))*9,0)</f>
        <v>6</v>
      </c>
      <c r="I109" s="10" t="str">
        <f t="shared" si="1"/>
        <v>946</v>
      </c>
      <c r="J109" s="10" t="str" cm="1">
        <f t="array" ref="J109">_xlfn.IFS(AND(F109&gt;=8,G109&gt;=8,H109&gt;=8),"Champion",AND(F109&gt;=6,G109&gt;=7,H109&gt;=6),"Loyal Customer",AND(F109&gt;=6,G109&gt;=5,H109&gt;=5),"Potential Loyalist",AND(F109&gt;=8,G109&gt;=2,H109&gt;=5),"New Customers",AND(F109&gt;=6,G109&gt;=2,H109&gt;=3),"Promising",AND(F109&gt;=3,G109&gt;=3,H109&gt;=3),"Need Attention",AND(F109&gt;=4,G109&gt;=6,H109&gt;=6),"At Risk",AND(F109&gt;=2,G109&gt;=8,H109&gt;=8),"Can't Lose Them",AND(F109&gt;=2,G109&gt;=2,H109&gt;=2),"Hibernating",TRUE,"Other")</f>
        <v>New Customers</v>
      </c>
    </row>
    <row r="110" spans="1:10">
      <c r="A110" t="s">
        <v>14</v>
      </c>
      <c r="B110" s="9">
        <v>45967</v>
      </c>
      <c r="C110" s="10">
        <f>DATEDIF(B110,$C$1,"d")</f>
        <v>39</v>
      </c>
      <c r="D110">
        <v>9</v>
      </c>
      <c r="E110">
        <v>542.88</v>
      </c>
      <c r="F110" s="10">
        <f>ROUND((1-_xlfn.PERCENTRANK.INC($C$4:$C$182,C110))*9,0)</f>
        <v>6</v>
      </c>
      <c r="G110" s="10">
        <f>ROUND((1-_xlfn.PERCENTRANK.INC($D$4:$D$182,D110))*9,0)</f>
        <v>2</v>
      </c>
      <c r="H110" s="10">
        <f>ROUND((1-_xlfn.PERCENTRANK.INC($E$4:$E$182,E110))*9,0)</f>
        <v>8</v>
      </c>
      <c r="I110" s="10" t="str">
        <f t="shared" si="1"/>
        <v>628</v>
      </c>
      <c r="J110" s="10" t="str" cm="1">
        <f t="array" ref="J110">_xlfn.IFS(AND(F110&gt;=8,G110&gt;=8,H110&gt;=8),"Champion",AND(F110&gt;=6,G110&gt;=7,H110&gt;=6),"Loyal Customer",AND(F110&gt;=6,G110&gt;=5,H110&gt;=5),"Potential Loyalist",AND(F110&gt;=8,G110&gt;=2,H110&gt;=5),"New Customers",AND(F110&gt;=6,G110&gt;=2,H110&gt;=3),"Promising",AND(F110&gt;=3,G110&gt;=3,H110&gt;=3),"Need Attention",AND(F110&gt;=4,G110&gt;=6,H110&gt;=6),"At Risk",AND(F110&gt;=2,G110&gt;=8,H110&gt;=8),"Can't Lose Them",AND(F110&gt;=2,G110&gt;=2,H110&gt;=2),"Hibernating",TRUE,"Other")</f>
        <v>Promising</v>
      </c>
    </row>
    <row r="111" spans="1:10">
      <c r="A111" t="s">
        <v>108</v>
      </c>
      <c r="B111" s="9">
        <v>45904</v>
      </c>
      <c r="C111" s="10">
        <f>DATEDIF(B111,$C$1,"d")</f>
        <v>102</v>
      </c>
      <c r="D111">
        <v>8</v>
      </c>
      <c r="E111">
        <v>1070.32</v>
      </c>
      <c r="F111" s="10">
        <f>ROUND((1-_xlfn.PERCENTRANK.INC($C$4:$C$182,C111))*9,0)</f>
        <v>4</v>
      </c>
      <c r="G111" s="10">
        <f>ROUND((1-_xlfn.PERCENTRANK.INC($D$4:$D$182,D111))*9,0)</f>
        <v>3</v>
      </c>
      <c r="H111" s="10">
        <f>ROUND((1-_xlfn.PERCENTRANK.INC($E$4:$E$182,E111))*9,0)</f>
        <v>5</v>
      </c>
      <c r="I111" s="10" t="str">
        <f t="shared" si="1"/>
        <v>435</v>
      </c>
      <c r="J111" s="10" t="str" cm="1">
        <f t="array" ref="J111">_xlfn.IFS(AND(F111&gt;=8,G111&gt;=8,H111&gt;=8),"Champion",AND(F111&gt;=6,G111&gt;=7,H111&gt;=6),"Loyal Customer",AND(F111&gt;=6,G111&gt;=5,H111&gt;=5),"Potential Loyalist",AND(F111&gt;=8,G111&gt;=2,H111&gt;=5),"New Customers",AND(F111&gt;=6,G111&gt;=2,H111&gt;=3),"Promising",AND(F111&gt;=3,G111&gt;=3,H111&gt;=3),"Need Attention",AND(F111&gt;=4,G111&gt;=6,H111&gt;=6),"At Risk",AND(F111&gt;=2,G111&gt;=8,H111&gt;=8),"Can't Lose Them",AND(F111&gt;=2,G111&gt;=2,H111&gt;=2),"Hibernating",TRUE,"Other")</f>
        <v>Need Attention</v>
      </c>
    </row>
    <row r="112" spans="1:10">
      <c r="A112" t="s">
        <v>70</v>
      </c>
      <c r="B112" s="9">
        <v>45758</v>
      </c>
      <c r="C112" s="10">
        <f>DATEDIF(B112,$C$1,"d")</f>
        <v>248</v>
      </c>
      <c r="D112">
        <v>8</v>
      </c>
      <c r="E112">
        <v>1338.59</v>
      </c>
      <c r="F112" s="10">
        <f>ROUND((1-_xlfn.PERCENTRANK.INC($C$4:$C$182,C112))*9,0)</f>
        <v>1</v>
      </c>
      <c r="G112" s="10">
        <f>ROUND((1-_xlfn.PERCENTRANK.INC($D$4:$D$182,D112))*9,0)</f>
        <v>3</v>
      </c>
      <c r="H112" s="10">
        <f>ROUND((1-_xlfn.PERCENTRANK.INC($E$4:$E$182,E112))*9,0)</f>
        <v>4</v>
      </c>
      <c r="I112" s="10" t="str">
        <f t="shared" si="1"/>
        <v>134</v>
      </c>
      <c r="J112" s="10" t="str" cm="1">
        <f t="array" ref="J112">_xlfn.IFS(AND(F112&gt;=8,G112&gt;=8,H112&gt;=8),"Champion",AND(F112&gt;=6,G112&gt;=7,H112&gt;=6),"Loyal Customer",AND(F112&gt;=6,G112&gt;=5,H112&gt;=5),"Potential Loyalist",AND(F112&gt;=8,G112&gt;=2,H112&gt;=5),"New Customers",AND(F112&gt;=6,G112&gt;=2,H112&gt;=3),"Promising",AND(F112&gt;=3,G112&gt;=3,H112&gt;=3),"Need Attention",AND(F112&gt;=4,G112&gt;=6,H112&gt;=6),"At Risk",AND(F112&gt;=2,G112&gt;=8,H112&gt;=8),"Can't Lose Them",AND(F112&gt;=2,G112&gt;=2,H112&gt;=2),"Hibernating",TRUE,"Other")</f>
        <v>Other</v>
      </c>
    </row>
    <row r="113" spans="1:10">
      <c r="A113" t="s">
        <v>71</v>
      </c>
      <c r="B113" s="9">
        <v>45999</v>
      </c>
      <c r="C113" s="10">
        <f>DATEDIF(B113,$C$1,"d")</f>
        <v>7</v>
      </c>
      <c r="D113">
        <v>6</v>
      </c>
      <c r="E113">
        <v>785.42</v>
      </c>
      <c r="F113" s="10">
        <f>ROUND((1-_xlfn.PERCENTRANK.INC($C$4:$C$182,C113))*9,0)</f>
        <v>8</v>
      </c>
      <c r="G113" s="10">
        <f>ROUND((1-_xlfn.PERCENTRANK.INC($D$4:$D$182,D113))*9,0)</f>
        <v>6</v>
      </c>
      <c r="H113" s="10">
        <f>ROUND((1-_xlfn.PERCENTRANK.INC($E$4:$E$182,E113))*9,0)</f>
        <v>6</v>
      </c>
      <c r="I113" s="10" t="str">
        <f t="shared" si="1"/>
        <v>866</v>
      </c>
      <c r="J113" s="10" t="str" cm="1">
        <f t="array" ref="J113">_xlfn.IFS(AND(F113&gt;=8,G113&gt;=8,H113&gt;=8),"Champion",AND(F113&gt;=6,G113&gt;=7,H113&gt;=6),"Loyal Customer",AND(F113&gt;=6,G113&gt;=5,H113&gt;=5),"Potential Loyalist",AND(F113&gt;=8,G113&gt;=2,H113&gt;=5),"New Customers",AND(F113&gt;=6,G113&gt;=2,H113&gt;=3),"Promising",AND(F113&gt;=3,G113&gt;=3,H113&gt;=3),"Need Attention",AND(F113&gt;=4,G113&gt;=6,H113&gt;=6),"At Risk",AND(F113&gt;=2,G113&gt;=8,H113&gt;=8),"Can't Lose Them",AND(F113&gt;=2,G113&gt;=2,H113&gt;=2),"Hibernating",TRUE,"Other")</f>
        <v>Potential Loyalist</v>
      </c>
    </row>
    <row r="114" spans="1:10">
      <c r="A114" t="s">
        <v>122</v>
      </c>
      <c r="B114" s="9">
        <v>45849</v>
      </c>
      <c r="C114" s="10">
        <f>DATEDIF(B114,$C$1,"d")</f>
        <v>157</v>
      </c>
      <c r="D114">
        <v>6</v>
      </c>
      <c r="E114">
        <v>1216.13</v>
      </c>
      <c r="F114" s="10">
        <f>ROUND((1-_xlfn.PERCENTRANK.INC($C$4:$C$182,C114))*9,0)</f>
        <v>3</v>
      </c>
      <c r="G114" s="10">
        <f>ROUND((1-_xlfn.PERCENTRANK.INC($D$4:$D$182,D114))*9,0)</f>
        <v>6</v>
      </c>
      <c r="H114" s="10">
        <f>ROUND((1-_xlfn.PERCENTRANK.INC($E$4:$E$182,E114))*9,0)</f>
        <v>4</v>
      </c>
      <c r="I114" s="10" t="str">
        <f t="shared" si="1"/>
        <v>364</v>
      </c>
      <c r="J114" s="10" t="str" cm="1">
        <f t="array" ref="J114">_xlfn.IFS(AND(F114&gt;=8,G114&gt;=8,H114&gt;=8),"Champion",AND(F114&gt;=6,G114&gt;=7,H114&gt;=6),"Loyal Customer",AND(F114&gt;=6,G114&gt;=5,H114&gt;=5),"Potential Loyalist",AND(F114&gt;=8,G114&gt;=2,H114&gt;=5),"New Customers",AND(F114&gt;=6,G114&gt;=2,H114&gt;=3),"Promising",AND(F114&gt;=3,G114&gt;=3,H114&gt;=3),"Need Attention",AND(F114&gt;=4,G114&gt;=6,H114&gt;=6),"At Risk",AND(F114&gt;=2,G114&gt;=8,H114&gt;=8),"Can't Lose Them",AND(F114&gt;=2,G114&gt;=2,H114&gt;=2),"Hibernating",TRUE,"Other")</f>
        <v>Need Attention</v>
      </c>
    </row>
    <row r="115" spans="1:10">
      <c r="A115" t="s">
        <v>18</v>
      </c>
      <c r="B115" s="9">
        <v>46000</v>
      </c>
      <c r="C115" s="10">
        <f>DATEDIF(B115,$C$1,"d")</f>
        <v>6</v>
      </c>
      <c r="D115">
        <v>8</v>
      </c>
      <c r="E115">
        <v>934.77</v>
      </c>
      <c r="F115" s="10">
        <f>ROUND((1-_xlfn.PERCENTRANK.INC($C$4:$C$182,C115))*9,0)</f>
        <v>9</v>
      </c>
      <c r="G115" s="10">
        <f>ROUND((1-_xlfn.PERCENTRANK.INC($D$4:$D$182,D115))*9,0)</f>
        <v>3</v>
      </c>
      <c r="H115" s="10">
        <f>ROUND((1-_xlfn.PERCENTRANK.INC($E$4:$E$182,E115))*9,0)</f>
        <v>6</v>
      </c>
      <c r="I115" s="10" t="str">
        <f t="shared" si="1"/>
        <v>936</v>
      </c>
      <c r="J115" s="10" t="str" cm="1">
        <f t="array" ref="J115">_xlfn.IFS(AND(F115&gt;=8,G115&gt;=8,H115&gt;=8),"Champion",AND(F115&gt;=6,G115&gt;=7,H115&gt;=6),"Loyal Customer",AND(F115&gt;=6,G115&gt;=5,H115&gt;=5),"Potential Loyalist",AND(F115&gt;=8,G115&gt;=2,H115&gt;=5),"New Customers",AND(F115&gt;=6,G115&gt;=2,H115&gt;=3),"Promising",AND(F115&gt;=3,G115&gt;=3,H115&gt;=3),"Need Attention",AND(F115&gt;=4,G115&gt;=6,H115&gt;=6),"At Risk",AND(F115&gt;=2,G115&gt;=8,H115&gt;=8),"Can't Lose Them",AND(F115&gt;=2,G115&gt;=2,H115&gt;=2),"Hibernating",TRUE,"Other")</f>
        <v>New Customers</v>
      </c>
    </row>
    <row r="116" spans="1:10">
      <c r="A116" t="s">
        <v>89</v>
      </c>
      <c r="B116" s="9">
        <v>45999</v>
      </c>
      <c r="C116" s="10">
        <f>DATEDIF(B116,$C$1,"d")</f>
        <v>7</v>
      </c>
      <c r="D116">
        <v>5</v>
      </c>
      <c r="E116">
        <v>1607.03</v>
      </c>
      <c r="F116" s="10">
        <f>ROUND((1-_xlfn.PERCENTRANK.INC($C$4:$C$182,C116))*9,0)</f>
        <v>8</v>
      </c>
      <c r="G116" s="10">
        <f>ROUND((1-_xlfn.PERCENTRANK.INC($D$4:$D$182,D116))*9,0)</f>
        <v>7</v>
      </c>
      <c r="H116" s="10">
        <f>ROUND((1-_xlfn.PERCENTRANK.INC($E$4:$E$182,E116))*9,0)</f>
        <v>3</v>
      </c>
      <c r="I116" s="10" t="str">
        <f t="shared" si="1"/>
        <v>873</v>
      </c>
      <c r="J116" s="10" t="str" cm="1">
        <f t="array" ref="J116">_xlfn.IFS(AND(F116&gt;=8,G116&gt;=8,H116&gt;=8),"Champion",AND(F116&gt;=6,G116&gt;=7,H116&gt;=6),"Loyal Customer",AND(F116&gt;=6,G116&gt;=5,H116&gt;=5),"Potential Loyalist",AND(F116&gt;=8,G116&gt;=2,H116&gt;=5),"New Customers",AND(F116&gt;=6,G116&gt;=2,H116&gt;=3),"Promising",AND(F116&gt;=3,G116&gt;=3,H116&gt;=3),"Need Attention",AND(F116&gt;=4,G116&gt;=6,H116&gt;=6),"At Risk",AND(F116&gt;=2,G116&gt;=8,H116&gt;=8),"Can't Lose Them",AND(F116&gt;=2,G116&gt;=2,H116&gt;=2),"Hibernating",TRUE,"Other")</f>
        <v>Promising</v>
      </c>
    </row>
    <row r="117" spans="1:10">
      <c r="A117" t="s">
        <v>54</v>
      </c>
      <c r="B117" s="9">
        <v>45849</v>
      </c>
      <c r="C117" s="10">
        <f>DATEDIF(B117,$C$1,"d")</f>
        <v>157</v>
      </c>
      <c r="D117">
        <v>7</v>
      </c>
      <c r="E117">
        <v>3070.94</v>
      </c>
      <c r="F117" s="10">
        <f>ROUND((1-_xlfn.PERCENTRANK.INC($C$4:$C$182,C117))*9,0)</f>
        <v>3</v>
      </c>
      <c r="G117" s="10">
        <f>ROUND((1-_xlfn.PERCENTRANK.INC($D$4:$D$182,D117))*9,0)</f>
        <v>4</v>
      </c>
      <c r="H117" s="10">
        <f>ROUND((1-_xlfn.PERCENTRANK.INC($E$4:$E$182,E117))*9,0)</f>
        <v>0</v>
      </c>
      <c r="I117" s="10" t="str">
        <f t="shared" si="1"/>
        <v>340</v>
      </c>
      <c r="J117" s="10" t="str" cm="1">
        <f t="array" ref="J117">_xlfn.IFS(AND(F117&gt;=8,G117&gt;=8,H117&gt;=8),"Champion",AND(F117&gt;=6,G117&gt;=7,H117&gt;=6),"Loyal Customer",AND(F117&gt;=6,G117&gt;=5,H117&gt;=5),"Potential Loyalist",AND(F117&gt;=8,G117&gt;=2,H117&gt;=5),"New Customers",AND(F117&gt;=6,G117&gt;=2,H117&gt;=3),"Promising",AND(F117&gt;=3,G117&gt;=3,H117&gt;=3),"Need Attention",AND(F117&gt;=4,G117&gt;=6,H117&gt;=6),"At Risk",AND(F117&gt;=2,G117&gt;=8,H117&gt;=8),"Can't Lose Them",AND(F117&gt;=2,G117&gt;=2,H117&gt;=2),"Hibernating",TRUE,"Other")</f>
        <v>Other</v>
      </c>
    </row>
    <row r="118" spans="1:10">
      <c r="A118" t="s">
        <v>106</v>
      </c>
      <c r="B118" s="9">
        <v>45965</v>
      </c>
      <c r="C118" s="10">
        <f>DATEDIF(B118,$C$1,"d")</f>
        <v>41</v>
      </c>
      <c r="D118">
        <v>9</v>
      </c>
      <c r="E118">
        <v>2342.37</v>
      </c>
      <c r="F118" s="10">
        <f>ROUND((1-_xlfn.PERCENTRANK.INC($C$4:$C$182,C118))*9,0)</f>
        <v>6</v>
      </c>
      <c r="G118" s="10">
        <f>ROUND((1-_xlfn.PERCENTRANK.INC($D$4:$D$182,D118))*9,0)</f>
        <v>2</v>
      </c>
      <c r="H118" s="10">
        <f>ROUND((1-_xlfn.PERCENTRANK.INC($E$4:$E$182,E118))*9,0)</f>
        <v>1</v>
      </c>
      <c r="I118" s="10" t="str">
        <f t="shared" si="1"/>
        <v>621</v>
      </c>
      <c r="J118" s="10" t="str" cm="1">
        <f t="array" ref="J118">_xlfn.IFS(AND(F118&gt;=8,G118&gt;=8,H118&gt;=8),"Champion",AND(F118&gt;=6,G118&gt;=7,H118&gt;=6),"Loyal Customer",AND(F118&gt;=6,G118&gt;=5,H118&gt;=5),"Potential Loyalist",AND(F118&gt;=8,G118&gt;=2,H118&gt;=5),"New Customers",AND(F118&gt;=6,G118&gt;=2,H118&gt;=3),"Promising",AND(F118&gt;=3,G118&gt;=3,H118&gt;=3),"Need Attention",AND(F118&gt;=4,G118&gt;=6,H118&gt;=6),"At Risk",AND(F118&gt;=2,G118&gt;=8,H118&gt;=8),"Can't Lose Them",AND(F118&gt;=2,G118&gt;=2,H118&gt;=2),"Hibernating",TRUE,"Other")</f>
        <v>Other</v>
      </c>
    </row>
    <row r="119" spans="1:10">
      <c r="A119" t="s">
        <v>194</v>
      </c>
      <c r="B119" s="9">
        <v>45814</v>
      </c>
      <c r="C119" s="10">
        <f>DATEDIF(B119,$C$1,"d")</f>
        <v>192</v>
      </c>
      <c r="D119">
        <v>6</v>
      </c>
      <c r="E119">
        <v>1598.92</v>
      </c>
      <c r="F119" s="10">
        <f>ROUND((1-_xlfn.PERCENTRANK.INC($C$4:$C$182,C119))*9,0)</f>
        <v>2</v>
      </c>
      <c r="G119" s="10">
        <f>ROUND((1-_xlfn.PERCENTRANK.INC($D$4:$D$182,D119))*9,0)</f>
        <v>6</v>
      </c>
      <c r="H119" s="10">
        <f>ROUND((1-_xlfn.PERCENTRANK.INC($E$4:$E$182,E119))*9,0)</f>
        <v>3</v>
      </c>
      <c r="I119" s="10" t="str">
        <f t="shared" si="1"/>
        <v>263</v>
      </c>
      <c r="J119" s="10" t="str" cm="1">
        <f t="array" ref="J119">_xlfn.IFS(AND(F119&gt;=8,G119&gt;=8,H119&gt;=8),"Champion",AND(F119&gt;=6,G119&gt;=7,H119&gt;=6),"Loyal Customer",AND(F119&gt;=6,G119&gt;=5,H119&gt;=5),"Potential Loyalist",AND(F119&gt;=8,G119&gt;=2,H119&gt;=5),"New Customers",AND(F119&gt;=6,G119&gt;=2,H119&gt;=3),"Promising",AND(F119&gt;=3,G119&gt;=3,H119&gt;=3),"Need Attention",AND(F119&gt;=4,G119&gt;=6,H119&gt;=6),"At Risk",AND(F119&gt;=2,G119&gt;=8,H119&gt;=8),"Can't Lose Them",AND(F119&gt;=2,G119&gt;=2,H119&gt;=2),"Hibernating",TRUE,"Other")</f>
        <v>Hibernating</v>
      </c>
    </row>
    <row r="120" spans="1:10">
      <c r="A120" t="s">
        <v>21</v>
      </c>
      <c r="B120" s="9">
        <v>45819</v>
      </c>
      <c r="C120" s="10">
        <f>DATEDIF(B120,$C$1,"d")</f>
        <v>187</v>
      </c>
      <c r="D120">
        <v>9</v>
      </c>
      <c r="E120">
        <v>2581.8</v>
      </c>
      <c r="F120" s="10">
        <f>ROUND((1-_xlfn.PERCENTRANK.INC($C$4:$C$182,C120))*9,0)</f>
        <v>2</v>
      </c>
      <c r="G120" s="10">
        <f>ROUND((1-_xlfn.PERCENTRANK.INC($D$4:$D$182,D120))*9,0)</f>
        <v>2</v>
      </c>
      <c r="H120" s="10">
        <f>ROUND((1-_xlfn.PERCENTRANK.INC($E$4:$E$182,E120))*9,0)</f>
        <v>1</v>
      </c>
      <c r="I120" s="10" t="str">
        <f t="shared" si="1"/>
        <v>221</v>
      </c>
      <c r="J120" s="10" t="str" cm="1">
        <f t="array" ref="J120">_xlfn.IFS(AND(F120&gt;=8,G120&gt;=8,H120&gt;=8),"Champion",AND(F120&gt;=6,G120&gt;=7,H120&gt;=6),"Loyal Customer",AND(F120&gt;=6,G120&gt;=5,H120&gt;=5),"Potential Loyalist",AND(F120&gt;=8,G120&gt;=2,H120&gt;=5),"New Customers",AND(F120&gt;=6,G120&gt;=2,H120&gt;=3),"Promising",AND(F120&gt;=3,G120&gt;=3,H120&gt;=3),"Need Attention",AND(F120&gt;=4,G120&gt;=6,H120&gt;=6),"At Risk",AND(F120&gt;=2,G120&gt;=8,H120&gt;=8),"Can't Lose Them",AND(F120&gt;=2,G120&gt;=2,H120&gt;=2),"Hibernating",TRUE,"Other")</f>
        <v>Other</v>
      </c>
    </row>
    <row r="121" spans="1:10">
      <c r="A121" t="s">
        <v>57</v>
      </c>
      <c r="B121" s="9">
        <v>46001</v>
      </c>
      <c r="C121" s="10">
        <f>DATEDIF(B121,$C$1,"d")</f>
        <v>5</v>
      </c>
      <c r="D121">
        <v>6</v>
      </c>
      <c r="E121">
        <v>1318.48</v>
      </c>
      <c r="F121" s="10">
        <f>ROUND((1-_xlfn.PERCENTRANK.INC($C$4:$C$182,C121))*9,0)</f>
        <v>9</v>
      </c>
      <c r="G121" s="10">
        <f>ROUND((1-_xlfn.PERCENTRANK.INC($D$4:$D$182,D121))*9,0)</f>
        <v>6</v>
      </c>
      <c r="H121" s="10">
        <f>ROUND((1-_xlfn.PERCENTRANK.INC($E$4:$E$182,E121))*9,0)</f>
        <v>4</v>
      </c>
      <c r="I121" s="10" t="str">
        <f t="shared" si="1"/>
        <v>964</v>
      </c>
      <c r="J121" s="10" t="str" cm="1">
        <f t="array" ref="J121">_xlfn.IFS(AND(F121&gt;=8,G121&gt;=8,H121&gt;=8),"Champion",AND(F121&gt;=6,G121&gt;=7,H121&gt;=6),"Loyal Customer",AND(F121&gt;=6,G121&gt;=5,H121&gt;=5),"Potential Loyalist",AND(F121&gt;=8,G121&gt;=2,H121&gt;=5),"New Customers",AND(F121&gt;=6,G121&gt;=2,H121&gt;=3),"Promising",AND(F121&gt;=3,G121&gt;=3,H121&gt;=3),"Need Attention",AND(F121&gt;=4,G121&gt;=6,H121&gt;=6),"At Risk",AND(F121&gt;=2,G121&gt;=8,H121&gt;=8),"Can't Lose Them",AND(F121&gt;=2,G121&gt;=2,H121&gt;=2),"Hibernating",TRUE,"Other")</f>
        <v>Promising</v>
      </c>
    </row>
    <row r="122" spans="1:10">
      <c r="A122" t="s">
        <v>166</v>
      </c>
      <c r="B122" s="9">
        <v>45819</v>
      </c>
      <c r="C122" s="10">
        <f>DATEDIF(B122,$C$1,"d")</f>
        <v>187</v>
      </c>
      <c r="D122">
        <v>10</v>
      </c>
      <c r="E122">
        <v>2882.8</v>
      </c>
      <c r="F122" s="10">
        <f>ROUND((1-_xlfn.PERCENTRANK.INC($C$4:$C$182,C122))*9,0)</f>
        <v>2</v>
      </c>
      <c r="G122" s="10">
        <f>ROUND((1-_xlfn.PERCENTRANK.INC($D$4:$D$182,D122))*9,0)</f>
        <v>0</v>
      </c>
      <c r="H122" s="10">
        <f>ROUND((1-_xlfn.PERCENTRANK.INC($E$4:$E$182,E122))*9,0)</f>
        <v>0</v>
      </c>
      <c r="I122" s="10" t="str">
        <f t="shared" si="1"/>
        <v>200</v>
      </c>
      <c r="J122" s="10" t="str" cm="1">
        <f t="array" ref="J122">_xlfn.IFS(AND(F122&gt;=8,G122&gt;=8,H122&gt;=8),"Champion",AND(F122&gt;=6,G122&gt;=7,H122&gt;=6),"Loyal Customer",AND(F122&gt;=6,G122&gt;=5,H122&gt;=5),"Potential Loyalist",AND(F122&gt;=8,G122&gt;=2,H122&gt;=5),"New Customers",AND(F122&gt;=6,G122&gt;=2,H122&gt;=3),"Promising",AND(F122&gt;=3,G122&gt;=3,H122&gt;=3),"Need Attention",AND(F122&gt;=4,G122&gt;=6,H122&gt;=6),"At Risk",AND(F122&gt;=2,G122&gt;=8,H122&gt;=8),"Can't Lose Them",AND(F122&gt;=2,G122&gt;=2,H122&gt;=2),"Hibernating",TRUE,"Other")</f>
        <v>Other</v>
      </c>
    </row>
    <row r="123" spans="1:10">
      <c r="A123" t="s">
        <v>193</v>
      </c>
      <c r="B123" s="9">
        <v>45969</v>
      </c>
      <c r="C123" s="10">
        <f>DATEDIF(B123,$C$1,"d")</f>
        <v>37</v>
      </c>
      <c r="D123">
        <v>7</v>
      </c>
      <c r="E123">
        <v>2560.71</v>
      </c>
      <c r="F123" s="10">
        <f>ROUND((1-_xlfn.PERCENTRANK.INC($C$4:$C$182,C123))*9,0)</f>
        <v>7</v>
      </c>
      <c r="G123" s="10">
        <f>ROUND((1-_xlfn.PERCENTRANK.INC($D$4:$D$182,D123))*9,0)</f>
        <v>4</v>
      </c>
      <c r="H123" s="10">
        <f>ROUND((1-_xlfn.PERCENTRANK.INC($E$4:$E$182,E123))*9,0)</f>
        <v>1</v>
      </c>
      <c r="I123" s="10" t="str">
        <f t="shared" si="1"/>
        <v>741</v>
      </c>
      <c r="J123" s="10" t="str" cm="1">
        <f t="array" ref="J123">_xlfn.IFS(AND(F123&gt;=8,G123&gt;=8,H123&gt;=8),"Champion",AND(F123&gt;=6,G123&gt;=7,H123&gt;=6),"Loyal Customer",AND(F123&gt;=6,G123&gt;=5,H123&gt;=5),"Potential Loyalist",AND(F123&gt;=8,G123&gt;=2,H123&gt;=5),"New Customers",AND(F123&gt;=6,G123&gt;=2,H123&gt;=3),"Promising",AND(F123&gt;=3,G123&gt;=3,H123&gt;=3),"Need Attention",AND(F123&gt;=4,G123&gt;=6,H123&gt;=6),"At Risk",AND(F123&gt;=2,G123&gt;=8,H123&gt;=8),"Can't Lose Them",AND(F123&gt;=2,G123&gt;=2,H123&gt;=2),"Hibernating",TRUE,"Other")</f>
        <v>Other</v>
      </c>
    </row>
    <row r="124" spans="1:10">
      <c r="A124" t="s">
        <v>24</v>
      </c>
      <c r="B124" s="9">
        <v>45874</v>
      </c>
      <c r="C124" s="10">
        <f>DATEDIF(B124,$C$1,"d")</f>
        <v>132</v>
      </c>
      <c r="D124">
        <v>4</v>
      </c>
      <c r="E124">
        <v>385.4</v>
      </c>
      <c r="F124" s="10">
        <f>ROUND((1-_xlfn.PERCENTRANK.INC($C$4:$C$182,C124))*9,0)</f>
        <v>3</v>
      </c>
      <c r="G124" s="10">
        <f>ROUND((1-_xlfn.PERCENTRANK.INC($D$4:$D$182,D124))*9,0)</f>
        <v>8</v>
      </c>
      <c r="H124" s="10">
        <f>ROUND((1-_xlfn.PERCENTRANK.INC($E$4:$E$182,E124))*9,0)</f>
        <v>8</v>
      </c>
      <c r="I124" s="10" t="str">
        <f t="shared" si="1"/>
        <v>388</v>
      </c>
      <c r="J124" s="10" t="str" cm="1">
        <f t="array" ref="J124">_xlfn.IFS(AND(F124&gt;=8,G124&gt;=8,H124&gt;=8),"Champion",AND(F124&gt;=6,G124&gt;=7,H124&gt;=6),"Loyal Customer",AND(F124&gt;=6,G124&gt;=5,H124&gt;=5),"Potential Loyalist",AND(F124&gt;=8,G124&gt;=2,H124&gt;=5),"New Customers",AND(F124&gt;=6,G124&gt;=2,H124&gt;=3),"Promising",AND(F124&gt;=3,G124&gt;=3,H124&gt;=3),"Need Attention",AND(F124&gt;=4,G124&gt;=6,H124&gt;=6),"At Risk",AND(F124&gt;=2,G124&gt;=8,H124&gt;=8),"Can't Lose Them",AND(F124&gt;=2,G124&gt;=2,H124&gt;=2),"Hibernating",TRUE,"Other")</f>
        <v>Need Attention</v>
      </c>
    </row>
    <row r="125" spans="1:10">
      <c r="A125" t="s">
        <v>153</v>
      </c>
      <c r="B125" s="9">
        <v>45970</v>
      </c>
      <c r="C125" s="10">
        <f>DATEDIF(B125,$C$1,"d")</f>
        <v>36</v>
      </c>
      <c r="D125">
        <v>4</v>
      </c>
      <c r="E125">
        <v>230.02</v>
      </c>
      <c r="F125" s="10">
        <f>ROUND((1-_xlfn.PERCENTRANK.INC($C$4:$C$182,C125))*9,0)</f>
        <v>7</v>
      </c>
      <c r="G125" s="10">
        <f>ROUND((1-_xlfn.PERCENTRANK.INC($D$4:$D$182,D125))*9,0)</f>
        <v>8</v>
      </c>
      <c r="H125" s="10">
        <f>ROUND((1-_xlfn.PERCENTRANK.INC($E$4:$E$182,E125))*9,0)</f>
        <v>9</v>
      </c>
      <c r="I125" s="10" t="str">
        <f t="shared" si="1"/>
        <v>789</v>
      </c>
      <c r="J125" s="10" t="str" cm="1">
        <f t="array" ref="J125">_xlfn.IFS(AND(F125&gt;=8,G125&gt;=8,H125&gt;=8),"Champion",AND(F125&gt;=6,G125&gt;=7,H125&gt;=6),"Loyal Customer",AND(F125&gt;=6,G125&gt;=5,H125&gt;=5),"Potential Loyalist",AND(F125&gt;=8,G125&gt;=2,H125&gt;=5),"New Customers",AND(F125&gt;=6,G125&gt;=2,H125&gt;=3),"Promising",AND(F125&gt;=3,G125&gt;=3,H125&gt;=3),"Need Attention",AND(F125&gt;=4,G125&gt;=6,H125&gt;=6),"At Risk",AND(F125&gt;=2,G125&gt;=8,H125&gt;=8),"Can't Lose Them",AND(F125&gt;=2,G125&gt;=2,H125&gt;=2),"Hibernating",TRUE,"Other")</f>
        <v>Loyal Customer</v>
      </c>
    </row>
    <row r="126" spans="1:10">
      <c r="A126" t="s">
        <v>46</v>
      </c>
      <c r="B126" s="9">
        <v>45935</v>
      </c>
      <c r="C126" s="10">
        <f>DATEDIF(B126,$C$1,"d")</f>
        <v>71</v>
      </c>
      <c r="D126">
        <v>6</v>
      </c>
      <c r="E126">
        <v>715.78</v>
      </c>
      <c r="F126" s="10">
        <f>ROUND((1-_xlfn.PERCENTRANK.INC($C$4:$C$182,C126))*9,0)</f>
        <v>5</v>
      </c>
      <c r="G126" s="10">
        <f>ROUND((1-_xlfn.PERCENTRANK.INC($D$4:$D$182,D126))*9,0)</f>
        <v>6</v>
      </c>
      <c r="H126" s="10">
        <f>ROUND((1-_xlfn.PERCENTRANK.INC($E$4:$E$182,E126))*9,0)</f>
        <v>7</v>
      </c>
      <c r="I126" s="10" t="str">
        <f t="shared" si="1"/>
        <v>567</v>
      </c>
      <c r="J126" s="10" t="str" cm="1">
        <f t="array" ref="J126">_xlfn.IFS(AND(F126&gt;=8,G126&gt;=8,H126&gt;=8),"Champion",AND(F126&gt;=6,G126&gt;=7,H126&gt;=6),"Loyal Customer",AND(F126&gt;=6,G126&gt;=5,H126&gt;=5),"Potential Loyalist",AND(F126&gt;=8,G126&gt;=2,H126&gt;=5),"New Customers",AND(F126&gt;=6,G126&gt;=2,H126&gt;=3),"Promising",AND(F126&gt;=3,G126&gt;=3,H126&gt;=3),"Need Attention",AND(F126&gt;=4,G126&gt;=6,H126&gt;=6),"At Risk",AND(F126&gt;=2,G126&gt;=8,H126&gt;=8),"Can't Lose Them",AND(F126&gt;=2,G126&gt;=2,H126&gt;=2),"Hibernating",TRUE,"Other")</f>
        <v>Need Attention</v>
      </c>
    </row>
    <row r="127" spans="1:10">
      <c r="A127" t="s">
        <v>184</v>
      </c>
      <c r="B127" s="9">
        <v>45720</v>
      </c>
      <c r="C127" s="10">
        <f>DATEDIF(B127,$C$1,"d")</f>
        <v>286</v>
      </c>
      <c r="D127">
        <v>7</v>
      </c>
      <c r="E127">
        <v>1047.6</v>
      </c>
      <c r="F127" s="10">
        <f>ROUND((1-_xlfn.PERCENTRANK.INC($C$4:$C$182,C127))*9,0)</f>
        <v>0</v>
      </c>
      <c r="G127" s="10">
        <f>ROUND((1-_xlfn.PERCENTRANK.INC($D$4:$D$182,D127))*9,0)</f>
        <v>4</v>
      </c>
      <c r="H127" s="10">
        <f>ROUND((1-_xlfn.PERCENTRANK.INC($E$4:$E$182,E127))*9,0)</f>
        <v>5</v>
      </c>
      <c r="I127" s="10" t="str">
        <f t="shared" si="1"/>
        <v>045</v>
      </c>
      <c r="J127" s="10" t="str" cm="1">
        <f t="array" ref="J127">_xlfn.IFS(AND(F127&gt;=8,G127&gt;=8,H127&gt;=8),"Champion",AND(F127&gt;=6,G127&gt;=7,H127&gt;=6),"Loyal Customer",AND(F127&gt;=6,G127&gt;=5,H127&gt;=5),"Potential Loyalist",AND(F127&gt;=8,G127&gt;=2,H127&gt;=5),"New Customers",AND(F127&gt;=6,G127&gt;=2,H127&gt;=3),"Promising",AND(F127&gt;=3,G127&gt;=3,H127&gt;=3),"Need Attention",AND(F127&gt;=4,G127&gt;=6,H127&gt;=6),"At Risk",AND(F127&gt;=2,G127&gt;=8,H127&gt;=8),"Can't Lose Them",AND(F127&gt;=2,G127&gt;=2,H127&gt;=2),"Hibernating",TRUE,"Other")</f>
        <v>Other</v>
      </c>
    </row>
    <row r="128" spans="1:10">
      <c r="A128" t="s">
        <v>547</v>
      </c>
      <c r="B128" s="9">
        <v>45931</v>
      </c>
      <c r="C128" s="10">
        <f>DATEDIF(B128,$C$1,"d")</f>
        <v>75</v>
      </c>
      <c r="D128">
        <v>3</v>
      </c>
      <c r="E128">
        <v>668.08</v>
      </c>
      <c r="F128" s="10">
        <f>ROUND((1-_xlfn.PERCENTRANK.INC($C$4:$C$182,C128))*9,0)</f>
        <v>5</v>
      </c>
      <c r="G128" s="10">
        <f>ROUND((1-_xlfn.PERCENTRANK.INC($D$4:$D$182,D128))*9,0)</f>
        <v>9</v>
      </c>
      <c r="H128" s="10">
        <f>ROUND((1-_xlfn.PERCENTRANK.INC($E$4:$E$182,E128))*9,0)</f>
        <v>7</v>
      </c>
      <c r="I128" s="10" t="str">
        <f t="shared" si="1"/>
        <v>597</v>
      </c>
      <c r="J128" s="10" t="str" cm="1">
        <f t="array" ref="J128">_xlfn.IFS(AND(F128&gt;=8,G128&gt;=8,H128&gt;=8),"Champion",AND(F128&gt;=6,G128&gt;=7,H128&gt;=6),"Loyal Customer",AND(F128&gt;=6,G128&gt;=5,H128&gt;=5),"Potential Loyalist",AND(F128&gt;=8,G128&gt;=2,H128&gt;=5),"New Customers",AND(F128&gt;=6,G128&gt;=2,H128&gt;=3),"Promising",AND(F128&gt;=3,G128&gt;=3,H128&gt;=3),"Need Attention",AND(F128&gt;=4,G128&gt;=6,H128&gt;=6),"At Risk",AND(F128&gt;=2,G128&gt;=8,H128&gt;=8),"Can't Lose Them",AND(F128&gt;=2,G128&gt;=2,H128&gt;=2),"Hibernating",TRUE,"Other")</f>
        <v>Need Attention</v>
      </c>
    </row>
    <row r="129" spans="1:10">
      <c r="A129" t="s">
        <v>22</v>
      </c>
      <c r="B129" s="9">
        <v>45840</v>
      </c>
      <c r="C129" s="10">
        <f>DATEDIF(B129,$C$1,"d")</f>
        <v>166</v>
      </c>
      <c r="D129">
        <v>10</v>
      </c>
      <c r="E129">
        <v>1859.96</v>
      </c>
      <c r="F129" s="10">
        <f>ROUND((1-_xlfn.PERCENTRANK.INC($C$4:$C$182,C129))*9,0)</f>
        <v>2</v>
      </c>
      <c r="G129" s="10">
        <f>ROUND((1-_xlfn.PERCENTRANK.INC($D$4:$D$182,D129))*9,0)</f>
        <v>0</v>
      </c>
      <c r="H129" s="10">
        <f>ROUND((1-_xlfn.PERCENTRANK.INC($E$4:$E$182,E129))*9,0)</f>
        <v>2</v>
      </c>
      <c r="I129" s="10" t="str">
        <f t="shared" si="1"/>
        <v>202</v>
      </c>
      <c r="J129" s="10" t="str" cm="1">
        <f t="array" ref="J129">_xlfn.IFS(AND(F129&gt;=8,G129&gt;=8,H129&gt;=8),"Champion",AND(F129&gt;=6,G129&gt;=7,H129&gt;=6),"Loyal Customer",AND(F129&gt;=6,G129&gt;=5,H129&gt;=5),"Potential Loyalist",AND(F129&gt;=8,G129&gt;=2,H129&gt;=5),"New Customers",AND(F129&gt;=6,G129&gt;=2,H129&gt;=3),"Promising",AND(F129&gt;=3,G129&gt;=3,H129&gt;=3),"Need Attention",AND(F129&gt;=4,G129&gt;=6,H129&gt;=6),"At Risk",AND(F129&gt;=2,G129&gt;=8,H129&gt;=8),"Can't Lose Them",AND(F129&gt;=2,G129&gt;=2,H129&gt;=2),"Hibernating",TRUE,"Other")</f>
        <v>Other</v>
      </c>
    </row>
    <row r="130" spans="1:10">
      <c r="A130" t="s">
        <v>43</v>
      </c>
      <c r="B130" s="9">
        <v>45994</v>
      </c>
      <c r="C130" s="10">
        <f>DATEDIF(B130,$C$1,"d")</f>
        <v>12</v>
      </c>
      <c r="D130">
        <v>9</v>
      </c>
      <c r="E130">
        <v>1200.88</v>
      </c>
      <c r="F130" s="10">
        <f>ROUND((1-_xlfn.PERCENTRANK.INC($C$4:$C$182,C130))*9,0)</f>
        <v>8</v>
      </c>
      <c r="G130" s="10">
        <f>ROUND((1-_xlfn.PERCENTRANK.INC($D$4:$D$182,D130))*9,0)</f>
        <v>2</v>
      </c>
      <c r="H130" s="10">
        <f>ROUND((1-_xlfn.PERCENTRANK.INC($E$4:$E$182,E130))*9,0)</f>
        <v>5</v>
      </c>
      <c r="I130" s="10" t="str">
        <f t="shared" si="1"/>
        <v>825</v>
      </c>
      <c r="J130" s="10" t="str" cm="1">
        <f t="array" ref="J130">_xlfn.IFS(AND(F130&gt;=8,G130&gt;=8,H130&gt;=8),"Champion",AND(F130&gt;=6,G130&gt;=7,H130&gt;=6),"Loyal Customer",AND(F130&gt;=6,G130&gt;=5,H130&gt;=5),"Potential Loyalist",AND(F130&gt;=8,G130&gt;=2,H130&gt;=5),"New Customers",AND(F130&gt;=6,G130&gt;=2,H130&gt;=3),"Promising",AND(F130&gt;=3,G130&gt;=3,H130&gt;=3),"Need Attention",AND(F130&gt;=4,G130&gt;=6,H130&gt;=6),"At Risk",AND(F130&gt;=2,G130&gt;=8,H130&gt;=8),"Can't Lose Them",AND(F130&gt;=2,G130&gt;=2,H130&gt;=2),"Hibernating",TRUE,"Other")</f>
        <v>New Customers</v>
      </c>
    </row>
    <row r="131" spans="1:10">
      <c r="A131" t="s">
        <v>154</v>
      </c>
      <c r="B131" s="9">
        <v>45964</v>
      </c>
      <c r="C131" s="10">
        <f>DATEDIF(B131,$C$1,"d")</f>
        <v>42</v>
      </c>
      <c r="D131">
        <v>4</v>
      </c>
      <c r="E131">
        <v>1077.62</v>
      </c>
      <c r="F131" s="10">
        <f>ROUND((1-_xlfn.PERCENTRANK.INC($C$4:$C$182,C131))*9,0)</f>
        <v>6</v>
      </c>
      <c r="G131" s="10">
        <f>ROUND((1-_xlfn.PERCENTRANK.INC($D$4:$D$182,D131))*9,0)</f>
        <v>8</v>
      </c>
      <c r="H131" s="10">
        <f>ROUND((1-_xlfn.PERCENTRANK.INC($E$4:$E$182,E131))*9,0)</f>
        <v>5</v>
      </c>
      <c r="I131" s="10" t="str">
        <f t="shared" si="1"/>
        <v>685</v>
      </c>
      <c r="J131" s="10" t="str" cm="1">
        <f t="array" ref="J131">_xlfn.IFS(AND(F131&gt;=8,G131&gt;=8,H131&gt;=8),"Champion",AND(F131&gt;=6,G131&gt;=7,H131&gt;=6),"Loyal Customer",AND(F131&gt;=6,G131&gt;=5,H131&gt;=5),"Potential Loyalist",AND(F131&gt;=8,G131&gt;=2,H131&gt;=5),"New Customers",AND(F131&gt;=6,G131&gt;=2,H131&gt;=3),"Promising",AND(F131&gt;=3,G131&gt;=3,H131&gt;=3),"Need Attention",AND(F131&gt;=4,G131&gt;=6,H131&gt;=6),"At Risk",AND(F131&gt;=2,G131&gt;=8,H131&gt;=8),"Can't Lose Them",AND(F131&gt;=2,G131&gt;=2,H131&gt;=2),"Hibernating",TRUE,"Other")</f>
        <v>Potential Loyalist</v>
      </c>
    </row>
    <row r="132" spans="1:10">
      <c r="A132" t="s">
        <v>95</v>
      </c>
      <c r="B132" s="9">
        <v>45939</v>
      </c>
      <c r="C132" s="10">
        <f>DATEDIF(B132,$C$1,"d")</f>
        <v>67</v>
      </c>
      <c r="D132">
        <v>9</v>
      </c>
      <c r="E132">
        <v>2674.51</v>
      </c>
      <c r="F132" s="10">
        <f>ROUND((1-_xlfn.PERCENTRANK.INC($C$4:$C$182,C132))*9,0)</f>
        <v>5</v>
      </c>
      <c r="G132" s="10">
        <f>ROUND((1-_xlfn.PERCENTRANK.INC($D$4:$D$182,D132))*9,0)</f>
        <v>2</v>
      </c>
      <c r="H132" s="10">
        <f>ROUND((1-_xlfn.PERCENTRANK.INC($E$4:$E$182,E132))*9,0)</f>
        <v>1</v>
      </c>
      <c r="I132" s="10" t="str">
        <f t="shared" ref="I132:I182" si="2">CONCATENATE(F132,G132,H132)</f>
        <v>521</v>
      </c>
      <c r="J132" s="10" t="str" cm="1">
        <f t="array" ref="J132">_xlfn.IFS(AND(F132&gt;=8,G132&gt;=8,H132&gt;=8),"Champion",AND(F132&gt;=6,G132&gt;=7,H132&gt;=6),"Loyal Customer",AND(F132&gt;=6,G132&gt;=5,H132&gt;=5),"Potential Loyalist",AND(F132&gt;=8,G132&gt;=2,H132&gt;=5),"New Customers",AND(F132&gt;=6,G132&gt;=2,H132&gt;=3),"Promising",AND(F132&gt;=3,G132&gt;=3,H132&gt;=3),"Need Attention",AND(F132&gt;=4,G132&gt;=6,H132&gt;=6),"At Risk",AND(F132&gt;=2,G132&gt;=8,H132&gt;=8),"Can't Lose Them",AND(F132&gt;=2,G132&gt;=2,H132&gt;=2),"Hibernating",TRUE,"Other")</f>
        <v>Other</v>
      </c>
    </row>
    <row r="133" spans="1:10">
      <c r="A133" t="s">
        <v>55</v>
      </c>
      <c r="B133" s="9">
        <v>45849</v>
      </c>
      <c r="C133" s="10">
        <f>DATEDIF(B133,$C$1,"d")</f>
        <v>157</v>
      </c>
      <c r="D133">
        <v>7</v>
      </c>
      <c r="E133">
        <v>452.71</v>
      </c>
      <c r="F133" s="10">
        <f>ROUND((1-_xlfn.PERCENTRANK.INC($C$4:$C$182,C133))*9,0)</f>
        <v>3</v>
      </c>
      <c r="G133" s="10">
        <f>ROUND((1-_xlfn.PERCENTRANK.INC($D$4:$D$182,D133))*9,0)</f>
        <v>4</v>
      </c>
      <c r="H133" s="10">
        <f>ROUND((1-_xlfn.PERCENTRANK.INC($E$4:$E$182,E133))*9,0)</f>
        <v>8</v>
      </c>
      <c r="I133" s="10" t="str">
        <f t="shared" si="2"/>
        <v>348</v>
      </c>
      <c r="J133" s="10" t="str" cm="1">
        <f t="array" ref="J133">_xlfn.IFS(AND(F133&gt;=8,G133&gt;=8,H133&gt;=8),"Champion",AND(F133&gt;=6,G133&gt;=7,H133&gt;=6),"Loyal Customer",AND(F133&gt;=6,G133&gt;=5,H133&gt;=5),"Potential Loyalist",AND(F133&gt;=8,G133&gt;=2,H133&gt;=5),"New Customers",AND(F133&gt;=6,G133&gt;=2,H133&gt;=3),"Promising",AND(F133&gt;=3,G133&gt;=3,H133&gt;=3),"Need Attention",AND(F133&gt;=4,G133&gt;=6,H133&gt;=6),"At Risk",AND(F133&gt;=2,G133&gt;=8,H133&gt;=8),"Can't Lose Them",AND(F133&gt;=2,G133&gt;=2,H133&gt;=2),"Hibernating",TRUE,"Other")</f>
        <v>Need Attention</v>
      </c>
    </row>
    <row r="134" spans="1:10">
      <c r="A134" t="s">
        <v>195</v>
      </c>
      <c r="B134" s="9">
        <v>45999</v>
      </c>
      <c r="C134" s="10">
        <f>DATEDIF(B134,$C$1,"d")</f>
        <v>7</v>
      </c>
      <c r="D134">
        <v>8</v>
      </c>
      <c r="E134">
        <v>2031.62</v>
      </c>
      <c r="F134" s="10">
        <f>ROUND((1-_xlfn.PERCENTRANK.INC($C$4:$C$182,C134))*9,0)</f>
        <v>8</v>
      </c>
      <c r="G134" s="10">
        <f>ROUND((1-_xlfn.PERCENTRANK.INC($D$4:$D$182,D134))*9,0)</f>
        <v>3</v>
      </c>
      <c r="H134" s="10">
        <f>ROUND((1-_xlfn.PERCENTRANK.INC($E$4:$E$182,E134))*9,0)</f>
        <v>2</v>
      </c>
      <c r="I134" s="10" t="str">
        <f t="shared" si="2"/>
        <v>832</v>
      </c>
      <c r="J134" s="10" t="str" cm="1">
        <f t="array" ref="J134">_xlfn.IFS(AND(F134&gt;=8,G134&gt;=8,H134&gt;=8),"Champion",AND(F134&gt;=6,G134&gt;=7,H134&gt;=6),"Loyal Customer",AND(F134&gt;=6,G134&gt;=5,H134&gt;=5),"Potential Loyalist",AND(F134&gt;=8,G134&gt;=2,H134&gt;=5),"New Customers",AND(F134&gt;=6,G134&gt;=2,H134&gt;=3),"Promising",AND(F134&gt;=3,G134&gt;=3,H134&gt;=3),"Need Attention",AND(F134&gt;=4,G134&gt;=6,H134&gt;=6),"At Risk",AND(F134&gt;=2,G134&gt;=8,H134&gt;=8),"Can't Lose Them",AND(F134&gt;=2,G134&gt;=2,H134&gt;=2),"Hibernating",TRUE,"Other")</f>
        <v>Hibernating</v>
      </c>
    </row>
    <row r="135" spans="1:10">
      <c r="A135" t="s">
        <v>69</v>
      </c>
      <c r="B135" s="9">
        <v>45967</v>
      </c>
      <c r="C135" s="10">
        <f>DATEDIF(B135,$C$1,"d")</f>
        <v>39</v>
      </c>
      <c r="D135">
        <v>4</v>
      </c>
      <c r="E135">
        <v>996.36</v>
      </c>
      <c r="F135" s="10">
        <f>ROUND((1-_xlfn.PERCENTRANK.INC($C$4:$C$182,C135))*9,0)</f>
        <v>6</v>
      </c>
      <c r="G135" s="10">
        <f>ROUND((1-_xlfn.PERCENTRANK.INC($D$4:$D$182,D135))*9,0)</f>
        <v>8</v>
      </c>
      <c r="H135" s="10">
        <f>ROUND((1-_xlfn.PERCENTRANK.INC($E$4:$E$182,E135))*9,0)</f>
        <v>5</v>
      </c>
      <c r="I135" s="10" t="str">
        <f t="shared" si="2"/>
        <v>685</v>
      </c>
      <c r="J135" s="10" t="str" cm="1">
        <f t="array" ref="J135">_xlfn.IFS(AND(F135&gt;=8,G135&gt;=8,H135&gt;=8),"Champion",AND(F135&gt;=6,G135&gt;=7,H135&gt;=6),"Loyal Customer",AND(F135&gt;=6,G135&gt;=5,H135&gt;=5),"Potential Loyalist",AND(F135&gt;=8,G135&gt;=2,H135&gt;=5),"New Customers",AND(F135&gt;=6,G135&gt;=2,H135&gt;=3),"Promising",AND(F135&gt;=3,G135&gt;=3,H135&gt;=3),"Need Attention",AND(F135&gt;=4,G135&gt;=6,H135&gt;=6),"At Risk",AND(F135&gt;=2,G135&gt;=8,H135&gt;=8),"Can't Lose Them",AND(F135&gt;=2,G135&gt;=2,H135&gt;=2),"Hibernating",TRUE,"Other")</f>
        <v>Potential Loyalist</v>
      </c>
    </row>
    <row r="136" spans="1:10">
      <c r="A136" t="s">
        <v>28</v>
      </c>
      <c r="B136" s="9">
        <v>45931</v>
      </c>
      <c r="C136" s="10">
        <f>DATEDIF(B136,$C$1,"d")</f>
        <v>75</v>
      </c>
      <c r="D136">
        <v>11</v>
      </c>
      <c r="E136">
        <v>1833.51</v>
      </c>
      <c r="F136" s="10">
        <f>ROUND((1-_xlfn.PERCENTRANK.INC($C$4:$C$182,C136))*9,0)</f>
        <v>5</v>
      </c>
      <c r="G136" s="10">
        <f>ROUND((1-_xlfn.PERCENTRANK.INC($D$4:$D$182,D136))*9,0)</f>
        <v>0</v>
      </c>
      <c r="H136" s="10">
        <f>ROUND((1-_xlfn.PERCENTRANK.INC($E$4:$E$182,E136))*9,0)</f>
        <v>2</v>
      </c>
      <c r="I136" s="10" t="str">
        <f t="shared" si="2"/>
        <v>502</v>
      </c>
      <c r="J136" s="10" t="str" cm="1">
        <f t="array" ref="J136">_xlfn.IFS(AND(F136&gt;=8,G136&gt;=8,H136&gt;=8),"Champion",AND(F136&gt;=6,G136&gt;=7,H136&gt;=6),"Loyal Customer",AND(F136&gt;=6,G136&gt;=5,H136&gt;=5),"Potential Loyalist",AND(F136&gt;=8,G136&gt;=2,H136&gt;=5),"New Customers",AND(F136&gt;=6,G136&gt;=2,H136&gt;=3),"Promising",AND(F136&gt;=3,G136&gt;=3,H136&gt;=3),"Need Attention",AND(F136&gt;=4,G136&gt;=6,H136&gt;=6),"At Risk",AND(F136&gt;=2,G136&gt;=8,H136&gt;=8),"Can't Lose Them",AND(F136&gt;=2,G136&gt;=2,H136&gt;=2),"Hibernating",TRUE,"Other")</f>
        <v>Other</v>
      </c>
    </row>
    <row r="137" spans="1:10">
      <c r="A137" t="s">
        <v>176</v>
      </c>
      <c r="B137" s="9">
        <v>45934</v>
      </c>
      <c r="C137" s="10">
        <f>DATEDIF(B137,$C$1,"d")</f>
        <v>72</v>
      </c>
      <c r="D137">
        <v>9</v>
      </c>
      <c r="E137">
        <v>2959.01</v>
      </c>
      <c r="F137" s="10">
        <f>ROUND((1-_xlfn.PERCENTRANK.INC($C$4:$C$182,C137))*9,0)</f>
        <v>5</v>
      </c>
      <c r="G137" s="10">
        <f>ROUND((1-_xlfn.PERCENTRANK.INC($D$4:$D$182,D137))*9,0)</f>
        <v>2</v>
      </c>
      <c r="H137" s="10">
        <f>ROUND((1-_xlfn.PERCENTRANK.INC($E$4:$E$182,E137))*9,0)</f>
        <v>0</v>
      </c>
      <c r="I137" s="10" t="str">
        <f t="shared" si="2"/>
        <v>520</v>
      </c>
      <c r="J137" s="10" t="str" cm="1">
        <f t="array" ref="J137">_xlfn.IFS(AND(F137&gt;=8,G137&gt;=8,H137&gt;=8),"Champion",AND(F137&gt;=6,G137&gt;=7,H137&gt;=6),"Loyal Customer",AND(F137&gt;=6,G137&gt;=5,H137&gt;=5),"Potential Loyalist",AND(F137&gt;=8,G137&gt;=2,H137&gt;=5),"New Customers",AND(F137&gt;=6,G137&gt;=2,H137&gt;=3),"Promising",AND(F137&gt;=3,G137&gt;=3,H137&gt;=3),"Need Attention",AND(F137&gt;=4,G137&gt;=6,H137&gt;=6),"At Risk",AND(F137&gt;=2,G137&gt;=8,H137&gt;=8),"Can't Lose Them",AND(F137&gt;=2,G137&gt;=2,H137&gt;=2),"Hibernating",TRUE,"Other")</f>
        <v>Other</v>
      </c>
    </row>
    <row r="138" spans="1:10">
      <c r="A138" t="s">
        <v>147</v>
      </c>
      <c r="B138" s="9">
        <v>45910</v>
      </c>
      <c r="C138" s="10">
        <f>DATEDIF(B138,$C$1,"d")</f>
        <v>96</v>
      </c>
      <c r="D138">
        <v>6</v>
      </c>
      <c r="E138">
        <v>782.91</v>
      </c>
      <c r="F138" s="10">
        <f>ROUND((1-_xlfn.PERCENTRANK.INC($C$4:$C$182,C138))*9,0)</f>
        <v>4</v>
      </c>
      <c r="G138" s="10">
        <f>ROUND((1-_xlfn.PERCENTRANK.INC($D$4:$D$182,D138))*9,0)</f>
        <v>6</v>
      </c>
      <c r="H138" s="10">
        <f>ROUND((1-_xlfn.PERCENTRANK.INC($E$4:$E$182,E138))*9,0)</f>
        <v>6</v>
      </c>
      <c r="I138" s="10" t="str">
        <f t="shared" si="2"/>
        <v>466</v>
      </c>
      <c r="J138" s="10" t="str" cm="1">
        <f t="array" ref="J138">_xlfn.IFS(AND(F138&gt;=8,G138&gt;=8,H138&gt;=8),"Champion",AND(F138&gt;=6,G138&gt;=7,H138&gt;=6),"Loyal Customer",AND(F138&gt;=6,G138&gt;=5,H138&gt;=5),"Potential Loyalist",AND(F138&gt;=8,G138&gt;=2,H138&gt;=5),"New Customers",AND(F138&gt;=6,G138&gt;=2,H138&gt;=3),"Promising",AND(F138&gt;=3,G138&gt;=3,H138&gt;=3),"Need Attention",AND(F138&gt;=4,G138&gt;=6,H138&gt;=6),"At Risk",AND(F138&gt;=2,G138&gt;=8,H138&gt;=8),"Can't Lose Them",AND(F138&gt;=2,G138&gt;=2,H138&gt;=2),"Hibernating",TRUE,"Other")</f>
        <v>Need Attention</v>
      </c>
    </row>
    <row r="139" spans="1:10">
      <c r="A139" t="s">
        <v>124</v>
      </c>
      <c r="B139" s="9">
        <v>45692</v>
      </c>
      <c r="C139" s="10">
        <f>DATEDIF(B139,$C$1,"d")</f>
        <v>314</v>
      </c>
      <c r="D139">
        <v>4</v>
      </c>
      <c r="E139">
        <v>1283.82</v>
      </c>
      <c r="F139" s="10">
        <f>ROUND((1-_xlfn.PERCENTRANK.INC($C$4:$C$182,C139))*9,0)</f>
        <v>0</v>
      </c>
      <c r="G139" s="10">
        <f>ROUND((1-_xlfn.PERCENTRANK.INC($D$4:$D$182,D139))*9,0)</f>
        <v>8</v>
      </c>
      <c r="H139" s="10">
        <f>ROUND((1-_xlfn.PERCENTRANK.INC($E$4:$E$182,E139))*9,0)</f>
        <v>4</v>
      </c>
      <c r="I139" s="10" t="str">
        <f t="shared" si="2"/>
        <v>084</v>
      </c>
      <c r="J139" s="10" t="str" cm="1">
        <f t="array" ref="J139">_xlfn.IFS(AND(F139&gt;=8,G139&gt;=8,H139&gt;=8),"Champion",AND(F139&gt;=6,G139&gt;=7,H139&gt;=6),"Loyal Customer",AND(F139&gt;=6,G139&gt;=5,H139&gt;=5),"Potential Loyalist",AND(F139&gt;=8,G139&gt;=2,H139&gt;=5),"New Customers",AND(F139&gt;=6,G139&gt;=2,H139&gt;=3),"Promising",AND(F139&gt;=3,G139&gt;=3,H139&gt;=3),"Need Attention",AND(F139&gt;=4,G139&gt;=6,H139&gt;=6),"At Risk",AND(F139&gt;=2,G139&gt;=8,H139&gt;=8),"Can't Lose Them",AND(F139&gt;=2,G139&gt;=2,H139&gt;=2),"Hibernating",TRUE,"Other")</f>
        <v>Other</v>
      </c>
    </row>
    <row r="140" spans="1:10">
      <c r="A140" t="s">
        <v>113</v>
      </c>
      <c r="B140" s="9">
        <v>45965</v>
      </c>
      <c r="C140" s="10">
        <f>DATEDIF(B140,$C$1,"d")</f>
        <v>41</v>
      </c>
      <c r="D140">
        <v>5</v>
      </c>
      <c r="E140">
        <v>695.33</v>
      </c>
      <c r="F140" s="10">
        <f>ROUND((1-_xlfn.PERCENTRANK.INC($C$4:$C$182,C140))*9,0)</f>
        <v>6</v>
      </c>
      <c r="G140" s="10">
        <f>ROUND((1-_xlfn.PERCENTRANK.INC($D$4:$D$182,D140))*9,0)</f>
        <v>7</v>
      </c>
      <c r="H140" s="10">
        <f>ROUND((1-_xlfn.PERCENTRANK.INC($E$4:$E$182,E140))*9,0)</f>
        <v>7</v>
      </c>
      <c r="I140" s="10" t="str">
        <f t="shared" si="2"/>
        <v>677</v>
      </c>
      <c r="J140" s="10" t="str" cm="1">
        <f t="array" ref="J140">_xlfn.IFS(AND(F140&gt;=8,G140&gt;=8,H140&gt;=8),"Champion",AND(F140&gt;=6,G140&gt;=7,H140&gt;=6),"Loyal Customer",AND(F140&gt;=6,G140&gt;=5,H140&gt;=5),"Potential Loyalist",AND(F140&gt;=8,G140&gt;=2,H140&gt;=5),"New Customers",AND(F140&gt;=6,G140&gt;=2,H140&gt;=3),"Promising",AND(F140&gt;=3,G140&gt;=3,H140&gt;=3),"Need Attention",AND(F140&gt;=4,G140&gt;=6,H140&gt;=6),"At Risk",AND(F140&gt;=2,G140&gt;=8,H140&gt;=8),"Can't Lose Them",AND(F140&gt;=2,G140&gt;=2,H140&gt;=2),"Hibernating",TRUE,"Other")</f>
        <v>Loyal Customer</v>
      </c>
    </row>
    <row r="141" spans="1:10">
      <c r="A141" t="s">
        <v>72</v>
      </c>
      <c r="B141" s="9">
        <v>45993</v>
      </c>
      <c r="C141" s="10">
        <f>DATEDIF(B141,$C$1,"d")</f>
        <v>13</v>
      </c>
      <c r="D141">
        <v>5</v>
      </c>
      <c r="E141">
        <v>968.09</v>
      </c>
      <c r="F141" s="10">
        <f>ROUND((1-_xlfn.PERCENTRANK.INC($C$4:$C$182,C141))*9,0)</f>
        <v>8</v>
      </c>
      <c r="G141" s="10">
        <f>ROUND((1-_xlfn.PERCENTRANK.INC($D$4:$D$182,D141))*9,0)</f>
        <v>7</v>
      </c>
      <c r="H141" s="10">
        <f>ROUND((1-_xlfn.PERCENTRANK.INC($E$4:$E$182,E141))*9,0)</f>
        <v>6</v>
      </c>
      <c r="I141" s="10" t="str">
        <f t="shared" si="2"/>
        <v>876</v>
      </c>
      <c r="J141" s="10" t="str" cm="1">
        <f t="array" ref="J141">_xlfn.IFS(AND(F141&gt;=8,G141&gt;=8,H141&gt;=8),"Champion",AND(F141&gt;=6,G141&gt;=7,H141&gt;=6),"Loyal Customer",AND(F141&gt;=6,G141&gt;=5,H141&gt;=5),"Potential Loyalist",AND(F141&gt;=8,G141&gt;=2,H141&gt;=5),"New Customers",AND(F141&gt;=6,G141&gt;=2,H141&gt;=3),"Promising",AND(F141&gt;=3,G141&gt;=3,H141&gt;=3),"Need Attention",AND(F141&gt;=4,G141&gt;=6,H141&gt;=6),"At Risk",AND(F141&gt;=2,G141&gt;=8,H141&gt;=8),"Can't Lose Them",AND(F141&gt;=2,G141&gt;=2,H141&gt;=2),"Hibernating",TRUE,"Other")</f>
        <v>Loyal Customer</v>
      </c>
    </row>
    <row r="142" spans="1:10">
      <c r="A142" t="s">
        <v>74</v>
      </c>
      <c r="B142" s="9">
        <v>45999</v>
      </c>
      <c r="C142" s="10">
        <f>DATEDIF(B142,$C$1,"d")</f>
        <v>7</v>
      </c>
      <c r="D142">
        <v>10</v>
      </c>
      <c r="E142">
        <v>1938.54</v>
      </c>
      <c r="F142" s="10">
        <f>ROUND((1-_xlfn.PERCENTRANK.INC($C$4:$C$182,C142))*9,0)</f>
        <v>8</v>
      </c>
      <c r="G142" s="10">
        <f>ROUND((1-_xlfn.PERCENTRANK.INC($D$4:$D$182,D142))*9,0)</f>
        <v>0</v>
      </c>
      <c r="H142" s="10">
        <f>ROUND((1-_xlfn.PERCENTRANK.INC($E$4:$E$182,E142))*9,0)</f>
        <v>2</v>
      </c>
      <c r="I142" s="10" t="str">
        <f t="shared" si="2"/>
        <v>802</v>
      </c>
      <c r="J142" s="10" t="str" cm="1">
        <f t="array" ref="J142">_xlfn.IFS(AND(F142&gt;=8,G142&gt;=8,H142&gt;=8),"Champion",AND(F142&gt;=6,G142&gt;=7,H142&gt;=6),"Loyal Customer",AND(F142&gt;=6,G142&gt;=5,H142&gt;=5),"Potential Loyalist",AND(F142&gt;=8,G142&gt;=2,H142&gt;=5),"New Customers",AND(F142&gt;=6,G142&gt;=2,H142&gt;=3),"Promising",AND(F142&gt;=3,G142&gt;=3,H142&gt;=3),"Need Attention",AND(F142&gt;=4,G142&gt;=6,H142&gt;=6),"At Risk",AND(F142&gt;=2,G142&gt;=8,H142&gt;=8),"Can't Lose Them",AND(F142&gt;=2,G142&gt;=2,H142&gt;=2),"Hibernating",TRUE,"Other")</f>
        <v>Other</v>
      </c>
    </row>
    <row r="143" spans="1:10">
      <c r="A143" t="s">
        <v>116</v>
      </c>
      <c r="B143" s="9">
        <v>45753</v>
      </c>
      <c r="C143" s="10">
        <f>DATEDIF(B143,$C$1,"d")</f>
        <v>253</v>
      </c>
      <c r="D143">
        <v>8</v>
      </c>
      <c r="E143">
        <v>1171.82</v>
      </c>
      <c r="F143" s="10">
        <f>ROUND((1-_xlfn.PERCENTRANK.INC($C$4:$C$182,C143))*9,0)</f>
        <v>1</v>
      </c>
      <c r="G143" s="10">
        <f>ROUND((1-_xlfn.PERCENTRANK.INC($D$4:$D$182,D143))*9,0)</f>
        <v>3</v>
      </c>
      <c r="H143" s="10">
        <f>ROUND((1-_xlfn.PERCENTRANK.INC($E$4:$E$182,E143))*9,0)</f>
        <v>5</v>
      </c>
      <c r="I143" s="10" t="str">
        <f t="shared" si="2"/>
        <v>135</v>
      </c>
      <c r="J143" s="10" t="str" cm="1">
        <f t="array" ref="J143">_xlfn.IFS(AND(F143&gt;=8,G143&gt;=8,H143&gt;=8),"Champion",AND(F143&gt;=6,G143&gt;=7,H143&gt;=6),"Loyal Customer",AND(F143&gt;=6,G143&gt;=5,H143&gt;=5),"Potential Loyalist",AND(F143&gt;=8,G143&gt;=2,H143&gt;=5),"New Customers",AND(F143&gt;=6,G143&gt;=2,H143&gt;=3),"Promising",AND(F143&gt;=3,G143&gt;=3,H143&gt;=3),"Need Attention",AND(F143&gt;=4,G143&gt;=6,H143&gt;=6),"At Risk",AND(F143&gt;=2,G143&gt;=8,H143&gt;=8),"Can't Lose Them",AND(F143&gt;=2,G143&gt;=2,H143&gt;=2),"Hibernating",TRUE,"Other")</f>
        <v>Other</v>
      </c>
    </row>
    <row r="144" spans="1:10">
      <c r="A144" t="s">
        <v>200</v>
      </c>
      <c r="B144" s="9">
        <v>45783</v>
      </c>
      <c r="C144" s="10">
        <f>DATEDIF(B144,$C$1,"d")</f>
        <v>223</v>
      </c>
      <c r="D144">
        <v>7</v>
      </c>
      <c r="E144">
        <v>752.68</v>
      </c>
      <c r="F144" s="10">
        <f>ROUND((1-_xlfn.PERCENTRANK.INC($C$4:$C$182,C144))*9,0)</f>
        <v>1</v>
      </c>
      <c r="G144" s="10">
        <f>ROUND((1-_xlfn.PERCENTRANK.INC($D$4:$D$182,D144))*9,0)</f>
        <v>4</v>
      </c>
      <c r="H144" s="10">
        <f>ROUND((1-_xlfn.PERCENTRANK.INC($E$4:$E$182,E144))*9,0)</f>
        <v>6</v>
      </c>
      <c r="I144" s="10" t="str">
        <f t="shared" si="2"/>
        <v>146</v>
      </c>
      <c r="J144" s="10" t="str" cm="1">
        <f t="array" ref="J144">_xlfn.IFS(AND(F144&gt;=8,G144&gt;=8,H144&gt;=8),"Champion",AND(F144&gt;=6,G144&gt;=7,H144&gt;=6),"Loyal Customer",AND(F144&gt;=6,G144&gt;=5,H144&gt;=5),"Potential Loyalist",AND(F144&gt;=8,G144&gt;=2,H144&gt;=5),"New Customers",AND(F144&gt;=6,G144&gt;=2,H144&gt;=3),"Promising",AND(F144&gt;=3,G144&gt;=3,H144&gt;=3),"Need Attention",AND(F144&gt;=4,G144&gt;=6,H144&gt;=6),"At Risk",AND(F144&gt;=2,G144&gt;=8,H144&gt;=8),"Can't Lose Them",AND(F144&gt;=2,G144&gt;=2,H144&gt;=2),"Hibernating",TRUE,"Other")</f>
        <v>Other</v>
      </c>
    </row>
    <row r="145" spans="1:10">
      <c r="A145" t="s">
        <v>91</v>
      </c>
      <c r="B145" s="9">
        <v>45965</v>
      </c>
      <c r="C145" s="10">
        <f>DATEDIF(B145,$C$1,"d")</f>
        <v>41</v>
      </c>
      <c r="D145">
        <v>6</v>
      </c>
      <c r="E145">
        <v>1221.02</v>
      </c>
      <c r="F145" s="10">
        <f>ROUND((1-_xlfn.PERCENTRANK.INC($C$4:$C$182,C145))*9,0)</f>
        <v>6</v>
      </c>
      <c r="G145" s="10">
        <f>ROUND((1-_xlfn.PERCENTRANK.INC($D$4:$D$182,D145))*9,0)</f>
        <v>6</v>
      </c>
      <c r="H145" s="10">
        <f>ROUND((1-_xlfn.PERCENTRANK.INC($E$4:$E$182,E145))*9,0)</f>
        <v>4</v>
      </c>
      <c r="I145" s="10" t="str">
        <f t="shared" si="2"/>
        <v>664</v>
      </c>
      <c r="J145" s="10" t="str" cm="1">
        <f t="array" ref="J145">_xlfn.IFS(AND(F145&gt;=8,G145&gt;=8,H145&gt;=8),"Champion",AND(F145&gt;=6,G145&gt;=7,H145&gt;=6),"Loyal Customer",AND(F145&gt;=6,G145&gt;=5,H145&gt;=5),"Potential Loyalist",AND(F145&gt;=8,G145&gt;=2,H145&gt;=5),"New Customers",AND(F145&gt;=6,G145&gt;=2,H145&gt;=3),"Promising",AND(F145&gt;=3,G145&gt;=3,H145&gt;=3),"Need Attention",AND(F145&gt;=4,G145&gt;=6,H145&gt;=6),"At Risk",AND(F145&gt;=2,G145&gt;=8,H145&gt;=8),"Can't Lose Them",AND(F145&gt;=2,G145&gt;=2,H145&gt;=2),"Hibernating",TRUE,"Other")</f>
        <v>Promising</v>
      </c>
    </row>
    <row r="146" spans="1:10">
      <c r="A146" t="s">
        <v>87</v>
      </c>
      <c r="B146" s="9">
        <v>45993</v>
      </c>
      <c r="C146" s="10">
        <f>DATEDIF(B146,$C$1,"d")</f>
        <v>13</v>
      </c>
      <c r="D146">
        <v>10</v>
      </c>
      <c r="E146">
        <v>3078.09</v>
      </c>
      <c r="F146" s="10">
        <f>ROUND((1-_xlfn.PERCENTRANK.INC($C$4:$C$182,C146))*9,0)</f>
        <v>8</v>
      </c>
      <c r="G146" s="10">
        <f>ROUND((1-_xlfn.PERCENTRANK.INC($D$4:$D$182,D146))*9,0)</f>
        <v>0</v>
      </c>
      <c r="H146" s="10">
        <f>ROUND((1-_xlfn.PERCENTRANK.INC($E$4:$E$182,E146))*9,0)</f>
        <v>0</v>
      </c>
      <c r="I146" s="10" t="str">
        <f t="shared" si="2"/>
        <v>800</v>
      </c>
      <c r="J146" s="10" t="str" cm="1">
        <f t="array" ref="J146">_xlfn.IFS(AND(F146&gt;=8,G146&gt;=8,H146&gt;=8),"Champion",AND(F146&gt;=6,G146&gt;=7,H146&gt;=6),"Loyal Customer",AND(F146&gt;=6,G146&gt;=5,H146&gt;=5),"Potential Loyalist",AND(F146&gt;=8,G146&gt;=2,H146&gt;=5),"New Customers",AND(F146&gt;=6,G146&gt;=2,H146&gt;=3),"Promising",AND(F146&gt;=3,G146&gt;=3,H146&gt;=3),"Need Attention",AND(F146&gt;=4,G146&gt;=6,H146&gt;=6),"At Risk",AND(F146&gt;=2,G146&gt;=8,H146&gt;=8),"Can't Lose Them",AND(F146&gt;=2,G146&gt;=2,H146&gt;=2),"Hibernating",TRUE,"Other")</f>
        <v>Other</v>
      </c>
    </row>
    <row r="147" spans="1:10">
      <c r="A147" t="s">
        <v>181</v>
      </c>
      <c r="B147" s="9">
        <v>45878</v>
      </c>
      <c r="C147" s="10">
        <f>DATEDIF(B147,$C$1,"d")</f>
        <v>128</v>
      </c>
      <c r="D147">
        <v>10</v>
      </c>
      <c r="E147">
        <v>1108.84</v>
      </c>
      <c r="F147" s="10">
        <f>ROUND((1-_xlfn.PERCENTRANK.INC($C$4:$C$182,C147))*9,0)</f>
        <v>4</v>
      </c>
      <c r="G147" s="10">
        <f>ROUND((1-_xlfn.PERCENTRANK.INC($D$4:$D$182,D147))*9,0)</f>
        <v>0</v>
      </c>
      <c r="H147" s="10">
        <f>ROUND((1-_xlfn.PERCENTRANK.INC($E$4:$E$182,E147))*9,0)</f>
        <v>5</v>
      </c>
      <c r="I147" s="10" t="str">
        <f t="shared" si="2"/>
        <v>405</v>
      </c>
      <c r="J147" s="10" t="str" cm="1">
        <f t="array" ref="J147">_xlfn.IFS(AND(F147&gt;=8,G147&gt;=8,H147&gt;=8),"Champion",AND(F147&gt;=6,G147&gt;=7,H147&gt;=6),"Loyal Customer",AND(F147&gt;=6,G147&gt;=5,H147&gt;=5),"Potential Loyalist",AND(F147&gt;=8,G147&gt;=2,H147&gt;=5),"New Customers",AND(F147&gt;=6,G147&gt;=2,H147&gt;=3),"Promising",AND(F147&gt;=3,G147&gt;=3,H147&gt;=3),"Need Attention",AND(F147&gt;=4,G147&gt;=6,H147&gt;=6),"At Risk",AND(F147&gt;=2,G147&gt;=8,H147&gt;=8),"Can't Lose Them",AND(F147&gt;=2,G147&gt;=2,H147&gt;=2),"Hibernating",TRUE,"Other")</f>
        <v>Other</v>
      </c>
    </row>
    <row r="148" spans="1:10">
      <c r="A148" t="s">
        <v>53</v>
      </c>
      <c r="B148" s="9">
        <v>45871</v>
      </c>
      <c r="C148" s="10">
        <f>DATEDIF(B148,$C$1,"d")</f>
        <v>135</v>
      </c>
      <c r="D148">
        <v>5</v>
      </c>
      <c r="E148">
        <v>1719.44</v>
      </c>
      <c r="F148" s="10">
        <f>ROUND((1-_xlfn.PERCENTRANK.INC($C$4:$C$182,C148))*9,0)</f>
        <v>3</v>
      </c>
      <c r="G148" s="10">
        <f>ROUND((1-_xlfn.PERCENTRANK.INC($D$4:$D$182,D148))*9,0)</f>
        <v>7</v>
      </c>
      <c r="H148" s="10">
        <f>ROUND((1-_xlfn.PERCENTRANK.INC($E$4:$E$182,E148))*9,0)</f>
        <v>2</v>
      </c>
      <c r="I148" s="10" t="str">
        <f t="shared" si="2"/>
        <v>372</v>
      </c>
      <c r="J148" s="10" t="str" cm="1">
        <f t="array" ref="J148">_xlfn.IFS(AND(F148&gt;=8,G148&gt;=8,H148&gt;=8),"Champion",AND(F148&gt;=6,G148&gt;=7,H148&gt;=6),"Loyal Customer",AND(F148&gt;=6,G148&gt;=5,H148&gt;=5),"Potential Loyalist",AND(F148&gt;=8,G148&gt;=2,H148&gt;=5),"New Customers",AND(F148&gt;=6,G148&gt;=2,H148&gt;=3),"Promising",AND(F148&gt;=3,G148&gt;=3,H148&gt;=3),"Need Attention",AND(F148&gt;=4,G148&gt;=6,H148&gt;=6),"At Risk",AND(F148&gt;=2,G148&gt;=8,H148&gt;=8),"Can't Lose Them",AND(F148&gt;=2,G148&gt;=2,H148&gt;=2),"Hibernating",TRUE,"Other")</f>
        <v>Hibernating</v>
      </c>
    </row>
    <row r="149" spans="1:10">
      <c r="A149" t="s">
        <v>5</v>
      </c>
      <c r="B149" s="9">
        <v>45841</v>
      </c>
      <c r="C149" s="10">
        <f>DATEDIF(B149,$C$1,"d")</f>
        <v>165</v>
      </c>
      <c r="D149">
        <v>5</v>
      </c>
      <c r="E149">
        <v>547.09</v>
      </c>
      <c r="F149" s="10">
        <f>ROUND((1-_xlfn.PERCENTRANK.INC($C$4:$C$182,C149))*9,0)</f>
        <v>2</v>
      </c>
      <c r="G149" s="10">
        <f>ROUND((1-_xlfn.PERCENTRANK.INC($D$4:$D$182,D149))*9,0)</f>
        <v>7</v>
      </c>
      <c r="H149" s="10">
        <f>ROUND((1-_xlfn.PERCENTRANK.INC($E$4:$E$182,E149))*9,0)</f>
        <v>8</v>
      </c>
      <c r="I149" s="10" t="str">
        <f t="shared" si="2"/>
        <v>278</v>
      </c>
      <c r="J149" s="10" t="str" cm="1">
        <f t="array" ref="J149">_xlfn.IFS(AND(F149&gt;=8,G149&gt;=8,H149&gt;=8),"Champion",AND(F149&gt;=6,G149&gt;=7,H149&gt;=6),"Loyal Customer",AND(F149&gt;=6,G149&gt;=5,H149&gt;=5),"Potential Loyalist",AND(F149&gt;=8,G149&gt;=2,H149&gt;=5),"New Customers",AND(F149&gt;=6,G149&gt;=2,H149&gt;=3),"Promising",AND(F149&gt;=3,G149&gt;=3,H149&gt;=3),"Need Attention",AND(F149&gt;=4,G149&gt;=6,H149&gt;=6),"At Risk",AND(F149&gt;=2,G149&gt;=8,H149&gt;=8),"Can't Lose Them",AND(F149&gt;=2,G149&gt;=2,H149&gt;=2),"Hibernating",TRUE,"Other")</f>
        <v>Hibernating</v>
      </c>
    </row>
    <row r="150" spans="1:10">
      <c r="A150" t="s">
        <v>157</v>
      </c>
      <c r="B150" s="9">
        <v>45994</v>
      </c>
      <c r="C150" s="10">
        <f>DATEDIF(B150,$C$1,"d")</f>
        <v>12</v>
      </c>
      <c r="D150">
        <v>6</v>
      </c>
      <c r="E150">
        <v>2154.57</v>
      </c>
      <c r="F150" s="10">
        <f>ROUND((1-_xlfn.PERCENTRANK.INC($C$4:$C$182,C150))*9,0)</f>
        <v>8</v>
      </c>
      <c r="G150" s="10">
        <f>ROUND((1-_xlfn.PERCENTRANK.INC($D$4:$D$182,D150))*9,0)</f>
        <v>6</v>
      </c>
      <c r="H150" s="10">
        <f>ROUND((1-_xlfn.PERCENTRANK.INC($E$4:$E$182,E150))*9,0)</f>
        <v>1</v>
      </c>
      <c r="I150" s="10" t="str">
        <f t="shared" si="2"/>
        <v>861</v>
      </c>
      <c r="J150" s="10" t="str" cm="1">
        <f t="array" ref="J150">_xlfn.IFS(AND(F150&gt;=8,G150&gt;=8,H150&gt;=8),"Champion",AND(F150&gt;=6,G150&gt;=7,H150&gt;=6),"Loyal Customer",AND(F150&gt;=6,G150&gt;=5,H150&gt;=5),"Potential Loyalist",AND(F150&gt;=8,G150&gt;=2,H150&gt;=5),"New Customers",AND(F150&gt;=6,G150&gt;=2,H150&gt;=3),"Promising",AND(F150&gt;=3,G150&gt;=3,H150&gt;=3),"Need Attention",AND(F150&gt;=4,G150&gt;=6,H150&gt;=6),"At Risk",AND(F150&gt;=2,G150&gt;=8,H150&gt;=8),"Can't Lose Them",AND(F150&gt;=2,G150&gt;=2,H150&gt;=2),"Hibernating",TRUE,"Other")</f>
        <v>Other</v>
      </c>
    </row>
    <row r="151" spans="1:10">
      <c r="A151" t="s">
        <v>167</v>
      </c>
      <c r="B151" s="9">
        <v>45879</v>
      </c>
      <c r="C151" s="10">
        <f>DATEDIF(B151,$C$1,"d")</f>
        <v>127</v>
      </c>
      <c r="D151">
        <v>8</v>
      </c>
      <c r="E151">
        <v>1776.83</v>
      </c>
      <c r="F151" s="10">
        <f>ROUND((1-_xlfn.PERCENTRANK.INC($C$4:$C$182,C151))*9,0)</f>
        <v>4</v>
      </c>
      <c r="G151" s="10">
        <f>ROUND((1-_xlfn.PERCENTRANK.INC($D$4:$D$182,D151))*9,0)</f>
        <v>3</v>
      </c>
      <c r="H151" s="10">
        <f>ROUND((1-_xlfn.PERCENTRANK.INC($E$4:$E$182,E151))*9,0)</f>
        <v>2</v>
      </c>
      <c r="I151" s="10" t="str">
        <f t="shared" si="2"/>
        <v>432</v>
      </c>
      <c r="J151" s="10" t="str" cm="1">
        <f t="array" ref="J151">_xlfn.IFS(AND(F151&gt;=8,G151&gt;=8,H151&gt;=8),"Champion",AND(F151&gt;=6,G151&gt;=7,H151&gt;=6),"Loyal Customer",AND(F151&gt;=6,G151&gt;=5,H151&gt;=5),"Potential Loyalist",AND(F151&gt;=8,G151&gt;=2,H151&gt;=5),"New Customers",AND(F151&gt;=6,G151&gt;=2,H151&gt;=3),"Promising",AND(F151&gt;=3,G151&gt;=3,H151&gt;=3),"Need Attention",AND(F151&gt;=4,G151&gt;=6,H151&gt;=6),"At Risk",AND(F151&gt;=2,G151&gt;=8,H151&gt;=8),"Can't Lose Them",AND(F151&gt;=2,G151&gt;=2,H151&gt;=2),"Hibernating",TRUE,"Other")</f>
        <v>Hibernating</v>
      </c>
    </row>
    <row r="152" spans="1:10">
      <c r="A152" t="s">
        <v>73</v>
      </c>
      <c r="B152" s="9">
        <v>45993</v>
      </c>
      <c r="C152" s="10">
        <f>DATEDIF(B152,$C$1,"d")</f>
        <v>13</v>
      </c>
      <c r="D152">
        <v>5</v>
      </c>
      <c r="E152">
        <v>1760.4</v>
      </c>
      <c r="F152" s="10">
        <f>ROUND((1-_xlfn.PERCENTRANK.INC($C$4:$C$182,C152))*9,0)</f>
        <v>8</v>
      </c>
      <c r="G152" s="10">
        <f>ROUND((1-_xlfn.PERCENTRANK.INC($D$4:$D$182,D152))*9,0)</f>
        <v>7</v>
      </c>
      <c r="H152" s="10">
        <f>ROUND((1-_xlfn.PERCENTRANK.INC($E$4:$E$182,E152))*9,0)</f>
        <v>2</v>
      </c>
      <c r="I152" s="10" t="str">
        <f t="shared" si="2"/>
        <v>872</v>
      </c>
      <c r="J152" s="10" t="str" cm="1">
        <f t="array" ref="J152">_xlfn.IFS(AND(F152&gt;=8,G152&gt;=8,H152&gt;=8),"Champion",AND(F152&gt;=6,G152&gt;=7,H152&gt;=6),"Loyal Customer",AND(F152&gt;=6,G152&gt;=5,H152&gt;=5),"Potential Loyalist",AND(F152&gt;=8,G152&gt;=2,H152&gt;=5),"New Customers",AND(F152&gt;=6,G152&gt;=2,H152&gt;=3),"Promising",AND(F152&gt;=3,G152&gt;=3,H152&gt;=3),"Need Attention",AND(F152&gt;=4,G152&gt;=6,H152&gt;=6),"At Risk",AND(F152&gt;=2,G152&gt;=8,H152&gt;=8),"Can't Lose Them",AND(F152&gt;=2,G152&gt;=2,H152&gt;=2),"Hibernating",TRUE,"Other")</f>
        <v>Hibernating</v>
      </c>
    </row>
    <row r="153" spans="1:10">
      <c r="A153" t="s">
        <v>10</v>
      </c>
      <c r="B153" s="9">
        <v>45909</v>
      </c>
      <c r="C153" s="10">
        <f>DATEDIF(B153,$C$1,"d")</f>
        <v>97</v>
      </c>
      <c r="D153">
        <v>5</v>
      </c>
      <c r="E153">
        <v>956.06</v>
      </c>
      <c r="F153" s="10">
        <f>ROUND((1-_xlfn.PERCENTRANK.INC($C$4:$C$182,C153))*9,0)</f>
        <v>4</v>
      </c>
      <c r="G153" s="10">
        <f>ROUND((1-_xlfn.PERCENTRANK.INC($D$4:$D$182,D153))*9,0)</f>
        <v>7</v>
      </c>
      <c r="H153" s="10">
        <f>ROUND((1-_xlfn.PERCENTRANK.INC($E$4:$E$182,E153))*9,0)</f>
        <v>6</v>
      </c>
      <c r="I153" s="10" t="str">
        <f t="shared" si="2"/>
        <v>476</v>
      </c>
      <c r="J153" s="10" t="str" cm="1">
        <f t="array" ref="J153">_xlfn.IFS(AND(F153&gt;=8,G153&gt;=8,H153&gt;=8),"Champion",AND(F153&gt;=6,G153&gt;=7,H153&gt;=6),"Loyal Customer",AND(F153&gt;=6,G153&gt;=5,H153&gt;=5),"Potential Loyalist",AND(F153&gt;=8,G153&gt;=2,H153&gt;=5),"New Customers",AND(F153&gt;=6,G153&gt;=2,H153&gt;=3),"Promising",AND(F153&gt;=3,G153&gt;=3,H153&gt;=3),"Need Attention",AND(F153&gt;=4,G153&gt;=6,H153&gt;=6),"At Risk",AND(F153&gt;=2,G153&gt;=8,H153&gt;=8),"Can't Lose Them",AND(F153&gt;=2,G153&gt;=2,H153&gt;=2),"Hibernating",TRUE,"Other")</f>
        <v>Need Attention</v>
      </c>
    </row>
    <row r="154" spans="1:10">
      <c r="A154" t="s">
        <v>84</v>
      </c>
      <c r="B154" s="9">
        <v>45939</v>
      </c>
      <c r="C154" s="10">
        <f>DATEDIF(B154,$C$1,"d")</f>
        <v>67</v>
      </c>
      <c r="D154">
        <v>9</v>
      </c>
      <c r="E154">
        <v>3022.36</v>
      </c>
      <c r="F154" s="10">
        <f>ROUND((1-_xlfn.PERCENTRANK.INC($C$4:$C$182,C154))*9,0)</f>
        <v>5</v>
      </c>
      <c r="G154" s="10">
        <f>ROUND((1-_xlfn.PERCENTRANK.INC($D$4:$D$182,D154))*9,0)</f>
        <v>2</v>
      </c>
      <c r="H154" s="10">
        <f>ROUND((1-_xlfn.PERCENTRANK.INC($E$4:$E$182,E154))*9,0)</f>
        <v>0</v>
      </c>
      <c r="I154" s="10" t="str">
        <f t="shared" si="2"/>
        <v>520</v>
      </c>
      <c r="J154" s="10" t="str" cm="1">
        <f t="array" ref="J154">_xlfn.IFS(AND(F154&gt;=8,G154&gt;=8,H154&gt;=8),"Champion",AND(F154&gt;=6,G154&gt;=7,H154&gt;=6),"Loyal Customer",AND(F154&gt;=6,G154&gt;=5,H154&gt;=5),"Potential Loyalist",AND(F154&gt;=8,G154&gt;=2,H154&gt;=5),"New Customers",AND(F154&gt;=6,G154&gt;=2,H154&gt;=3),"Promising",AND(F154&gt;=3,G154&gt;=3,H154&gt;=3),"Need Attention",AND(F154&gt;=4,G154&gt;=6,H154&gt;=6),"At Risk",AND(F154&gt;=2,G154&gt;=8,H154&gt;=8),"Can't Lose Them",AND(F154&gt;=2,G154&gt;=2,H154&gt;=2),"Hibernating",TRUE,"Other")</f>
        <v>Other</v>
      </c>
    </row>
    <row r="155" spans="1:10">
      <c r="A155" t="s">
        <v>146</v>
      </c>
      <c r="B155" s="9">
        <v>45901</v>
      </c>
      <c r="C155" s="10">
        <f>DATEDIF(B155,$C$1,"d")</f>
        <v>105</v>
      </c>
      <c r="D155">
        <v>9</v>
      </c>
      <c r="E155">
        <v>2324.47</v>
      </c>
      <c r="F155" s="10">
        <f>ROUND((1-_xlfn.PERCENTRANK.INC($C$4:$C$182,C155))*9,0)</f>
        <v>4</v>
      </c>
      <c r="G155" s="10">
        <f>ROUND((1-_xlfn.PERCENTRANK.INC($D$4:$D$182,D155))*9,0)</f>
        <v>2</v>
      </c>
      <c r="H155" s="10">
        <f>ROUND((1-_xlfn.PERCENTRANK.INC($E$4:$E$182,E155))*9,0)</f>
        <v>1</v>
      </c>
      <c r="I155" s="10" t="str">
        <f t="shared" si="2"/>
        <v>421</v>
      </c>
      <c r="J155" s="10" t="str" cm="1">
        <f t="array" ref="J155">_xlfn.IFS(AND(F155&gt;=8,G155&gt;=8,H155&gt;=8),"Champion",AND(F155&gt;=6,G155&gt;=7,H155&gt;=6),"Loyal Customer",AND(F155&gt;=6,G155&gt;=5,H155&gt;=5),"Potential Loyalist",AND(F155&gt;=8,G155&gt;=2,H155&gt;=5),"New Customers",AND(F155&gt;=6,G155&gt;=2,H155&gt;=3),"Promising",AND(F155&gt;=3,G155&gt;=3,H155&gt;=3),"Need Attention",AND(F155&gt;=4,G155&gt;=6,H155&gt;=6),"At Risk",AND(F155&gt;=2,G155&gt;=8,H155&gt;=8),"Can't Lose Them",AND(F155&gt;=2,G155&gt;=2,H155&gt;=2),"Hibernating",TRUE,"Other")</f>
        <v>Other</v>
      </c>
    </row>
    <row r="156" spans="1:10">
      <c r="A156" t="s">
        <v>155</v>
      </c>
      <c r="B156" s="9">
        <v>45903</v>
      </c>
      <c r="C156" s="10">
        <f>DATEDIF(B156,$C$1,"d")</f>
        <v>103</v>
      </c>
      <c r="D156">
        <v>7</v>
      </c>
      <c r="E156">
        <v>794.68</v>
      </c>
      <c r="F156" s="10">
        <f>ROUND((1-_xlfn.PERCENTRANK.INC($C$4:$C$182,C156))*9,0)</f>
        <v>4</v>
      </c>
      <c r="G156" s="10">
        <f>ROUND((1-_xlfn.PERCENTRANK.INC($D$4:$D$182,D156))*9,0)</f>
        <v>4</v>
      </c>
      <c r="H156" s="10">
        <f>ROUND((1-_xlfn.PERCENTRANK.INC($E$4:$E$182,E156))*9,0)</f>
        <v>6</v>
      </c>
      <c r="I156" s="10" t="str">
        <f t="shared" si="2"/>
        <v>446</v>
      </c>
      <c r="J156" s="10" t="str" cm="1">
        <f t="array" ref="J156">_xlfn.IFS(AND(F156&gt;=8,G156&gt;=8,H156&gt;=8),"Champion",AND(F156&gt;=6,G156&gt;=7,H156&gt;=6),"Loyal Customer",AND(F156&gt;=6,G156&gt;=5,H156&gt;=5),"Potential Loyalist",AND(F156&gt;=8,G156&gt;=2,H156&gt;=5),"New Customers",AND(F156&gt;=6,G156&gt;=2,H156&gt;=3),"Promising",AND(F156&gt;=3,G156&gt;=3,H156&gt;=3),"Need Attention",AND(F156&gt;=4,G156&gt;=6,H156&gt;=6),"At Risk",AND(F156&gt;=2,G156&gt;=8,H156&gt;=8),"Can't Lose Them",AND(F156&gt;=2,G156&gt;=2,H156&gt;=2),"Hibernating",TRUE,"Other")</f>
        <v>Need Attention</v>
      </c>
    </row>
    <row r="157" spans="1:10">
      <c r="A157" t="s">
        <v>138</v>
      </c>
      <c r="B157" s="9">
        <v>45839</v>
      </c>
      <c r="C157" s="10">
        <f>DATEDIF(B157,$C$1,"d")</f>
        <v>167</v>
      </c>
      <c r="D157">
        <v>7</v>
      </c>
      <c r="E157">
        <v>633.4</v>
      </c>
      <c r="F157" s="10">
        <f>ROUND((1-_xlfn.PERCENTRANK.INC($C$4:$C$182,C157))*9,0)</f>
        <v>2</v>
      </c>
      <c r="G157" s="10">
        <f>ROUND((1-_xlfn.PERCENTRANK.INC($D$4:$D$182,D157))*9,0)</f>
        <v>4</v>
      </c>
      <c r="H157" s="10">
        <f>ROUND((1-_xlfn.PERCENTRANK.INC($E$4:$E$182,E157))*9,0)</f>
        <v>7</v>
      </c>
      <c r="I157" s="10" t="str">
        <f t="shared" si="2"/>
        <v>247</v>
      </c>
      <c r="J157" s="10" t="str" cm="1">
        <f t="array" ref="J157">_xlfn.IFS(AND(F157&gt;=8,G157&gt;=8,H157&gt;=8),"Champion",AND(F157&gt;=6,G157&gt;=7,H157&gt;=6),"Loyal Customer",AND(F157&gt;=6,G157&gt;=5,H157&gt;=5),"Potential Loyalist",AND(F157&gt;=8,G157&gt;=2,H157&gt;=5),"New Customers",AND(F157&gt;=6,G157&gt;=2,H157&gt;=3),"Promising",AND(F157&gt;=3,G157&gt;=3,H157&gt;=3),"Need Attention",AND(F157&gt;=4,G157&gt;=6,H157&gt;=6),"At Risk",AND(F157&gt;=2,G157&gt;=8,H157&gt;=8),"Can't Lose Them",AND(F157&gt;=2,G157&gt;=2,H157&gt;=2),"Hibernating",TRUE,"Other")</f>
        <v>Hibernating</v>
      </c>
    </row>
    <row r="158" spans="1:10">
      <c r="A158" t="s">
        <v>127</v>
      </c>
      <c r="B158" s="9">
        <v>45993</v>
      </c>
      <c r="C158" s="10">
        <f>DATEDIF(B158,$C$1,"d")</f>
        <v>13</v>
      </c>
      <c r="D158">
        <v>9</v>
      </c>
      <c r="E158">
        <v>1006.13</v>
      </c>
      <c r="F158" s="10">
        <f>ROUND((1-_xlfn.PERCENTRANK.INC($C$4:$C$182,C158))*9,0)</f>
        <v>8</v>
      </c>
      <c r="G158" s="10">
        <f>ROUND((1-_xlfn.PERCENTRANK.INC($D$4:$D$182,D158))*9,0)</f>
        <v>2</v>
      </c>
      <c r="H158" s="10">
        <f>ROUND((1-_xlfn.PERCENTRANK.INC($E$4:$E$182,E158))*9,0)</f>
        <v>5</v>
      </c>
      <c r="I158" s="10" t="str">
        <f t="shared" si="2"/>
        <v>825</v>
      </c>
      <c r="J158" s="10" t="str" cm="1">
        <f t="array" ref="J158">_xlfn.IFS(AND(F158&gt;=8,G158&gt;=8,H158&gt;=8),"Champion",AND(F158&gt;=6,G158&gt;=7,H158&gt;=6),"Loyal Customer",AND(F158&gt;=6,G158&gt;=5,H158&gt;=5),"Potential Loyalist",AND(F158&gt;=8,G158&gt;=2,H158&gt;=5),"New Customers",AND(F158&gt;=6,G158&gt;=2,H158&gt;=3),"Promising",AND(F158&gt;=3,G158&gt;=3,H158&gt;=3),"Need Attention",AND(F158&gt;=4,G158&gt;=6,H158&gt;=6),"At Risk",AND(F158&gt;=2,G158&gt;=8,H158&gt;=8),"Can't Lose Them",AND(F158&gt;=2,G158&gt;=2,H158&gt;=2),"Hibernating",TRUE,"Other")</f>
        <v>New Customers</v>
      </c>
    </row>
    <row r="159" spans="1:10">
      <c r="A159" t="s">
        <v>39</v>
      </c>
      <c r="B159" s="9">
        <v>45999</v>
      </c>
      <c r="C159" s="10">
        <f>DATEDIF(B159,$C$1,"d")</f>
        <v>7</v>
      </c>
      <c r="D159">
        <v>9</v>
      </c>
      <c r="E159">
        <v>829.48</v>
      </c>
      <c r="F159" s="10">
        <f>ROUND((1-_xlfn.PERCENTRANK.INC($C$4:$C$182,C159))*9,0)</f>
        <v>8</v>
      </c>
      <c r="G159" s="10">
        <f>ROUND((1-_xlfn.PERCENTRANK.INC($D$4:$D$182,D159))*9,0)</f>
        <v>2</v>
      </c>
      <c r="H159" s="10">
        <f>ROUND((1-_xlfn.PERCENTRANK.INC($E$4:$E$182,E159))*9,0)</f>
        <v>6</v>
      </c>
      <c r="I159" s="10" t="str">
        <f t="shared" si="2"/>
        <v>826</v>
      </c>
      <c r="J159" s="10" t="str" cm="1">
        <f t="array" ref="J159">_xlfn.IFS(AND(F159&gt;=8,G159&gt;=8,H159&gt;=8),"Champion",AND(F159&gt;=6,G159&gt;=7,H159&gt;=6),"Loyal Customer",AND(F159&gt;=6,G159&gt;=5,H159&gt;=5),"Potential Loyalist",AND(F159&gt;=8,G159&gt;=2,H159&gt;=5),"New Customers",AND(F159&gt;=6,G159&gt;=2,H159&gt;=3),"Promising",AND(F159&gt;=3,G159&gt;=3,H159&gt;=3),"Need Attention",AND(F159&gt;=4,G159&gt;=6,H159&gt;=6),"At Risk",AND(F159&gt;=2,G159&gt;=8,H159&gt;=8),"Can't Lose Them",AND(F159&gt;=2,G159&gt;=2,H159&gt;=2),"Hibernating",TRUE,"Other")</f>
        <v>New Customers</v>
      </c>
    </row>
    <row r="160" spans="1:10">
      <c r="A160" t="s">
        <v>67</v>
      </c>
      <c r="B160" s="9">
        <v>45940</v>
      </c>
      <c r="C160" s="10">
        <f>DATEDIF(B160,$C$1,"d")</f>
        <v>66</v>
      </c>
      <c r="D160">
        <v>8</v>
      </c>
      <c r="E160">
        <v>617.65</v>
      </c>
      <c r="F160" s="10">
        <f>ROUND((1-_xlfn.PERCENTRANK.INC($C$4:$C$182,C160))*9,0)</f>
        <v>6</v>
      </c>
      <c r="G160" s="10">
        <f>ROUND((1-_xlfn.PERCENTRANK.INC($D$4:$D$182,D160))*9,0)</f>
        <v>3</v>
      </c>
      <c r="H160" s="10">
        <f>ROUND((1-_xlfn.PERCENTRANK.INC($E$4:$E$182,E160))*9,0)</f>
        <v>7</v>
      </c>
      <c r="I160" s="10" t="str">
        <f t="shared" si="2"/>
        <v>637</v>
      </c>
      <c r="J160" s="10" t="str" cm="1">
        <f t="array" ref="J160">_xlfn.IFS(AND(F160&gt;=8,G160&gt;=8,H160&gt;=8),"Champion",AND(F160&gt;=6,G160&gt;=7,H160&gt;=6),"Loyal Customer",AND(F160&gt;=6,G160&gt;=5,H160&gt;=5),"Potential Loyalist",AND(F160&gt;=8,G160&gt;=2,H160&gt;=5),"New Customers",AND(F160&gt;=6,G160&gt;=2,H160&gt;=3),"Promising",AND(F160&gt;=3,G160&gt;=3,H160&gt;=3),"Need Attention",AND(F160&gt;=4,G160&gt;=6,H160&gt;=6),"At Risk",AND(F160&gt;=2,G160&gt;=8,H160&gt;=8),"Can't Lose Them",AND(F160&gt;=2,G160&gt;=2,H160&gt;=2),"Hibernating",TRUE,"Other")</f>
        <v>Promising</v>
      </c>
    </row>
    <row r="161" spans="1:10">
      <c r="A161" t="s">
        <v>103</v>
      </c>
      <c r="B161" s="9">
        <v>45967</v>
      </c>
      <c r="C161" s="10">
        <f>DATEDIF(B161,$C$1,"d")</f>
        <v>39</v>
      </c>
      <c r="D161">
        <v>7</v>
      </c>
      <c r="E161">
        <v>1242.77</v>
      </c>
      <c r="F161" s="10">
        <f>ROUND((1-_xlfn.PERCENTRANK.INC($C$4:$C$182,C161))*9,0)</f>
        <v>6</v>
      </c>
      <c r="G161" s="10">
        <f>ROUND((1-_xlfn.PERCENTRANK.INC($D$4:$D$182,D161))*9,0)</f>
        <v>4</v>
      </c>
      <c r="H161" s="10">
        <f>ROUND((1-_xlfn.PERCENTRANK.INC($E$4:$E$182,E161))*9,0)</f>
        <v>4</v>
      </c>
      <c r="I161" s="10" t="str">
        <f t="shared" si="2"/>
        <v>644</v>
      </c>
      <c r="J161" s="10" t="str" cm="1">
        <f t="array" ref="J161">_xlfn.IFS(AND(F161&gt;=8,G161&gt;=8,H161&gt;=8),"Champion",AND(F161&gt;=6,G161&gt;=7,H161&gt;=6),"Loyal Customer",AND(F161&gt;=6,G161&gt;=5,H161&gt;=5),"Potential Loyalist",AND(F161&gt;=8,G161&gt;=2,H161&gt;=5),"New Customers",AND(F161&gt;=6,G161&gt;=2,H161&gt;=3),"Promising",AND(F161&gt;=3,G161&gt;=3,H161&gt;=3),"Need Attention",AND(F161&gt;=4,G161&gt;=6,H161&gt;=6),"At Risk",AND(F161&gt;=2,G161&gt;=8,H161&gt;=8),"Can't Lose Them",AND(F161&gt;=2,G161&gt;=2,H161&gt;=2),"Hibernating",TRUE,"Other")</f>
        <v>Promising</v>
      </c>
    </row>
    <row r="162" spans="1:10">
      <c r="A162" t="s">
        <v>37</v>
      </c>
      <c r="B162" s="9">
        <v>45814</v>
      </c>
      <c r="C162" s="10">
        <f>DATEDIF(B162,$C$1,"d")</f>
        <v>192</v>
      </c>
      <c r="D162">
        <v>7</v>
      </c>
      <c r="E162">
        <v>1438.07</v>
      </c>
      <c r="F162" s="10">
        <f>ROUND((1-_xlfn.PERCENTRANK.INC($C$4:$C$182,C162))*9,0)</f>
        <v>2</v>
      </c>
      <c r="G162" s="10">
        <f>ROUND((1-_xlfn.PERCENTRANK.INC($D$4:$D$182,D162))*9,0)</f>
        <v>4</v>
      </c>
      <c r="H162" s="10">
        <f>ROUND((1-_xlfn.PERCENTRANK.INC($E$4:$E$182,E162))*9,0)</f>
        <v>3</v>
      </c>
      <c r="I162" s="10" t="str">
        <f t="shared" si="2"/>
        <v>243</v>
      </c>
      <c r="J162" s="10" t="str" cm="1">
        <f t="array" ref="J162">_xlfn.IFS(AND(F162&gt;=8,G162&gt;=8,H162&gt;=8),"Champion",AND(F162&gt;=6,G162&gt;=7,H162&gt;=6),"Loyal Customer",AND(F162&gt;=6,G162&gt;=5,H162&gt;=5),"Potential Loyalist",AND(F162&gt;=8,G162&gt;=2,H162&gt;=5),"New Customers",AND(F162&gt;=6,G162&gt;=2,H162&gt;=3),"Promising",AND(F162&gt;=3,G162&gt;=3,H162&gt;=3),"Need Attention",AND(F162&gt;=4,G162&gt;=6,H162&gt;=6),"At Risk",AND(F162&gt;=2,G162&gt;=8,H162&gt;=8),"Can't Lose Them",AND(F162&gt;=2,G162&gt;=2,H162&gt;=2),"Hibernating",TRUE,"Other")</f>
        <v>Hibernating</v>
      </c>
    </row>
    <row r="163" spans="1:10">
      <c r="A163" t="s">
        <v>34</v>
      </c>
      <c r="B163" s="9">
        <v>45996</v>
      </c>
      <c r="C163" s="10">
        <f>DATEDIF(B163,$C$1,"d")</f>
        <v>10</v>
      </c>
      <c r="D163">
        <v>8</v>
      </c>
      <c r="E163">
        <v>2078.99</v>
      </c>
      <c r="F163" s="10">
        <f>ROUND((1-_xlfn.PERCENTRANK.INC($C$4:$C$182,C163))*9,0)</f>
        <v>8</v>
      </c>
      <c r="G163" s="10">
        <f>ROUND((1-_xlfn.PERCENTRANK.INC($D$4:$D$182,D163))*9,0)</f>
        <v>3</v>
      </c>
      <c r="H163" s="10">
        <f>ROUND((1-_xlfn.PERCENTRANK.INC($E$4:$E$182,E163))*9,0)</f>
        <v>2</v>
      </c>
      <c r="I163" s="10" t="str">
        <f t="shared" si="2"/>
        <v>832</v>
      </c>
      <c r="J163" s="10" t="str" cm="1">
        <f t="array" ref="J163">_xlfn.IFS(AND(F163&gt;=8,G163&gt;=8,H163&gt;=8),"Champion",AND(F163&gt;=6,G163&gt;=7,H163&gt;=6),"Loyal Customer",AND(F163&gt;=6,G163&gt;=5,H163&gt;=5),"Potential Loyalist",AND(F163&gt;=8,G163&gt;=2,H163&gt;=5),"New Customers",AND(F163&gt;=6,G163&gt;=2,H163&gt;=3),"Promising",AND(F163&gt;=3,G163&gt;=3,H163&gt;=3),"Need Attention",AND(F163&gt;=4,G163&gt;=6,H163&gt;=6),"At Risk",AND(F163&gt;=2,G163&gt;=8,H163&gt;=8),"Can't Lose Them",AND(F163&gt;=2,G163&gt;=2,H163&gt;=2),"Hibernating",TRUE,"Other")</f>
        <v>Hibernating</v>
      </c>
    </row>
    <row r="164" spans="1:10">
      <c r="A164" t="s">
        <v>86</v>
      </c>
      <c r="B164" s="9">
        <v>45813</v>
      </c>
      <c r="C164" s="10">
        <f>DATEDIF(B164,$C$1,"d")</f>
        <v>193</v>
      </c>
      <c r="D164">
        <v>9</v>
      </c>
      <c r="E164">
        <v>1456.39</v>
      </c>
      <c r="F164" s="10">
        <f>ROUND((1-_xlfn.PERCENTRANK.INC($C$4:$C$182,C164))*9,0)</f>
        <v>1</v>
      </c>
      <c r="G164" s="10">
        <f>ROUND((1-_xlfn.PERCENTRANK.INC($D$4:$D$182,D164))*9,0)</f>
        <v>2</v>
      </c>
      <c r="H164" s="10">
        <f>ROUND((1-_xlfn.PERCENTRANK.INC($E$4:$E$182,E164))*9,0)</f>
        <v>3</v>
      </c>
      <c r="I164" s="10" t="str">
        <f t="shared" si="2"/>
        <v>123</v>
      </c>
      <c r="J164" s="10" t="str" cm="1">
        <f t="array" ref="J164">_xlfn.IFS(AND(F164&gt;=8,G164&gt;=8,H164&gt;=8),"Champion",AND(F164&gt;=6,G164&gt;=7,H164&gt;=6),"Loyal Customer",AND(F164&gt;=6,G164&gt;=5,H164&gt;=5),"Potential Loyalist",AND(F164&gt;=8,G164&gt;=2,H164&gt;=5),"New Customers",AND(F164&gt;=6,G164&gt;=2,H164&gt;=3),"Promising",AND(F164&gt;=3,G164&gt;=3,H164&gt;=3),"Need Attention",AND(F164&gt;=4,G164&gt;=6,H164&gt;=6),"At Risk",AND(F164&gt;=2,G164&gt;=8,H164&gt;=8),"Can't Lose Them",AND(F164&gt;=2,G164&gt;=2,H164&gt;=2),"Hibernating",TRUE,"Other")</f>
        <v>Other</v>
      </c>
    </row>
    <row r="165" spans="1:10">
      <c r="A165" t="s">
        <v>174</v>
      </c>
      <c r="B165" s="9">
        <v>45999</v>
      </c>
      <c r="C165" s="10">
        <f>DATEDIF(B165,$C$1,"d")</f>
        <v>7</v>
      </c>
      <c r="D165">
        <v>4</v>
      </c>
      <c r="E165">
        <v>578.47</v>
      </c>
      <c r="F165" s="10">
        <f>ROUND((1-_xlfn.PERCENTRANK.INC($C$4:$C$182,C165))*9,0)</f>
        <v>8</v>
      </c>
      <c r="G165" s="10">
        <f>ROUND((1-_xlfn.PERCENTRANK.INC($D$4:$D$182,D165))*9,0)</f>
        <v>8</v>
      </c>
      <c r="H165" s="10">
        <f>ROUND((1-_xlfn.PERCENTRANK.INC($E$4:$E$182,E165))*9,0)</f>
        <v>8</v>
      </c>
      <c r="I165" s="10" t="str">
        <f t="shared" si="2"/>
        <v>888</v>
      </c>
      <c r="J165" s="10" t="str" cm="1">
        <f t="array" ref="J165">_xlfn.IFS(AND(F165&gt;=8,G165&gt;=8,H165&gt;=8),"Champion",AND(F165&gt;=6,G165&gt;=7,H165&gt;=6),"Loyal Customer",AND(F165&gt;=6,G165&gt;=5,H165&gt;=5),"Potential Loyalist",AND(F165&gt;=8,G165&gt;=2,H165&gt;=5),"New Customers",AND(F165&gt;=6,G165&gt;=2,H165&gt;=3),"Promising",AND(F165&gt;=3,G165&gt;=3,H165&gt;=3),"Need Attention",AND(F165&gt;=4,G165&gt;=6,H165&gt;=6),"At Risk",AND(F165&gt;=2,G165&gt;=8,H165&gt;=8),"Can't Lose Them",AND(F165&gt;=2,G165&gt;=2,H165&gt;=2),"Hibernating",TRUE,"Other")</f>
        <v>Champion</v>
      </c>
    </row>
    <row r="166" spans="1:10">
      <c r="A166" t="s">
        <v>151</v>
      </c>
      <c r="B166" s="9">
        <v>45998</v>
      </c>
      <c r="C166" s="10">
        <f>DATEDIF(B166,$C$1,"d")</f>
        <v>8</v>
      </c>
      <c r="D166">
        <v>6</v>
      </c>
      <c r="E166">
        <v>2011.41</v>
      </c>
      <c r="F166" s="10">
        <f>ROUND((1-_xlfn.PERCENTRANK.INC($C$4:$C$182,C166))*9,0)</f>
        <v>8</v>
      </c>
      <c r="G166" s="10">
        <f>ROUND((1-_xlfn.PERCENTRANK.INC($D$4:$D$182,D166))*9,0)</f>
        <v>6</v>
      </c>
      <c r="H166" s="10">
        <f>ROUND((1-_xlfn.PERCENTRANK.INC($E$4:$E$182,E166))*9,0)</f>
        <v>2</v>
      </c>
      <c r="I166" s="10" t="str">
        <f t="shared" si="2"/>
        <v>862</v>
      </c>
      <c r="J166" s="10" t="str" cm="1">
        <f t="array" ref="J166">_xlfn.IFS(AND(F166&gt;=8,G166&gt;=8,H166&gt;=8),"Champion",AND(F166&gt;=6,G166&gt;=7,H166&gt;=6),"Loyal Customer",AND(F166&gt;=6,G166&gt;=5,H166&gt;=5),"Potential Loyalist",AND(F166&gt;=8,G166&gt;=2,H166&gt;=5),"New Customers",AND(F166&gt;=6,G166&gt;=2,H166&gt;=3),"Promising",AND(F166&gt;=3,G166&gt;=3,H166&gt;=3),"Need Attention",AND(F166&gt;=4,G166&gt;=6,H166&gt;=6),"At Risk",AND(F166&gt;=2,G166&gt;=8,H166&gt;=8),"Can't Lose Them",AND(F166&gt;=2,G166&gt;=2,H166&gt;=2),"Hibernating",TRUE,"Other")</f>
        <v>Hibernating</v>
      </c>
    </row>
    <row r="167" spans="1:10">
      <c r="A167" t="s">
        <v>100</v>
      </c>
      <c r="B167" s="9">
        <v>45967</v>
      </c>
      <c r="C167" s="10">
        <f>DATEDIF(B167,$C$1,"d")</f>
        <v>39</v>
      </c>
      <c r="D167">
        <v>3</v>
      </c>
      <c r="E167">
        <v>405.17</v>
      </c>
      <c r="F167" s="10">
        <f>ROUND((1-_xlfn.PERCENTRANK.INC($C$4:$C$182,C167))*9,0)</f>
        <v>6</v>
      </c>
      <c r="G167" s="10">
        <f>ROUND((1-_xlfn.PERCENTRANK.INC($D$4:$D$182,D167))*9,0)</f>
        <v>9</v>
      </c>
      <c r="H167" s="10">
        <f>ROUND((1-_xlfn.PERCENTRANK.INC($E$4:$E$182,E167))*9,0)</f>
        <v>8</v>
      </c>
      <c r="I167" s="10" t="str">
        <f t="shared" si="2"/>
        <v>698</v>
      </c>
      <c r="J167" s="10" t="str" cm="1">
        <f t="array" ref="J167">_xlfn.IFS(AND(F167&gt;=8,G167&gt;=8,H167&gt;=8),"Champion",AND(F167&gt;=6,G167&gt;=7,H167&gt;=6),"Loyal Customer",AND(F167&gt;=6,G167&gt;=5,H167&gt;=5),"Potential Loyalist",AND(F167&gt;=8,G167&gt;=2,H167&gt;=5),"New Customers",AND(F167&gt;=6,G167&gt;=2,H167&gt;=3),"Promising",AND(F167&gt;=3,G167&gt;=3,H167&gt;=3),"Need Attention",AND(F167&gt;=4,G167&gt;=6,H167&gt;=6),"At Risk",AND(F167&gt;=2,G167&gt;=8,H167&gt;=8),"Can't Lose Them",AND(F167&gt;=2,G167&gt;=2,H167&gt;=2),"Hibernating",TRUE,"Other")</f>
        <v>Loyal Customer</v>
      </c>
    </row>
    <row r="168" spans="1:10">
      <c r="A168" t="s">
        <v>99</v>
      </c>
      <c r="B168" s="9">
        <v>45932</v>
      </c>
      <c r="C168" s="10">
        <f>DATEDIF(B168,$C$1,"d")</f>
        <v>74</v>
      </c>
      <c r="D168">
        <v>7</v>
      </c>
      <c r="E168">
        <v>1970.21</v>
      </c>
      <c r="F168" s="10">
        <f>ROUND((1-_xlfn.PERCENTRANK.INC($C$4:$C$182,C168))*9,0)</f>
        <v>5</v>
      </c>
      <c r="G168" s="10">
        <f>ROUND((1-_xlfn.PERCENTRANK.INC($D$4:$D$182,D168))*9,0)</f>
        <v>4</v>
      </c>
      <c r="H168" s="10">
        <f>ROUND((1-_xlfn.PERCENTRANK.INC($E$4:$E$182,E168))*9,0)</f>
        <v>2</v>
      </c>
      <c r="I168" s="10" t="str">
        <f t="shared" si="2"/>
        <v>542</v>
      </c>
      <c r="J168" s="10" t="str" cm="1">
        <f t="array" ref="J168">_xlfn.IFS(AND(F168&gt;=8,G168&gt;=8,H168&gt;=8),"Champion",AND(F168&gt;=6,G168&gt;=7,H168&gt;=6),"Loyal Customer",AND(F168&gt;=6,G168&gt;=5,H168&gt;=5),"Potential Loyalist",AND(F168&gt;=8,G168&gt;=2,H168&gt;=5),"New Customers",AND(F168&gt;=6,G168&gt;=2,H168&gt;=3),"Promising",AND(F168&gt;=3,G168&gt;=3,H168&gt;=3),"Need Attention",AND(F168&gt;=4,G168&gt;=6,H168&gt;=6),"At Risk",AND(F168&gt;=2,G168&gt;=8,H168&gt;=8),"Can't Lose Them",AND(F168&gt;=2,G168&gt;=2,H168&gt;=2),"Hibernating",TRUE,"Other")</f>
        <v>Hibernating</v>
      </c>
    </row>
    <row r="169" spans="1:10">
      <c r="A169" t="s">
        <v>20</v>
      </c>
      <c r="B169" s="9">
        <v>46001</v>
      </c>
      <c r="C169" s="10">
        <f>DATEDIF(B169,$C$1,"d")</f>
        <v>5</v>
      </c>
      <c r="D169">
        <v>7</v>
      </c>
      <c r="E169">
        <v>2811.65</v>
      </c>
      <c r="F169" s="10">
        <f>ROUND((1-_xlfn.PERCENTRANK.INC($C$4:$C$182,C169))*9,0)</f>
        <v>9</v>
      </c>
      <c r="G169" s="10">
        <f>ROUND((1-_xlfn.PERCENTRANK.INC($D$4:$D$182,D169))*9,0)</f>
        <v>4</v>
      </c>
      <c r="H169" s="10">
        <f>ROUND((1-_xlfn.PERCENTRANK.INC($E$4:$E$182,E169))*9,0)</f>
        <v>0</v>
      </c>
      <c r="I169" s="10" t="str">
        <f t="shared" si="2"/>
        <v>940</v>
      </c>
      <c r="J169" s="10" t="str" cm="1">
        <f t="array" ref="J169">_xlfn.IFS(AND(F169&gt;=8,G169&gt;=8,H169&gt;=8),"Champion",AND(F169&gt;=6,G169&gt;=7,H169&gt;=6),"Loyal Customer",AND(F169&gt;=6,G169&gt;=5,H169&gt;=5),"Potential Loyalist",AND(F169&gt;=8,G169&gt;=2,H169&gt;=5),"New Customers",AND(F169&gt;=6,G169&gt;=2,H169&gt;=3),"Promising",AND(F169&gt;=3,G169&gt;=3,H169&gt;=3),"Need Attention",AND(F169&gt;=4,G169&gt;=6,H169&gt;=6),"At Risk",AND(F169&gt;=2,G169&gt;=8,H169&gt;=8),"Can't Lose Them",AND(F169&gt;=2,G169&gt;=2,H169&gt;=2),"Hibernating",TRUE,"Other")</f>
        <v>Other</v>
      </c>
    </row>
    <row r="170" spans="1:10">
      <c r="A170" t="s">
        <v>126</v>
      </c>
      <c r="B170" s="9">
        <v>45849</v>
      </c>
      <c r="C170" s="10">
        <f>DATEDIF(B170,$C$1,"d")</f>
        <v>157</v>
      </c>
      <c r="D170">
        <v>9</v>
      </c>
      <c r="E170">
        <v>1369.63</v>
      </c>
      <c r="F170" s="10">
        <f>ROUND((1-_xlfn.PERCENTRANK.INC($C$4:$C$182,C170))*9,0)</f>
        <v>3</v>
      </c>
      <c r="G170" s="10">
        <f>ROUND((1-_xlfn.PERCENTRANK.INC($D$4:$D$182,D170))*9,0)</f>
        <v>2</v>
      </c>
      <c r="H170" s="10">
        <f>ROUND((1-_xlfn.PERCENTRANK.INC($E$4:$E$182,E170))*9,0)</f>
        <v>4</v>
      </c>
      <c r="I170" s="10" t="str">
        <f t="shared" si="2"/>
        <v>324</v>
      </c>
      <c r="J170" s="10" t="str" cm="1">
        <f t="array" ref="J170">_xlfn.IFS(AND(F170&gt;=8,G170&gt;=8,H170&gt;=8),"Champion",AND(F170&gt;=6,G170&gt;=7,H170&gt;=6),"Loyal Customer",AND(F170&gt;=6,G170&gt;=5,H170&gt;=5),"Potential Loyalist",AND(F170&gt;=8,G170&gt;=2,H170&gt;=5),"New Customers",AND(F170&gt;=6,G170&gt;=2,H170&gt;=3),"Promising",AND(F170&gt;=3,G170&gt;=3,H170&gt;=3),"Need Attention",AND(F170&gt;=4,G170&gt;=6,H170&gt;=6),"At Risk",AND(F170&gt;=2,G170&gt;=8,H170&gt;=8),"Can't Lose Them",AND(F170&gt;=2,G170&gt;=2,H170&gt;=2),"Hibernating",TRUE,"Other")</f>
        <v>Hibernating</v>
      </c>
    </row>
    <row r="171" spans="1:10">
      <c r="A171" t="s">
        <v>173</v>
      </c>
      <c r="B171" s="9">
        <v>45972</v>
      </c>
      <c r="C171" s="10">
        <f>DATEDIF(B171,$C$1,"d")</f>
        <v>34</v>
      </c>
      <c r="D171">
        <v>6</v>
      </c>
      <c r="E171">
        <v>742.42</v>
      </c>
      <c r="F171" s="10">
        <f>ROUND((1-_xlfn.PERCENTRANK.INC($C$4:$C$182,C171))*9,0)</f>
        <v>7</v>
      </c>
      <c r="G171" s="10">
        <f>ROUND((1-_xlfn.PERCENTRANK.INC($D$4:$D$182,D171))*9,0)</f>
        <v>6</v>
      </c>
      <c r="H171" s="10">
        <f>ROUND((1-_xlfn.PERCENTRANK.INC($E$4:$E$182,E171))*9,0)</f>
        <v>7</v>
      </c>
      <c r="I171" s="10" t="str">
        <f t="shared" si="2"/>
        <v>767</v>
      </c>
      <c r="J171" s="10" t="str" cm="1">
        <f t="array" ref="J171">_xlfn.IFS(AND(F171&gt;=8,G171&gt;=8,H171&gt;=8),"Champion",AND(F171&gt;=6,G171&gt;=7,H171&gt;=6),"Loyal Customer",AND(F171&gt;=6,G171&gt;=5,H171&gt;=5),"Potential Loyalist",AND(F171&gt;=8,G171&gt;=2,H171&gt;=5),"New Customers",AND(F171&gt;=6,G171&gt;=2,H171&gt;=3),"Promising",AND(F171&gt;=3,G171&gt;=3,H171&gt;=3),"Need Attention",AND(F171&gt;=4,G171&gt;=6,H171&gt;=6),"At Risk",AND(F171&gt;=2,G171&gt;=8,H171&gt;=8),"Can't Lose Them",AND(F171&gt;=2,G171&gt;=2,H171&gt;=2),"Hibernating",TRUE,"Other")</f>
        <v>Potential Loyalist</v>
      </c>
    </row>
    <row r="172" spans="1:10">
      <c r="A172" t="s">
        <v>48</v>
      </c>
      <c r="B172" s="9">
        <v>45994</v>
      </c>
      <c r="C172" s="10">
        <f>DATEDIF(B172,$C$1,"d")</f>
        <v>12</v>
      </c>
      <c r="D172">
        <v>7</v>
      </c>
      <c r="E172">
        <v>1268.7</v>
      </c>
      <c r="F172" s="10">
        <f>ROUND((1-_xlfn.PERCENTRANK.INC($C$4:$C$182,C172))*9,0)</f>
        <v>8</v>
      </c>
      <c r="G172" s="10">
        <f>ROUND((1-_xlfn.PERCENTRANK.INC($D$4:$D$182,D172))*9,0)</f>
        <v>4</v>
      </c>
      <c r="H172" s="10">
        <f>ROUND((1-_xlfn.PERCENTRANK.INC($E$4:$E$182,E172))*9,0)</f>
        <v>4</v>
      </c>
      <c r="I172" s="10" t="str">
        <f t="shared" si="2"/>
        <v>844</v>
      </c>
      <c r="J172" s="10" t="str" cm="1">
        <f t="array" ref="J172">_xlfn.IFS(AND(F172&gt;=8,G172&gt;=8,H172&gt;=8),"Champion",AND(F172&gt;=6,G172&gt;=7,H172&gt;=6),"Loyal Customer",AND(F172&gt;=6,G172&gt;=5,H172&gt;=5),"Potential Loyalist",AND(F172&gt;=8,G172&gt;=2,H172&gt;=5),"New Customers",AND(F172&gt;=6,G172&gt;=2,H172&gt;=3),"Promising",AND(F172&gt;=3,G172&gt;=3,H172&gt;=3),"Need Attention",AND(F172&gt;=4,G172&gt;=6,H172&gt;=6),"At Risk",AND(F172&gt;=2,G172&gt;=8,H172&gt;=8),"Can't Lose Them",AND(F172&gt;=2,G172&gt;=2,H172&gt;=2),"Hibernating",TRUE,"Other")</f>
        <v>Promising</v>
      </c>
    </row>
    <row r="173" spans="1:10">
      <c r="A173" t="s">
        <v>198</v>
      </c>
      <c r="B173" s="9">
        <v>45931</v>
      </c>
      <c r="C173" s="10">
        <f>DATEDIF(B173,$C$1,"d")</f>
        <v>75</v>
      </c>
      <c r="D173">
        <v>6</v>
      </c>
      <c r="E173">
        <v>1321.11</v>
      </c>
      <c r="F173" s="10">
        <f>ROUND((1-_xlfn.PERCENTRANK.INC($C$4:$C$182,C173))*9,0)</f>
        <v>5</v>
      </c>
      <c r="G173" s="10">
        <f>ROUND((1-_xlfn.PERCENTRANK.INC($D$4:$D$182,D173))*9,0)</f>
        <v>6</v>
      </c>
      <c r="H173" s="10">
        <f>ROUND((1-_xlfn.PERCENTRANK.INC($E$4:$E$182,E173))*9,0)</f>
        <v>4</v>
      </c>
      <c r="I173" s="10" t="str">
        <f t="shared" si="2"/>
        <v>564</v>
      </c>
      <c r="J173" s="10" t="str" cm="1">
        <f t="array" ref="J173">_xlfn.IFS(AND(F173&gt;=8,G173&gt;=8,H173&gt;=8),"Champion",AND(F173&gt;=6,G173&gt;=7,H173&gt;=6),"Loyal Customer",AND(F173&gt;=6,G173&gt;=5,H173&gt;=5),"Potential Loyalist",AND(F173&gt;=8,G173&gt;=2,H173&gt;=5),"New Customers",AND(F173&gt;=6,G173&gt;=2,H173&gt;=3),"Promising",AND(F173&gt;=3,G173&gt;=3,H173&gt;=3),"Need Attention",AND(F173&gt;=4,G173&gt;=6,H173&gt;=6),"At Risk",AND(F173&gt;=2,G173&gt;=8,H173&gt;=8),"Can't Lose Them",AND(F173&gt;=2,G173&gt;=2,H173&gt;=2),"Hibernating",TRUE,"Other")</f>
        <v>Need Attention</v>
      </c>
    </row>
    <row r="174" spans="1:10">
      <c r="A174" t="s">
        <v>130</v>
      </c>
      <c r="B174" s="9">
        <v>45905</v>
      </c>
      <c r="C174" s="10">
        <f>DATEDIF(B174,$C$1,"d")</f>
        <v>101</v>
      </c>
      <c r="D174">
        <v>8</v>
      </c>
      <c r="E174">
        <v>2116.98</v>
      </c>
      <c r="F174" s="10">
        <f>ROUND((1-_xlfn.PERCENTRANK.INC($C$4:$C$182,C174))*9,0)</f>
        <v>4</v>
      </c>
      <c r="G174" s="10">
        <f>ROUND((1-_xlfn.PERCENTRANK.INC($D$4:$D$182,D174))*9,0)</f>
        <v>3</v>
      </c>
      <c r="H174" s="10">
        <f>ROUND((1-_xlfn.PERCENTRANK.INC($E$4:$E$182,E174))*9,0)</f>
        <v>1</v>
      </c>
      <c r="I174" s="10" t="str">
        <f t="shared" si="2"/>
        <v>431</v>
      </c>
      <c r="J174" s="10" t="str" cm="1">
        <f t="array" ref="J174">_xlfn.IFS(AND(F174&gt;=8,G174&gt;=8,H174&gt;=8),"Champion",AND(F174&gt;=6,G174&gt;=7,H174&gt;=6),"Loyal Customer",AND(F174&gt;=6,G174&gt;=5,H174&gt;=5),"Potential Loyalist",AND(F174&gt;=8,G174&gt;=2,H174&gt;=5),"New Customers",AND(F174&gt;=6,G174&gt;=2,H174&gt;=3),"Promising",AND(F174&gt;=3,G174&gt;=3,H174&gt;=3),"Need Attention",AND(F174&gt;=4,G174&gt;=6,H174&gt;=6),"At Risk",AND(F174&gt;=2,G174&gt;=8,H174&gt;=8),"Can't Lose Them",AND(F174&gt;=2,G174&gt;=2,H174&gt;=2),"Hibernating",TRUE,"Other")</f>
        <v>Other</v>
      </c>
    </row>
    <row r="175" spans="1:10">
      <c r="A175" t="s">
        <v>94</v>
      </c>
      <c r="B175" s="9">
        <v>45970</v>
      </c>
      <c r="C175" s="10">
        <f>DATEDIF(B175,$C$1,"d")</f>
        <v>36</v>
      </c>
      <c r="D175">
        <v>8</v>
      </c>
      <c r="E175">
        <v>546.26</v>
      </c>
      <c r="F175" s="10">
        <f>ROUND((1-_xlfn.PERCENTRANK.INC($C$4:$C$182,C175))*9,0)</f>
        <v>7</v>
      </c>
      <c r="G175" s="10">
        <f>ROUND((1-_xlfn.PERCENTRANK.INC($D$4:$D$182,D175))*9,0)</f>
        <v>3</v>
      </c>
      <c r="H175" s="10">
        <f>ROUND((1-_xlfn.PERCENTRANK.INC($E$4:$E$182,E175))*9,0)</f>
        <v>8</v>
      </c>
      <c r="I175" s="10" t="str">
        <f t="shared" si="2"/>
        <v>738</v>
      </c>
      <c r="J175" s="10" t="str" cm="1">
        <f t="array" ref="J175">_xlfn.IFS(AND(F175&gt;=8,G175&gt;=8,H175&gt;=8),"Champion",AND(F175&gt;=6,G175&gt;=7,H175&gt;=6),"Loyal Customer",AND(F175&gt;=6,G175&gt;=5,H175&gt;=5),"Potential Loyalist",AND(F175&gt;=8,G175&gt;=2,H175&gt;=5),"New Customers",AND(F175&gt;=6,G175&gt;=2,H175&gt;=3),"Promising",AND(F175&gt;=3,G175&gt;=3,H175&gt;=3),"Need Attention",AND(F175&gt;=4,G175&gt;=6,H175&gt;=6),"At Risk",AND(F175&gt;=2,G175&gt;=8,H175&gt;=8),"Can't Lose Them",AND(F175&gt;=2,G175&gt;=2,H175&gt;=2),"Hibernating",TRUE,"Other")</f>
        <v>Promising</v>
      </c>
    </row>
    <row r="176" spans="1:10">
      <c r="A176" t="s">
        <v>32</v>
      </c>
      <c r="B176" s="9">
        <v>45874</v>
      </c>
      <c r="C176" s="10">
        <f>DATEDIF(B176,$C$1,"d")</f>
        <v>132</v>
      </c>
      <c r="D176">
        <v>7</v>
      </c>
      <c r="E176">
        <v>2429.09</v>
      </c>
      <c r="F176" s="10">
        <f>ROUND((1-_xlfn.PERCENTRANK.INC($C$4:$C$182,C176))*9,0)</f>
        <v>3</v>
      </c>
      <c r="G176" s="10">
        <f>ROUND((1-_xlfn.PERCENTRANK.INC($D$4:$D$182,D176))*9,0)</f>
        <v>4</v>
      </c>
      <c r="H176" s="10">
        <f>ROUND((1-_xlfn.PERCENTRANK.INC($E$4:$E$182,E176))*9,0)</f>
        <v>1</v>
      </c>
      <c r="I176" s="10" t="str">
        <f t="shared" si="2"/>
        <v>341</v>
      </c>
      <c r="J176" s="10" t="str" cm="1">
        <f t="array" ref="J176">_xlfn.IFS(AND(F176&gt;=8,G176&gt;=8,H176&gt;=8),"Champion",AND(F176&gt;=6,G176&gt;=7,H176&gt;=6),"Loyal Customer",AND(F176&gt;=6,G176&gt;=5,H176&gt;=5),"Potential Loyalist",AND(F176&gt;=8,G176&gt;=2,H176&gt;=5),"New Customers",AND(F176&gt;=6,G176&gt;=2,H176&gt;=3),"Promising",AND(F176&gt;=3,G176&gt;=3,H176&gt;=3),"Need Attention",AND(F176&gt;=4,G176&gt;=6,H176&gt;=6),"At Risk",AND(F176&gt;=2,G176&gt;=8,H176&gt;=8),"Can't Lose Them",AND(F176&gt;=2,G176&gt;=2,H176&gt;=2),"Hibernating",TRUE,"Other")</f>
        <v>Other</v>
      </c>
    </row>
    <row r="177" spans="1:10">
      <c r="A177" t="s">
        <v>117</v>
      </c>
      <c r="B177" s="9">
        <v>45967</v>
      </c>
      <c r="C177" s="10">
        <f>DATEDIF(B177,$C$1,"d")</f>
        <v>39</v>
      </c>
      <c r="D177">
        <v>8</v>
      </c>
      <c r="E177">
        <v>1514.58</v>
      </c>
      <c r="F177" s="10">
        <f>ROUND((1-_xlfn.PERCENTRANK.INC($C$4:$C$182,C177))*9,0)</f>
        <v>6</v>
      </c>
      <c r="G177" s="10">
        <f>ROUND((1-_xlfn.PERCENTRANK.INC($D$4:$D$182,D177))*9,0)</f>
        <v>3</v>
      </c>
      <c r="H177" s="10">
        <f>ROUND((1-_xlfn.PERCENTRANK.INC($E$4:$E$182,E177))*9,0)</f>
        <v>3</v>
      </c>
      <c r="I177" s="10" t="str">
        <f t="shared" si="2"/>
        <v>633</v>
      </c>
      <c r="J177" s="10" t="str" cm="1">
        <f t="array" ref="J177">_xlfn.IFS(AND(F177&gt;=8,G177&gt;=8,H177&gt;=8),"Champion",AND(F177&gt;=6,G177&gt;=7,H177&gt;=6),"Loyal Customer",AND(F177&gt;=6,G177&gt;=5,H177&gt;=5),"Potential Loyalist",AND(F177&gt;=8,G177&gt;=2,H177&gt;=5),"New Customers",AND(F177&gt;=6,G177&gt;=2,H177&gt;=3),"Promising",AND(F177&gt;=3,G177&gt;=3,H177&gt;=3),"Need Attention",AND(F177&gt;=4,G177&gt;=6,H177&gt;=6),"At Risk",AND(F177&gt;=2,G177&gt;=8,H177&gt;=8),"Can't Lose Them",AND(F177&gt;=2,G177&gt;=2,H177&gt;=2),"Hibernating",TRUE,"Other")</f>
        <v>Promising</v>
      </c>
    </row>
    <row r="178" spans="1:10">
      <c r="A178" t="s">
        <v>45</v>
      </c>
      <c r="B178" s="9">
        <v>45908</v>
      </c>
      <c r="C178" s="10">
        <f>DATEDIF(B178,$C$1,"d")</f>
        <v>98</v>
      </c>
      <c r="D178">
        <v>5</v>
      </c>
      <c r="E178">
        <v>609.43</v>
      </c>
      <c r="F178" s="10">
        <f>ROUND((1-_xlfn.PERCENTRANK.INC($C$4:$C$182,C178))*9,0)</f>
        <v>4</v>
      </c>
      <c r="G178" s="10">
        <f>ROUND((1-_xlfn.PERCENTRANK.INC($D$4:$D$182,D178))*9,0)</f>
        <v>7</v>
      </c>
      <c r="H178" s="10">
        <f>ROUND((1-_xlfn.PERCENTRANK.INC($E$4:$E$182,E178))*9,0)</f>
        <v>7</v>
      </c>
      <c r="I178" s="10" t="str">
        <f t="shared" si="2"/>
        <v>477</v>
      </c>
      <c r="J178" s="10" t="str" cm="1">
        <f t="array" ref="J178">_xlfn.IFS(AND(F178&gt;=8,G178&gt;=8,H178&gt;=8),"Champion",AND(F178&gt;=6,G178&gt;=7,H178&gt;=6),"Loyal Customer",AND(F178&gt;=6,G178&gt;=5,H178&gt;=5),"Potential Loyalist",AND(F178&gt;=8,G178&gt;=2,H178&gt;=5),"New Customers",AND(F178&gt;=6,G178&gt;=2,H178&gt;=3),"Promising",AND(F178&gt;=3,G178&gt;=3,H178&gt;=3),"Need Attention",AND(F178&gt;=4,G178&gt;=6,H178&gt;=6),"At Risk",AND(F178&gt;=2,G178&gt;=8,H178&gt;=8),"Can't Lose Them",AND(F178&gt;=2,G178&gt;=2,H178&gt;=2),"Hibernating",TRUE,"Other")</f>
        <v>Need Attention</v>
      </c>
    </row>
    <row r="179" spans="1:10">
      <c r="A179" t="s">
        <v>132</v>
      </c>
      <c r="B179" s="9">
        <v>45840</v>
      </c>
      <c r="C179" s="10">
        <f>DATEDIF(B179,$C$1,"d")</f>
        <v>166</v>
      </c>
      <c r="D179">
        <v>2</v>
      </c>
      <c r="E179">
        <v>104.19</v>
      </c>
      <c r="F179" s="10">
        <f>ROUND((1-_xlfn.PERCENTRANK.INC($C$4:$C$182,C179))*9,0)</f>
        <v>2</v>
      </c>
      <c r="G179" s="10">
        <f>ROUND((1-_xlfn.PERCENTRANK.INC($D$4:$D$182,D179))*9,0)</f>
        <v>9</v>
      </c>
      <c r="H179" s="10">
        <f>ROUND((1-_xlfn.PERCENTRANK.INC($E$4:$E$182,E179))*9,0)</f>
        <v>9</v>
      </c>
      <c r="I179" s="10" t="str">
        <f t="shared" si="2"/>
        <v>299</v>
      </c>
      <c r="J179" s="10" t="str" cm="1">
        <f t="array" ref="J179">_xlfn.IFS(AND(F179&gt;=8,G179&gt;=8,H179&gt;=8),"Champion",AND(F179&gt;=6,G179&gt;=7,H179&gt;=6),"Loyal Customer",AND(F179&gt;=6,G179&gt;=5,H179&gt;=5),"Potential Loyalist",AND(F179&gt;=8,G179&gt;=2,H179&gt;=5),"New Customers",AND(F179&gt;=6,G179&gt;=2,H179&gt;=3),"Promising",AND(F179&gt;=3,G179&gt;=3,H179&gt;=3),"Need Attention",AND(F179&gt;=4,G179&gt;=6,H179&gt;=6),"At Risk",AND(F179&gt;=2,G179&gt;=8,H179&gt;=8),"Can't Lose Them",AND(F179&gt;=2,G179&gt;=2,H179&gt;=2),"Hibernating",TRUE,"Other")</f>
        <v>Can't Lose Them</v>
      </c>
    </row>
    <row r="180" spans="1:10">
      <c r="A180" t="s">
        <v>109</v>
      </c>
      <c r="B180" s="9">
        <v>45966</v>
      </c>
      <c r="C180" s="10">
        <f>DATEDIF(B180,$C$1,"d")</f>
        <v>40</v>
      </c>
      <c r="D180">
        <v>9</v>
      </c>
      <c r="E180">
        <v>2824.15</v>
      </c>
      <c r="F180" s="10">
        <f>ROUND((1-_xlfn.PERCENTRANK.INC($C$4:$C$182,C180))*9,0)</f>
        <v>6</v>
      </c>
      <c r="G180" s="10">
        <f>ROUND((1-_xlfn.PERCENTRANK.INC($D$4:$D$182,D180))*9,0)</f>
        <v>2</v>
      </c>
      <c r="H180" s="10">
        <f>ROUND((1-_xlfn.PERCENTRANK.INC($E$4:$E$182,E180))*9,0)</f>
        <v>0</v>
      </c>
      <c r="I180" s="10" t="str">
        <f t="shared" si="2"/>
        <v>620</v>
      </c>
      <c r="J180" s="10" t="str" cm="1">
        <f t="array" ref="J180">_xlfn.IFS(AND(F180&gt;=8,G180&gt;=8,H180&gt;=8),"Champion",AND(F180&gt;=6,G180&gt;=7,H180&gt;=6),"Loyal Customer",AND(F180&gt;=6,G180&gt;=5,H180&gt;=5),"Potential Loyalist",AND(F180&gt;=8,G180&gt;=2,H180&gt;=5),"New Customers",AND(F180&gt;=6,G180&gt;=2,H180&gt;=3),"Promising",AND(F180&gt;=3,G180&gt;=3,H180&gt;=3),"Need Attention",AND(F180&gt;=4,G180&gt;=6,H180&gt;=6),"At Risk",AND(F180&gt;=2,G180&gt;=8,H180&gt;=8),"Can't Lose Them",AND(F180&gt;=2,G180&gt;=2,H180&gt;=2),"Hibernating",TRUE,"Other")</f>
        <v>Other</v>
      </c>
    </row>
    <row r="181" spans="1:10">
      <c r="A181" t="s">
        <v>23</v>
      </c>
      <c r="B181" s="9">
        <v>45726</v>
      </c>
      <c r="C181" s="10">
        <f>DATEDIF(B181,$C$1,"d")</f>
        <v>280</v>
      </c>
      <c r="D181">
        <v>4</v>
      </c>
      <c r="E181">
        <v>325.88</v>
      </c>
      <c r="F181" s="10">
        <f>ROUND((1-_xlfn.PERCENTRANK.INC($C$4:$C$182,C181))*9,0)</f>
        <v>1</v>
      </c>
      <c r="G181" s="10">
        <f>ROUND((1-_xlfn.PERCENTRANK.INC($D$4:$D$182,D181))*9,0)</f>
        <v>8</v>
      </c>
      <c r="H181" s="10">
        <f>ROUND((1-_xlfn.PERCENTRANK.INC($E$4:$E$182,E181))*9,0)</f>
        <v>9</v>
      </c>
      <c r="I181" s="10" t="str">
        <f t="shared" si="2"/>
        <v>189</v>
      </c>
      <c r="J181" s="10" t="str" cm="1">
        <f t="array" ref="J181">_xlfn.IFS(AND(F181&gt;=8,G181&gt;=8,H181&gt;=8),"Champion",AND(F181&gt;=6,G181&gt;=7,H181&gt;=6),"Loyal Customer",AND(F181&gt;=6,G181&gt;=5,H181&gt;=5),"Potential Loyalist",AND(F181&gt;=8,G181&gt;=2,H181&gt;=5),"New Customers",AND(F181&gt;=6,G181&gt;=2,H181&gt;=3),"Promising",AND(F181&gt;=3,G181&gt;=3,H181&gt;=3),"Need Attention",AND(F181&gt;=4,G181&gt;=6,H181&gt;=6),"At Risk",AND(F181&gt;=2,G181&gt;=8,H181&gt;=8),"Can't Lose Them",AND(F181&gt;=2,G181&gt;=2,H181&gt;=2),"Hibernating",TRUE,"Other")</f>
        <v>Other</v>
      </c>
    </row>
    <row r="182" spans="1:10">
      <c r="A182" s="11" t="s">
        <v>144</v>
      </c>
      <c r="B182" s="12">
        <v>45814</v>
      </c>
      <c r="C182" s="10">
        <f>DATEDIF(B182,$C$1,"d")</f>
        <v>192</v>
      </c>
      <c r="D182" s="11">
        <v>9</v>
      </c>
      <c r="E182" s="11">
        <v>2266.37</v>
      </c>
      <c r="F182" s="10">
        <f>ROUND((1-_xlfn.PERCENTRANK.INC($C$4:$C$182,C182))*9,0)</f>
        <v>2</v>
      </c>
      <c r="G182" s="10">
        <f>ROUND((1-_xlfn.PERCENTRANK.INC($D$4:$D$182,D182))*9,0)</f>
        <v>2</v>
      </c>
      <c r="H182" s="10">
        <f>ROUND((1-_xlfn.PERCENTRANK.INC($E$4:$E$182,E182))*9,0)</f>
        <v>1</v>
      </c>
      <c r="I182" s="10" t="str">
        <f t="shared" si="2"/>
        <v>221</v>
      </c>
      <c r="J182" s="10" t="str" cm="1">
        <f t="array" ref="J182">_xlfn.IFS(AND(F182&gt;=8,G182&gt;=8,H182&gt;=8),"Champion",AND(F182&gt;=6,G182&gt;=7,H182&gt;=6),"Loyal Customer",AND(F182&gt;=6,G182&gt;=5,H182&gt;=5),"Potential Loyalist",AND(F182&gt;=8,G182&gt;=2,H182&gt;=5),"New Customers",AND(F182&gt;=6,G182&gt;=2,H182&gt;=3),"Promising",AND(F182&gt;=3,G182&gt;=3,H182&gt;=3),"Need Attention",AND(F182&gt;=4,G182&gt;=6,H182&gt;=6),"At Risk",AND(F182&gt;=2,G182&gt;=8,H182&gt;=8),"Can't Lose Them",AND(F182&gt;=2,G182&gt;=2,H182&gt;=2),"Hibernating",TRUE,"Other")</f>
        <v>Other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1:C38"/>
  <sheetViews>
    <sheetView showGridLines="0" workbookViewId="0">
      <selection activeCell="A36" sqref="A36"/>
    </sheetView>
  </sheetViews>
  <sheetFormatPr defaultColWidth="9" defaultRowHeight="16.8" outlineLevelCol="2"/>
  <cols>
    <col min="1" max="1" width="17.7109375" customWidth="1"/>
    <col min="2" max="2" width="43.7421875" customWidth="1"/>
    <col min="3" max="3" width="54.296875" customWidth="1"/>
  </cols>
  <sheetData>
    <row r="11" ht="3" customHeight="1"/>
    <row r="12" spans="1:2">
      <c r="A12" s="1" t="s">
        <v>1598</v>
      </c>
      <c r="B12" s="2" t="s">
        <v>1599</v>
      </c>
    </row>
    <row r="13" spans="1:2">
      <c r="A13" s="3" t="s">
        <v>1600</v>
      </c>
      <c r="B13" s="4">
        <f>COUNTIFS('RFM Analysis'!J3:$J$182,A13)</f>
        <v>63</v>
      </c>
    </row>
    <row r="14" spans="1:2">
      <c r="A14" s="3" t="s">
        <v>1601</v>
      </c>
      <c r="B14" s="4">
        <f>COUNTIFS('RFM Analysis'!J4:$J$182,A14)</f>
        <v>32</v>
      </c>
    </row>
    <row r="15" spans="1:2">
      <c r="A15" s="3" t="s">
        <v>1602</v>
      </c>
      <c r="B15" s="4">
        <f>COUNTIFS('RFM Analysis'!J5:$J$182,A15)</f>
        <v>30</v>
      </c>
    </row>
    <row r="16" spans="1:2">
      <c r="A16" s="3" t="s">
        <v>1603</v>
      </c>
      <c r="B16" s="4">
        <f>COUNTIFS('RFM Analysis'!J6:$J$182,A16)</f>
        <v>18</v>
      </c>
    </row>
    <row r="17" spans="1:2">
      <c r="A17" s="3" t="s">
        <v>1604</v>
      </c>
      <c r="B17" s="4">
        <f>COUNTIFS('RFM Analysis'!J7:$J$182,A17)</f>
        <v>13</v>
      </c>
    </row>
    <row r="18" spans="1:2">
      <c r="A18" s="3" t="s">
        <v>1605</v>
      </c>
      <c r="B18" s="4">
        <f>COUNTIFS('RFM Analysis'!J8:$J$182,A18)</f>
        <v>11</v>
      </c>
    </row>
    <row r="19" spans="1:2">
      <c r="A19" s="3" t="s">
        <v>1606</v>
      </c>
      <c r="B19" s="4">
        <f>COUNTIFS('RFM Analysis'!J9:$J$182,A19)</f>
        <v>6</v>
      </c>
    </row>
    <row r="20" spans="1:2">
      <c r="A20" s="3" t="s">
        <v>1607</v>
      </c>
      <c r="B20" s="4">
        <f>COUNTIFS('RFM Analysis'!J10:$J$182,A20)</f>
        <v>3</v>
      </c>
    </row>
    <row r="21" ht="32" customHeight="1" spans="1:2">
      <c r="A21" s="3" t="s">
        <v>1608</v>
      </c>
      <c r="B21" s="4">
        <f>COUNTIFS('RFM Analysis'!J11:$J$182,A21)</f>
        <v>0</v>
      </c>
    </row>
    <row r="22" spans="1:3">
      <c r="A22" s="2" t="s">
        <v>1609</v>
      </c>
      <c r="B22" s="2" t="s">
        <v>1610</v>
      </c>
      <c r="C22" s="2" t="s">
        <v>1611</v>
      </c>
    </row>
    <row r="23" spans="1:3">
      <c r="A23" s="5" t="s">
        <v>1612</v>
      </c>
      <c r="B23" s="5" t="s">
        <v>1613</v>
      </c>
      <c r="C23" s="5" t="s">
        <v>1614</v>
      </c>
    </row>
    <row r="24" spans="1:3">
      <c r="A24" s="5" t="s">
        <v>1607</v>
      </c>
      <c r="B24" s="5" t="s">
        <v>1615</v>
      </c>
      <c r="C24" s="5" t="s">
        <v>1616</v>
      </c>
    </row>
    <row r="25" spans="1:3">
      <c r="A25" s="5"/>
      <c r="B25" s="5" t="s">
        <v>1617</v>
      </c>
      <c r="C25" s="5"/>
    </row>
    <row r="26" spans="1:3">
      <c r="A26" s="5" t="s">
        <v>1602</v>
      </c>
      <c r="B26" s="5" t="s">
        <v>1618</v>
      </c>
      <c r="C26" s="5" t="s">
        <v>1619</v>
      </c>
    </row>
    <row r="27" spans="1:3">
      <c r="A27" s="5"/>
      <c r="B27" s="5"/>
      <c r="C27" s="5" t="s">
        <v>1620</v>
      </c>
    </row>
    <row r="28" spans="1:3">
      <c r="A28" s="5" t="s">
        <v>1621</v>
      </c>
      <c r="B28" s="5" t="s">
        <v>1622</v>
      </c>
      <c r="C28" s="5" t="s">
        <v>1623</v>
      </c>
    </row>
    <row r="29" spans="1:3">
      <c r="A29" s="5"/>
      <c r="B29" s="5"/>
      <c r="C29" s="5" t="s">
        <v>1624</v>
      </c>
    </row>
    <row r="30" spans="1:3">
      <c r="A30" s="5" t="s">
        <v>1625</v>
      </c>
      <c r="B30" s="5" t="s">
        <v>1626</v>
      </c>
      <c r="C30" s="5" t="s">
        <v>1627</v>
      </c>
    </row>
    <row r="31" spans="1:3">
      <c r="A31" s="5" t="s">
        <v>1628</v>
      </c>
      <c r="B31" s="5" t="s">
        <v>1629</v>
      </c>
      <c r="C31" s="5" t="s">
        <v>1630</v>
      </c>
    </row>
    <row r="32" spans="1:3">
      <c r="A32" s="5"/>
      <c r="B32" s="5"/>
      <c r="C32" s="5" t="s">
        <v>1631</v>
      </c>
    </row>
    <row r="33" spans="1:3">
      <c r="A33" s="5" t="s">
        <v>1632</v>
      </c>
      <c r="B33" s="5" t="s">
        <v>1633</v>
      </c>
      <c r="C33" s="5" t="s">
        <v>1634</v>
      </c>
    </row>
    <row r="34" spans="1:3">
      <c r="A34" s="5"/>
      <c r="B34" s="5" t="s">
        <v>1635</v>
      </c>
      <c r="C34" s="5" t="s">
        <v>1636</v>
      </c>
    </row>
    <row r="35" spans="1:3">
      <c r="A35" s="5" t="s">
        <v>1603</v>
      </c>
      <c r="B35" s="5" t="s">
        <v>1637</v>
      </c>
      <c r="C35" s="5" t="s">
        <v>1638</v>
      </c>
    </row>
    <row r="36" spans="1:3">
      <c r="A36" s="5"/>
      <c r="B36" s="5" t="s">
        <v>1639</v>
      </c>
      <c r="C36" s="5"/>
    </row>
    <row r="37" spans="1:3">
      <c r="A37" s="5" t="s">
        <v>1608</v>
      </c>
      <c r="B37" s="5" t="s">
        <v>1640</v>
      </c>
      <c r="C37" s="5" t="s">
        <v>1641</v>
      </c>
    </row>
    <row r="38" spans="1:3">
      <c r="A38" s="5"/>
      <c r="B38" s="5" t="s">
        <v>1642</v>
      </c>
      <c r="C38" s="5" t="s">
        <v>1643</v>
      </c>
    </row>
  </sheetData>
  <pageMargins left="0.75" right="0.75" top="1" bottom="1" header="0.5" footer="0.5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customers</vt:lpstr>
      <vt:lpstr>Products</vt:lpstr>
      <vt:lpstr>Sheet29</vt:lpstr>
      <vt:lpstr>Orders</vt:lpstr>
      <vt:lpstr>Pivot Table</vt:lpstr>
      <vt:lpstr>RFM Analysis</vt:lpstr>
      <vt:lpstr>Customer Segmentation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WPS_1676522386</cp:lastModifiedBy>
  <dcterms:created xsi:type="dcterms:W3CDTF">2026-03-31T03:29:00Z</dcterms:created>
  <dcterms:modified xsi:type="dcterms:W3CDTF">2026-04-18T01:10:31Z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BB9B33EB3ADAE9EE95FFD569A255985B_43</vt:lpwstr>
  </property>
  <property fmtid="{D5CDD505-2E9C-101B-9397-08002B2CF9AE}" pid="3" name="KSOProductBuildVer">
    <vt:lpwstr>1033-12.1.23155.23155</vt:lpwstr>
  </property>
</Properties>
</file>